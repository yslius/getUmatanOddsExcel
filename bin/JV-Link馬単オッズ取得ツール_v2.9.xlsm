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yslius\Desktop\Lancers\201130_馬単ツールのC♯化_ kurokawa1184\00_資料\"/>
    </mc:Choice>
  </mc:AlternateContent>
  <bookViews>
    <workbookView xWindow="0" yWindow="0" windowWidth="28800" windowHeight="12450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8"/>
  <definedNames>
    <definedName name="_xlnm._FilterDatabase" localSheetId="5" hidden="1">レース!$A$1:$G$1</definedName>
  </definedNames>
  <calcPr calcId="152511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>
  <authors>
    <author>USER</author>
  </authors>
  <commentList>
    <comment ref="AX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<sst xmlns="http://schemas.openxmlformats.org/spreadsheetml/2006/main" count="2692" uniqueCount="180">
  <si>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</si>
  <si>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</si>
  <si>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</si>
  <si>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</si>
  <si>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</si>
  <si>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</si>
  <si>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</si>
  <si>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</si>
  <si>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</si>
  <si>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</si>
  <si>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</si>
  <si>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</si>
  <si>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</si>
  <si>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</si>
  <si>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</si>
  <si>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</si>
  <si>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</si>
  <si>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</si>
  <si>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</si>
  <si>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</si>
  <si>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</si>
  <si>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</si>
  <si>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</si>
  <si>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</si>
  <si>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</si>
  <si>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</si>
  <si>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</si>
  <si>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</si>
  <si>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</si>
  <si>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</si>
  <si>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</si>
  <si>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</si>
  <si>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</si>
  <si>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</si>
  <si>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</si>
  <si>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</si>
  <si>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</si>
  <si>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</si>
  <si>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</si>
  <si>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</si>
  <si>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</si>
  <si>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</si>
  <si>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</si>
  <si>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</si>
  <si>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</si>
  <si>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</si>
  <si>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</si>
  <si>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</si>
  <si>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</si>
  <si>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</si>
  <si>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</si>
  <si>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</si>
  <si>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</si>
  <si>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</si>
  <si>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</si>
  <si>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</si>
  <si>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</si>
  <si>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</si>
  <si>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</si>
  <si>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</si>
  <si>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</si>
  <si>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</si>
  <si>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</si>
  <si>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</si>
  <si>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</si>
  <si>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</si>
  <si>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</si>
  <si>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</si>
  <si>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</si>
  <si>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</si>
  <si>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</si>
  <si>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</si>
  <si>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</si>
  <si>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</si>
  <si>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</si>
  <si>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</si>
  <si>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</si>
  <si>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</si>
  <si>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</si>
  <si>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</si>
  <si>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</si>
  <si>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</si>
  <si>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</si>
  <si>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</si>
  <si>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</si>
  <si>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</si>
  <si>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</si>
  <si>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</si>
  <si>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</si>
  <si>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</si>
  <si>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</si>
  <si>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</si>
  <si>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</si>
  <si>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</si>
  <si>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</si>
  <si>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</si>
  <si>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</si>
  <si>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</si>
  <si>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</si>
  <si>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</si>
  <si>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</si>
  <si>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</si>
  <si>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</si>
  <si>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</si>
  <si>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</si>
  <si>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</si>
  <si>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</si>
  <si>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</si>
  <si>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</si>
  <si>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</si>
  <si>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</si>
  <si>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</si>
  <si>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</si>
  <si>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</si>
  <si>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</si>
  <si>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</si>
  <si>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</si>
  <si>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</si>
  <si>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</si>
  <si>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</si>
  <si>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</si>
  <si>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</si>
  <si>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</si>
  <si>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</si>
  <si>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</si>
  <si>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</si>
  <si>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</si>
  <si>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</si>
  <si>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</si>
  <si>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</si>
  <si>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</si>
  <si>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</si>
  <si>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</si>
  <si>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</si>
  <si>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</si>
  <si>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ver2.8</t>
    </r>
    <phoneticPr fontId="1"/>
  </si>
  <si>
    <t>京都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</si>
  <si>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</si>
  <si>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</si>
  <si>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</si>
  <si>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</si>
  <si>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</si>
  <si>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</si>
  <si>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</si>
  <si>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</si>
  <si>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東京</t>
    <phoneticPr fontId="1"/>
  </si>
  <si>
    <t>新潟</t>
    <phoneticPr fontId="1"/>
  </si>
  <si>
    <t>中山</t>
    <phoneticPr fontId="1"/>
  </si>
  <si>
    <t>中京</t>
    <phoneticPr fontId="1"/>
  </si>
  <si>
    <t>中山</t>
    <phoneticPr fontId="1"/>
  </si>
  <si>
    <t>中京</t>
    <phoneticPr fontId="1"/>
  </si>
  <si>
    <t>小倉</t>
    <phoneticPr fontId="1"/>
  </si>
  <si>
    <t>小倉</t>
    <phoneticPr fontId="1"/>
  </si>
  <si>
    <t>東京</t>
    <phoneticPr fontId="1"/>
  </si>
  <si>
    <t>阪神</t>
    <phoneticPr fontId="1"/>
  </si>
  <si>
    <t>阪神</t>
    <phoneticPr fontId="1"/>
  </si>
  <si>
    <t>福島</t>
    <phoneticPr fontId="1"/>
  </si>
  <si>
    <t>福島</t>
    <phoneticPr fontId="1"/>
  </si>
  <si>
    <t>新潟</t>
    <phoneticPr fontId="1"/>
  </si>
  <si>
    <t>札幌</t>
    <phoneticPr fontId="1"/>
  </si>
  <si>
    <t>札幌</t>
    <phoneticPr fontId="1"/>
  </si>
  <si>
    <t>函館</t>
    <phoneticPr fontId="1"/>
  </si>
  <si>
    <t>函館</t>
    <phoneticPr fontId="1"/>
  </si>
  <si>
    <t>京都</t>
    <phoneticPr fontId="1"/>
  </si>
  <si>
    <t>京都</t>
    <phoneticPr fontId="1"/>
  </si>
  <si>
    <t>阪神</t>
    <phoneticPr fontId="1"/>
  </si>
  <si>
    <t>リンクスエルピス　　　　　　　　　　</t>
    <phoneticPr fontId="1"/>
  </si>
  <si>
    <t>アイスリアン　　　　　　　　　　　　</t>
  </si>
  <si>
    <t>ゴッドオブロンドン　　　　　　　　　</t>
  </si>
  <si>
    <t>オショロコマ　　　　　　　　　　　　</t>
  </si>
  <si>
    <t>ザント　　　　　　　　　　　　　　　</t>
  </si>
  <si>
    <t>コンヴェクトル　　　　　　　　　　　</t>
  </si>
  <si>
    <t>コパノピッチング　　　　　　　　　　</t>
  </si>
  <si>
    <t>ハクサンクラーケン　　　　　　　　　</t>
  </si>
  <si>
    <t>サイレントナイト　　　　　　　　　　</t>
  </si>
  <si>
    <t>アイリッシュセンス　　　　　　　　　</t>
  </si>
  <si>
    <t>モーデン　　　　　　　　　　　　　　</t>
  </si>
  <si>
    <t>シューラヴァラ　　　　　　　　　　　</t>
  </si>
  <si>
    <t>キリーティー　　　　　　　　　　　　</t>
  </si>
  <si>
    <t>テイエムリオン　　　　　　　　　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</si>
</sst>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/>
    <cellStyle name="桁区切り 2" xfId="2"/>
    <cellStyle name="標準" xfId="0" builtinId="0"/>
    <cellStyle name="標準 2" xfId="3"/>
    <cellStyle name="標準 4" xfId="1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=""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=""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=""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=""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135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1">
          <controlPr defaultSize="0" autoLine="0" r:id="rId5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4" name="CommandButton1"/>
      </mc:Fallback>
    </mc:AlternateContent>
    <mc:AlternateContent xmlns:mc="http://schemas.openxmlformats.org/markup-compatibility/2006">
      <mc:Choice Requires="x14">
        <control shapeId="1051" r:id="rId6" name="Label1">
          <controlPr defaultSize="0" autoLine="0" r:id="rId7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6" name="Label1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4" r:id="rId10" name="Label2">
          <controlPr defaultSize="0" autoLine="0" r:id="rId11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10" name="Label2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D244"/>
  <sheetViews>
    <sheetView workbookViewId="0">
      <selection activeCell="I4" sqref="A4:I4"/>
    </sheetView>
  </sheetViews>
  <sheetFormatPr defaultRowHeight="18.75"/>
  <cols>
    <col min="13" max="13" width="9.75" customWidth="1"/>
  </cols>
  <sheetData>
    <row r="2" spans="1:129">
      <c r="BM2" t="s">
        <v>101</v>
      </c>
      <c r="BY2" t="s">
        <v>102</v>
      </c>
      <c r="CK2" t="s">
        <v>102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104</v>
      </c>
      <c r="AS3" s="25" t="s">
        <v>103</v>
      </c>
      <c r="AT3" s="25" t="s">
        <v>104</v>
      </c>
      <c r="AU3" s="25" t="s">
        <v>103</v>
      </c>
      <c r="AV3" s="25" t="s">
        <v>104</v>
      </c>
      <c r="AW3" s="25" t="s">
        <v>103</v>
      </c>
      <c r="AX3" s="25" t="s">
        <v>104</v>
      </c>
      <c r="AY3" s="25" t="s">
        <v>103</v>
      </c>
      <c r="AZ3" s="25" t="s">
        <v>104</v>
      </c>
      <c r="BA3" s="25" t="s">
        <v>103</v>
      </c>
      <c r="BB3" s="25" t="s">
        <v>104</v>
      </c>
      <c r="BC3" s="25" t="s">
        <v>103</v>
      </c>
      <c r="BD3" s="25" t="s">
        <v>104</v>
      </c>
      <c r="BE3" s="25" t="s">
        <v>103</v>
      </c>
      <c r="BF3" s="25" t="s">
        <v>104</v>
      </c>
      <c r="BG3" s="25" t="s">
        <v>103</v>
      </c>
      <c r="BH3" s="25" t="s">
        <v>104</v>
      </c>
      <c r="BI3" s="25" t="s">
        <v>103</v>
      </c>
      <c r="BJ3" s="25" t="s">
        <v>104</v>
      </c>
      <c r="BK3" s="25" t="s">
        <v>103</v>
      </c>
      <c r="BM3" s="25" t="s">
        <v>104</v>
      </c>
      <c r="BN3" s="25" t="s">
        <v>103</v>
      </c>
      <c r="BO3" s="25" t="s">
        <v>104</v>
      </c>
      <c r="BP3" s="25" t="s">
        <v>103</v>
      </c>
      <c r="BQ3" s="25" t="s">
        <v>104</v>
      </c>
      <c r="BR3" s="25" t="s">
        <v>103</v>
      </c>
      <c r="BS3" s="25" t="s">
        <v>104</v>
      </c>
      <c r="BT3" s="25" t="s">
        <v>103</v>
      </c>
      <c r="BU3" s="25" t="s">
        <v>104</v>
      </c>
      <c r="BV3" s="25" t="s">
        <v>103</v>
      </c>
      <c r="BY3" s="25" t="s">
        <v>104</v>
      </c>
      <c r="BZ3" s="25" t="s">
        <v>103</v>
      </c>
      <c r="CA3" s="25" t="s">
        <v>104</v>
      </c>
      <c r="CB3" s="25" t="s">
        <v>103</v>
      </c>
      <c r="CC3" s="25" t="s">
        <v>104</v>
      </c>
      <c r="CD3" s="25" t="s">
        <v>103</v>
      </c>
      <c r="CE3" s="25" t="s">
        <v>104</v>
      </c>
      <c r="CF3" s="25" t="s">
        <v>103</v>
      </c>
      <c r="CG3" s="25" t="s">
        <v>104</v>
      </c>
      <c r="CH3" s="25" t="s">
        <v>103</v>
      </c>
      <c r="CK3" s="25" t="s">
        <v>104</v>
      </c>
      <c r="CL3" s="25" t="s">
        <v>103</v>
      </c>
      <c r="CM3" s="25" t="s">
        <v>104</v>
      </c>
      <c r="CN3" s="25" t="s">
        <v>103</v>
      </c>
      <c r="CO3" s="25" t="s">
        <v>104</v>
      </c>
      <c r="CP3" s="25" t="s">
        <v>103</v>
      </c>
      <c r="CQ3" s="25" t="s">
        <v>104</v>
      </c>
      <c r="CR3" s="25" t="s">
        <v>103</v>
      </c>
      <c r="CS3" s="25" t="s">
        <v>104</v>
      </c>
      <c r="CT3" s="25" t="s">
        <v>103</v>
      </c>
    </row>
    <row r="4" spans="1:129">
      <c r="A4" t="s">
        <v>105</v>
      </c>
      <c r="B4" t="s">
        <v>106</v>
      </c>
      <c r="C4" t="s">
        <v>107</v>
      </c>
      <c r="D4" t="s">
        <v>108</v>
      </c>
      <c r="E4" t="s">
        <v>109</v>
      </c>
      <c r="F4" t="s">
        <v>110</v>
      </c>
      <c r="G4" t="s">
        <v>111</v>
      </c>
      <c r="H4" t="s">
        <v>112</v>
      </c>
      <c r="I4" t="s">
        <v>113</v>
      </c>
      <c r="J4" t="s">
        <v>114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132</v>
      </c>
      <c r="AK4" s="32" t="s">
        <v>133</v>
      </c>
      <c r="AL4" s="32" t="s">
        <v>134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115</v>
      </c>
      <c r="CX4" t="s">
        <v>116</v>
      </c>
      <c r="CY4" t="s">
        <v>117</v>
      </c>
      <c r="CZ4" t="s">
        <v>118</v>
      </c>
      <c r="DA4" t="s">
        <v>119</v>
      </c>
      <c r="DB4" t="s">
        <v>120</v>
      </c>
      <c r="DC4" t="s">
        <v>121</v>
      </c>
      <c r="DD4" t="s">
        <v>122</v>
      </c>
      <c r="DE4" t="s">
        <v>123</v>
      </c>
      <c r="DF4" s="25" t="s">
        <v>124</v>
      </c>
      <c r="DG4" s="25" t="s">
        <v>125</v>
      </c>
      <c r="DH4" s="25" t="s">
        <v>126</v>
      </c>
      <c r="DI4" s="25" t="s">
        <v>127</v>
      </c>
      <c r="DJ4" s="25" t="s">
        <v>129</v>
      </c>
      <c r="DL4" t="s">
        <v>115</v>
      </c>
      <c r="DM4" t="s">
        <v>116</v>
      </c>
      <c r="DN4" t="s">
        <v>117</v>
      </c>
      <c r="DO4" t="s">
        <v>118</v>
      </c>
      <c r="DP4" t="s">
        <v>119</v>
      </c>
      <c r="DQ4" t="s">
        <v>120</v>
      </c>
      <c r="DR4" t="s">
        <v>121</v>
      </c>
      <c r="DS4" t="s">
        <v>122</v>
      </c>
      <c r="DT4" t="s">
        <v>123</v>
      </c>
      <c r="DU4" s="25" t="s">
        <v>124</v>
      </c>
      <c r="DV4" s="25" t="s">
        <v>125</v>
      </c>
      <c r="DW4" s="25" t="s">
        <v>126</v>
      </c>
      <c r="DX4" s="25" t="s">
        <v>127</v>
      </c>
      <c r="DY4" s="25" t="s">
        <v>129</v>
      </c>
    </row>
    <row r="5" spans="1:129">
      <c r="A5">
        <v>8</v>
      </c>
      <c r="B5">
        <v>14</v>
      </c>
      <c r="C5">
        <v>12.5</v>
      </c>
      <c r="D5">
        <v>1</v>
      </c>
      <c r="E5">
        <v>2</v>
      </c>
      <c r="F5">
        <v>16444</v>
      </c>
      <c r="G5">
        <v>17.5</v>
      </c>
      <c r="H5">
        <v>7.3</v>
      </c>
      <c r="I5">
        <v>11.7</v>
      </c>
      <c r="L5">
        <f>IFERROR(C5/H5,"")</f>
        <v>1.7123287671232876</v>
      </c>
      <c r="M5">
        <f>IFERROR(C5-H5,"")</f>
        <v>5.2</v>
      </c>
      <c r="O5">
        <f t="shared" ref="O5:O30" si="0">IF(D5&lt;E5,C5,"")</f>
        <v>12.5</v>
      </c>
      <c r="P5">
        <f>IF(D5&lt;E5,C5/H5,"")</f>
        <v>1.7123287671232876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7.3</v>
      </c>
      <c r="AS5" s="25">
        <f>IFERROR(IF(AR5="","",$E5),"")</f>
        <v>2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7.3</v>
      </c>
      <c r="BN5">
        <f t="array" ref="BN5">IFERROR(VALUE(INDEX(AS:AS,SMALL(IF($AS$5:$AS$150&lt;&gt;"",ROW($AS$5:$AS$150),9999),ROW(A1)))&amp;""),"")</f>
        <v>2</v>
      </c>
      <c r="BO5">
        <f t="array" ref="BO5">IFERROR(VALUE(INDEX(AT:AT,SMALL(IF($AT$5:$AT$150&lt;&gt;"",ROW($AT$5:$AT$150),9999),ROW(A1)))&amp;""),"")</f>
        <v>12.5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20.399999999999999</v>
      </c>
      <c r="BR5">
        <f t="array" ref="BR5">IFERROR(VALUE(INDEX(AW:AW,SMALL(IF($AW$5:$AW$150&lt;&gt;"",ROW($AW$5:$AW$150),9999),ROW(A1)))&amp;""),"")</f>
        <v>2</v>
      </c>
      <c r="BS5">
        <f t="array" ref="BS5">IFERROR(VALUE(INDEX(AX:AX,SMALL(IF($AX$5:$AX$150&lt;&gt;"",ROW($AX$5:$AX$150),9999),ROW(A1)))&amp;""),"")</f>
        <v>20.8</v>
      </c>
      <c r="BT5">
        <f t="array" ref="BT5">IFERROR(VALUE(INDEX(AY:AY,SMALL(IF($AY$5:$AY$150&lt;&gt;"",ROW($AY$5:$AY$150),9999),ROW(A1)))&amp;""),"")</f>
        <v>2</v>
      </c>
      <c r="BU5">
        <f t="array" ref="BU5">IFERROR(VALUE(INDEX(AZ:AZ,SMALL(IF($AZ$5:$AZ$150&lt;&gt;"",ROW($AZ$5:$AZ$150),9999),ROW(A1)))&amp;""),"")</f>
        <v>16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-12.9</v>
      </c>
      <c r="BY5">
        <f>IFERROR(ROUNDUP(BM6/BM5,2),"")</f>
        <v>2.7699999999999996</v>
      </c>
      <c r="BZ5">
        <f>BN5</f>
        <v>2</v>
      </c>
      <c r="CA5">
        <f>IFERROR(ROUNDUP(BO6/BO5,2),"")</f>
        <v>1.59</v>
      </c>
      <c r="CB5">
        <f>BP5</f>
        <v>1</v>
      </c>
      <c r="CC5">
        <f>IFERROR(ROUNDUP(BQ6/BQ5,2),"")</f>
        <v>0.65</v>
      </c>
      <c r="CD5">
        <f>BR5</f>
        <v>2</v>
      </c>
      <c r="CE5">
        <f>IFERROR(ROUNDUP(BS6/BS5,2),"")</f>
        <v>0.81</v>
      </c>
      <c r="CF5">
        <f>BT5</f>
        <v>2</v>
      </c>
      <c r="CG5">
        <f>IFERROR(ROUNDUP(BU6/BU5,2),"")</f>
        <v>2.23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>
        <f t="shared" ref="DM5:DM32" si="24">IF($E5=2,$Q5,"")</f>
        <v>0</v>
      </c>
      <c r="DN5" t="str">
        <f t="shared" ref="DN5:DN32" si="25">IF($E5=3,$Q5,"")</f>
        <v/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8</v>
      </c>
      <c r="B6">
        <v>1</v>
      </c>
      <c r="C6">
        <v>13.2</v>
      </c>
      <c r="D6">
        <v>1</v>
      </c>
      <c r="E6">
        <v>3</v>
      </c>
      <c r="F6">
        <v>15596</v>
      </c>
      <c r="G6">
        <v>20.2</v>
      </c>
      <c r="H6">
        <v>8</v>
      </c>
      <c r="I6">
        <v>12</v>
      </c>
      <c r="L6">
        <f t="shared" ref="L6:L32" si="37">IFERROR(C6/H6,"")</f>
        <v>1.65</v>
      </c>
      <c r="M6">
        <f t="shared" ref="M6:M31" si="38">IFERROR(C6-H6,"")</f>
        <v>5.1999999999999993</v>
      </c>
      <c r="O6">
        <f t="shared" si="0"/>
        <v>13.2</v>
      </c>
      <c r="P6">
        <f t="shared" ref="P6:P30" si="39">IF(D6&lt;E6,C6/H6,"")</f>
        <v>1.65</v>
      </c>
      <c r="V6" t="str">
        <f t="shared" si="1"/>
        <v/>
      </c>
      <c r="W6" t="str">
        <f t="shared" si="2"/>
        <v/>
      </c>
      <c r="AJ6">
        <v>2</v>
      </c>
      <c r="AK6" t="e">
        <f>#REF!</f>
        <v>#REF!</v>
      </c>
      <c r="AL6" s="25" t="str">
        <f>IFERROR(RANK(AK6,AK5:AK22,0),"")</f>
        <v/>
      </c>
      <c r="AR6">
        <f t="shared" ref="AR6:AR69" si="40">IF($D6=AR$4,$G6,"")</f>
        <v>20.2</v>
      </c>
      <c r="AS6" s="25">
        <f t="shared" ref="AS6:AS69" si="41">IFERROR(IF(AR6="","",E6),"")</f>
        <v>3</v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20.2</v>
      </c>
      <c r="BN6">
        <f t="array" ref="BN6">IFERROR(VALUE(INDEX(AS:AS,SMALL(IF($AS$5:$AS$150&lt;&gt;"",ROW($AS$5:$AS$150),9999),ROW(A2)))&amp;""),"")</f>
        <v>3</v>
      </c>
      <c r="BO6">
        <f t="array" ref="BO6">IFERROR(VALUE(INDEX(AT:AT,SMALL(IF($AT$5:$AT$150&lt;&gt;"",ROW($AT$5:$AT$150),9999),ROW(A2)))&amp;""),"")</f>
        <v>19.8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13.2</v>
      </c>
      <c r="BR6">
        <f t="array" ref="BR6">IFERROR(VALUE(INDEX(AW:AW,SMALL(IF($AW$5:$AW$150&lt;&gt;"",ROW($AW$5:$AW$150),9999),ROW(A2)))&amp;""),"")</f>
        <v>1</v>
      </c>
      <c r="BS6">
        <f t="array" ref="BS6">IFERROR(VALUE(INDEX(AX:AX,SMALL(IF($AX$5:$AX$150&lt;&gt;"",ROW($AX$5:$AX$150),9999),ROW(A2)))&amp;""),"")</f>
        <v>16.7</v>
      </c>
      <c r="BT6">
        <f t="array" ref="BT6">IFERROR(VALUE(INDEX(AY:AY,SMALL(IF($AY$5:$AY$150&lt;&gt;"",ROW($AY$5:$AY$150),9999),ROW(A2)))&amp;""),"")</f>
        <v>1</v>
      </c>
      <c r="BU6">
        <f t="array" ref="BU6">IFERROR(VALUE(INDEX(AZ:AZ,SMALL(IF($AZ$5:$AZ$150&lt;&gt;"",ROW($AZ$5:$AZ$150),9999),ROW(A2)))&amp;""),"")</f>
        <v>35.6</v>
      </c>
      <c r="BV6">
        <f t="array" ref="BV6">IFERROR(VALUE(INDEX(BA:BA,SMALL(IF($BA$5:$BA$150&lt;&gt;"",ROW($BA$5:$BA$150),9999),ROW(A2)))&amp;""),"")</f>
        <v>2</v>
      </c>
      <c r="BX6">
        <f t="shared" ref="BX6:BX19" si="53">IFERROR(ROUNDUP(BM6-BM7,2),"")</f>
        <v>-10</v>
      </c>
      <c r="BY6">
        <f t="shared" ref="BY6:BY19" si="54">IFERROR(ROUNDUP(BM7/BM6,2),"")</f>
        <v>1.5</v>
      </c>
      <c r="BZ6">
        <f t="shared" ref="BZ6:BZ19" si="55">BN6</f>
        <v>3</v>
      </c>
      <c r="CA6">
        <f t="shared" ref="CA6:CA19" si="56">IFERROR(ROUNDUP(BO7/BO6,2),"")</f>
        <v>1.25</v>
      </c>
      <c r="CB6">
        <f t="shared" ref="CB6:CB19" si="57">BP6</f>
        <v>3</v>
      </c>
      <c r="CC6">
        <f t="shared" ref="CC6:CC19" si="58">IFERROR(ROUNDUP(BQ7/BQ6,2),"")</f>
        <v>2.2899999999999996</v>
      </c>
      <c r="CD6">
        <f t="shared" ref="CD6:CD19" si="59">BR6</f>
        <v>1</v>
      </c>
      <c r="CE6">
        <f t="shared" ref="CE6:CE19" si="60">IFERROR(ROUNDUP(BS7/BS6,2),"")</f>
        <v>1.65</v>
      </c>
      <c r="CF6">
        <f t="shared" ref="CF6:CF19" si="61">BT6</f>
        <v>1</v>
      </c>
      <c r="CG6">
        <f t="shared" ref="CG6:CG19" si="62">IFERROR(ROUNDUP(BU7/BU6,2),"")</f>
        <v>1.06</v>
      </c>
      <c r="CH6">
        <f t="shared" ref="CH6:CH19" si="63">BV6</f>
        <v>2</v>
      </c>
      <c r="CW6">
        <f t="shared" si="9"/>
        <v>0</v>
      </c>
      <c r="CX6" t="str">
        <f t="shared" si="10"/>
        <v/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 t="str">
        <f t="shared" si="23"/>
        <v/>
      </c>
      <c r="DM6" t="str">
        <f t="shared" si="24"/>
        <v/>
      </c>
      <c r="DN6">
        <f t="shared" si="25"/>
        <v>0</v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8</v>
      </c>
      <c r="B7">
        <v>13</v>
      </c>
      <c r="C7">
        <v>16</v>
      </c>
      <c r="D7">
        <v>1</v>
      </c>
      <c r="E7">
        <v>5</v>
      </c>
      <c r="F7">
        <v>12863</v>
      </c>
      <c r="G7">
        <v>30.2</v>
      </c>
      <c r="H7">
        <v>10.5</v>
      </c>
      <c r="I7">
        <v>14.4</v>
      </c>
      <c r="L7">
        <f t="shared" si="37"/>
        <v>1.5238095238095237</v>
      </c>
      <c r="M7">
        <f t="shared" si="38"/>
        <v>5.5</v>
      </c>
      <c r="O7">
        <f t="shared" si="0"/>
        <v>16</v>
      </c>
      <c r="P7">
        <f t="shared" si="39"/>
        <v>1.5238095238095237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30.2</v>
      </c>
      <c r="AS7" s="25">
        <f t="shared" si="41"/>
        <v>5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30.2</v>
      </c>
      <c r="BN7">
        <f t="array" ref="BN7">IFERROR(VALUE(INDEX(AS:AS,SMALL(IF($AS$5:$AS$150&lt;&gt;"",ROW($AS$5:$AS$150),9999),ROW(A3)))&amp;""),"")</f>
        <v>5</v>
      </c>
      <c r="BO7">
        <f t="array" ref="BO7">IFERROR(VALUE(INDEX(AT:AT,SMALL(IF($AT$5:$AT$150&lt;&gt;"",ROW($AT$5:$AT$150),9999),ROW(A3)))&amp;""),"")</f>
        <v>24.7</v>
      </c>
      <c r="BP7">
        <f t="array" ref="BP7">IFERROR(VALUE(INDEX(AU:AU,SMALL(IF($AU$5:$AU$150&lt;&gt;"",ROW($AU$5:$AU$150),9999),ROW(A3)))&amp;""),"")</f>
        <v>4</v>
      </c>
      <c r="BQ7">
        <f t="array" ref="BQ7">IFERROR(VALUE(INDEX(AV:AV,SMALL(IF($AV$5:$AV$150&lt;&gt;"",ROW($AV$5:$AV$150),9999),ROW(A3)))&amp;""),"")</f>
        <v>30.1</v>
      </c>
      <c r="BR7">
        <f t="array" ref="BR7">IFERROR(VALUE(INDEX(AW:AW,SMALL(IF($AW$5:$AW$150&lt;&gt;"",ROW($AW$5:$AW$150),9999),ROW(A3)))&amp;""),"")</f>
        <v>4</v>
      </c>
      <c r="BS7">
        <f t="array" ref="BS7">IFERROR(VALUE(INDEX(AX:AX,SMALL(IF($AX$5:$AX$150&lt;&gt;"",ROW($AX$5:$AX$150),9999),ROW(A3)))&amp;""),"")</f>
        <v>27.4</v>
      </c>
      <c r="BT7">
        <f t="array" ref="BT7">IFERROR(VALUE(INDEX(AY:AY,SMALL(IF($AY$5:$AY$150&lt;&gt;"",ROW($AY$5:$AY$150),9999),ROW(A3)))&amp;""),"")</f>
        <v>3</v>
      </c>
      <c r="BU7">
        <f t="array" ref="BU7">IFERROR(VALUE(INDEX(AZ:AZ,SMALL(IF($AZ$5:$AZ$150&lt;&gt;"",ROW($AZ$5:$AZ$150),9999),ROW(A3)))&amp;""),"")</f>
        <v>37.5</v>
      </c>
      <c r="BV7">
        <f t="array" ref="BV7">IFERROR(VALUE(INDEX(BA:BA,SMALL(IF($BA$5:$BA$150&lt;&gt;"",ROW($BA$5:$BA$150),9999),ROW(A3)))&amp;""),"")</f>
        <v>3</v>
      </c>
      <c r="BX7">
        <f t="shared" si="53"/>
        <v>2.5</v>
      </c>
      <c r="BY7">
        <f t="shared" si="54"/>
        <v>0.92</v>
      </c>
      <c r="BZ7">
        <f t="shared" si="55"/>
        <v>5</v>
      </c>
      <c r="CA7">
        <f t="shared" si="56"/>
        <v>1.6300000000000001</v>
      </c>
      <c r="CB7">
        <f t="shared" si="57"/>
        <v>4</v>
      </c>
      <c r="CC7">
        <f t="shared" si="58"/>
        <v>1.49</v>
      </c>
      <c r="CD7">
        <f t="shared" si="59"/>
        <v>4</v>
      </c>
      <c r="CE7">
        <f t="shared" si="60"/>
        <v>1.98</v>
      </c>
      <c r="CF7">
        <f t="shared" si="61"/>
        <v>3</v>
      </c>
      <c r="CG7">
        <f t="shared" si="62"/>
        <v>1.2</v>
      </c>
      <c r="CH7">
        <f t="shared" si="63"/>
        <v>3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 t="str">
        <f t="shared" si="26"/>
        <v/>
      </c>
      <c r="DP7">
        <f t="shared" si="27"/>
        <v>0</v>
      </c>
      <c r="DQ7" t="str">
        <f t="shared" si="28"/>
        <v/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8</v>
      </c>
      <c r="B8">
        <v>2</v>
      </c>
      <c r="C8">
        <v>16.7</v>
      </c>
      <c r="D8">
        <v>1</v>
      </c>
      <c r="E8">
        <v>4</v>
      </c>
      <c r="F8">
        <v>12328</v>
      </c>
      <c r="G8">
        <v>27.7</v>
      </c>
      <c r="H8">
        <v>10.4</v>
      </c>
      <c r="I8">
        <v>14.7</v>
      </c>
      <c r="L8">
        <f t="shared" si="37"/>
        <v>1.6057692307692306</v>
      </c>
      <c r="M8">
        <f t="shared" si="38"/>
        <v>6.2999999999999989</v>
      </c>
      <c r="O8">
        <f t="shared" si="0"/>
        <v>16.7</v>
      </c>
      <c r="P8">
        <f t="shared" si="39"/>
        <v>1.6057692307692306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27.7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27.7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40.1</v>
      </c>
      <c r="BP8">
        <f t="array" ref="BP8">IFERROR(VALUE(INDEX(AU:AU,SMALL(IF($AU$5:$AU$150&lt;&gt;"",ROW($AU$5:$AU$150),9999),ROW(A4)))&amp;""),"")</f>
        <v>5</v>
      </c>
      <c r="BQ8">
        <f t="array" ref="BQ8">IFERROR(VALUE(INDEX(AV:AV,SMALL(IF($AV$5:$AV$150&lt;&gt;"",ROW($AV$5:$AV$150),9999),ROW(A4)))&amp;""),"")</f>
        <v>44.6</v>
      </c>
      <c r="BR8">
        <f t="array" ref="BR8">IFERROR(VALUE(INDEX(AW:AW,SMALL(IF($AW$5:$AW$150&lt;&gt;"",ROW($AW$5:$AW$150),9999),ROW(A4)))&amp;""),"")</f>
        <v>5</v>
      </c>
      <c r="BS8">
        <f t="array" ref="BS8">IFERROR(VALUE(INDEX(AX:AX,SMALL(IF($AX$5:$AX$150&lt;&gt;"",ROW($AX$5:$AX$150),9999),ROW(A4)))&amp;""),"")</f>
        <v>54.2</v>
      </c>
      <c r="BT8">
        <f t="array" ref="BT8">IFERROR(VALUE(INDEX(AY:AY,SMALL(IF($AY$5:$AY$150&lt;&gt;"",ROW($AY$5:$AY$150),9999),ROW(A4)))&amp;""),"")</f>
        <v>5</v>
      </c>
      <c r="BU8">
        <f t="array" ref="BU8">IFERROR(VALUE(INDEX(AZ:AZ,SMALL(IF($AZ$5:$AZ$150&lt;&gt;"",ROW($AZ$5:$AZ$150),9999),ROW(A4)))&amp;""),"")</f>
        <v>44.8</v>
      </c>
      <c r="BV8">
        <f t="array" ref="BV8">IFERROR(VALUE(INDEX(BA:BA,SMALL(IF($BA$5:$BA$150&lt;&gt;"",ROW($BA$5:$BA$150),9999),ROW(A4)))&amp;""),"")</f>
        <v>4</v>
      </c>
      <c r="BX8">
        <f t="shared" si="53"/>
        <v>-27.6</v>
      </c>
      <c r="BY8">
        <f t="shared" si="54"/>
        <v>2</v>
      </c>
      <c r="BZ8">
        <f t="shared" si="55"/>
        <v>4</v>
      </c>
      <c r="CA8">
        <f t="shared" si="56"/>
        <v>1.1599999999999999</v>
      </c>
      <c r="CB8">
        <f t="shared" si="57"/>
        <v>5</v>
      </c>
      <c r="CC8">
        <f t="shared" si="58"/>
        <v>2.21</v>
      </c>
      <c r="CD8">
        <f t="shared" si="59"/>
        <v>5</v>
      </c>
      <c r="CE8">
        <f t="shared" si="60"/>
        <v>1.01</v>
      </c>
      <c r="CF8">
        <f t="shared" si="61"/>
        <v>5</v>
      </c>
      <c r="CG8">
        <f t="shared" si="62"/>
        <v>1.96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14</v>
      </c>
      <c r="B9">
        <v>8</v>
      </c>
      <c r="C9">
        <v>17.5</v>
      </c>
      <c r="D9">
        <v>2</v>
      </c>
      <c r="E9">
        <v>1</v>
      </c>
      <c r="F9">
        <v>11746</v>
      </c>
      <c r="G9">
        <v>12.5</v>
      </c>
      <c r="H9">
        <v>7.3</v>
      </c>
      <c r="I9">
        <v>14.4</v>
      </c>
      <c r="L9">
        <f t="shared" si="37"/>
        <v>2.397260273972603</v>
      </c>
      <c r="M9">
        <f t="shared" si="38"/>
        <v>10.199999999999999</v>
      </c>
      <c r="O9" t="str">
        <f t="shared" si="0"/>
        <v/>
      </c>
      <c r="P9" t="str">
        <f t="shared" si="39"/>
        <v/>
      </c>
      <c r="V9">
        <f t="shared" si="1"/>
        <v>17.5</v>
      </c>
      <c r="W9">
        <f t="shared" si="2"/>
        <v>2.397260273972603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>
        <f t="shared" si="42"/>
        <v>12.5</v>
      </c>
      <c r="AU9" s="25">
        <f t="shared" si="43"/>
        <v>1</v>
      </c>
      <c r="AV9" t="str">
        <f t="shared" si="44"/>
        <v/>
      </c>
      <c r="AW9" s="25" t="str">
        <f t="shared" si="43"/>
        <v/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55.3</v>
      </c>
      <c r="BN9">
        <f t="array" ref="BN9">IFERROR(VALUE(INDEX(AS:AS,SMALL(IF($AS$5:$AS$150&lt;&gt;"",ROW($AS$5:$AS$150),9999),ROW(A5)))&amp;""),"")</f>
        <v>6</v>
      </c>
      <c r="BO9">
        <f t="array" ref="BO9">IFERROR(VALUE(INDEX(AT:AT,SMALL(IF($AT$5:$AT$150&lt;&gt;"",ROW($AT$5:$AT$150),9999),ROW(A5)))&amp;""),"")</f>
        <v>46.2</v>
      </c>
      <c r="BP9">
        <f t="array" ref="BP9">IFERROR(VALUE(INDEX(AU:AU,SMALL(IF($AU$5:$AU$150&lt;&gt;"",ROW($AU$5:$AU$150),9999),ROW(A5)))&amp;""),"")</f>
        <v>6</v>
      </c>
      <c r="BQ9">
        <f t="array" ref="BQ9">IFERROR(VALUE(INDEX(AV:AV,SMALL(IF($AV$5:$AV$150&lt;&gt;"",ROW($AV$5:$AV$150),9999),ROW(A5)))&amp;""),"")</f>
        <v>98.3</v>
      </c>
      <c r="BR9">
        <f t="array" ref="BR9">IFERROR(VALUE(INDEX(AW:AW,SMALL(IF($AW$5:$AW$150&lt;&gt;"",ROW($AW$5:$AW$150),9999),ROW(A5)))&amp;""),"")</f>
        <v>6</v>
      </c>
      <c r="BS9">
        <f t="array" ref="BS9">IFERROR(VALUE(INDEX(AX:AX,SMALL(IF($AX$5:$AX$150&lt;&gt;"",ROW($AX$5:$AX$150),9999),ROW(A5)))&amp;""),"")</f>
        <v>54.6</v>
      </c>
      <c r="BT9">
        <f t="array" ref="BT9">IFERROR(VALUE(INDEX(AY:AY,SMALL(IF($AY$5:$AY$150&lt;&gt;"",ROW($AY$5:$AY$150),9999),ROW(A5)))&amp;""),"")</f>
        <v>6</v>
      </c>
      <c r="BU9">
        <f t="array" ref="BU9">IFERROR(VALUE(INDEX(AZ:AZ,SMALL(IF($AZ$5:$AZ$150&lt;&gt;"",ROW($AZ$5:$AZ$150),9999),ROW(A5)))&amp;""),"")</f>
        <v>87.7</v>
      </c>
      <c r="BV9">
        <f t="array" ref="BV9">IFERROR(VALUE(INDEX(BA:BA,SMALL(IF($BA$5:$BA$150&lt;&gt;"",ROW($BA$5:$BA$150),9999),ROW(A5)))&amp;""),"")</f>
        <v>6</v>
      </c>
      <c r="BX9">
        <f t="shared" si="53"/>
        <v>-72.900000000000006</v>
      </c>
      <c r="BY9">
        <f t="shared" si="54"/>
        <v>2.3199999999999998</v>
      </c>
      <c r="BZ9">
        <f t="shared" si="55"/>
        <v>6</v>
      </c>
      <c r="CA9">
        <f t="shared" si="56"/>
        <v>3.2699999999999996</v>
      </c>
      <c r="CB9">
        <f t="shared" si="57"/>
        <v>6</v>
      </c>
      <c r="CC9">
        <f t="shared" si="58"/>
        <v>2.25</v>
      </c>
      <c r="CD9">
        <f t="shared" si="59"/>
        <v>6</v>
      </c>
      <c r="CE9">
        <f t="shared" si="60"/>
        <v>3.9</v>
      </c>
      <c r="CF9">
        <f t="shared" si="61"/>
        <v>6</v>
      </c>
      <c r="CG9">
        <f t="shared" si="62"/>
        <v>2.1599999999999997</v>
      </c>
      <c r="CH9">
        <f t="shared" si="63"/>
        <v>6</v>
      </c>
      <c r="CW9" t="str">
        <f t="shared" si="9"/>
        <v/>
      </c>
      <c r="CX9">
        <f t="shared" si="10"/>
        <v>0</v>
      </c>
      <c r="CY9" t="str">
        <f t="shared" si="11"/>
        <v/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</v>
      </c>
      <c r="B10">
        <v>14</v>
      </c>
      <c r="C10">
        <v>19.8</v>
      </c>
      <c r="D10">
        <v>3</v>
      </c>
      <c r="E10">
        <v>2</v>
      </c>
      <c r="F10">
        <v>10429</v>
      </c>
      <c r="G10">
        <v>20.399999999999999</v>
      </c>
      <c r="H10">
        <v>10</v>
      </c>
      <c r="I10">
        <v>22.3</v>
      </c>
      <c r="L10">
        <f t="shared" si="37"/>
        <v>1.98</v>
      </c>
      <c r="M10">
        <f t="shared" si="38"/>
        <v>9.8000000000000007</v>
      </c>
      <c r="O10" t="str">
        <f t="shared" si="0"/>
        <v/>
      </c>
      <c r="P10" t="str">
        <f t="shared" si="39"/>
        <v/>
      </c>
      <c r="V10">
        <f t="shared" si="1"/>
        <v>19.8</v>
      </c>
      <c r="W10">
        <f t="shared" si="2"/>
        <v>1.98</v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 t="str">
        <f t="shared" si="42"/>
        <v/>
      </c>
      <c r="AU10" s="25" t="str">
        <f t="shared" si="43"/>
        <v/>
      </c>
      <c r="AV10">
        <f t="shared" si="44"/>
        <v>20.399999999999999</v>
      </c>
      <c r="AW10" s="25">
        <f t="shared" si="43"/>
        <v>2</v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128.19999999999999</v>
      </c>
      <c r="BN10">
        <f t="array" ref="BN10">IFERROR(VALUE(INDEX(AS:AS,SMALL(IF($AS$5:$AS$150&lt;&gt;"",ROW($AS$5:$AS$150),9999),ROW(A6)))&amp;""),"")</f>
        <v>7</v>
      </c>
      <c r="BO10">
        <f t="array" ref="BO10">IFERROR(VALUE(INDEX(AT:AT,SMALL(IF($AT$5:$AT$150&lt;&gt;"",ROW($AT$5:$AT$150),9999),ROW(A6)))&amp;""),"")</f>
        <v>150.80000000000001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220.4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212.5</v>
      </c>
      <c r="BT10">
        <f t="array" ref="BT10">IFERROR(VALUE(INDEX(AY:AY,SMALL(IF($AY$5:$AY$150&lt;&gt;"",ROW($AY$5:$AY$150),9999),ROW(A6)))&amp;""),"")</f>
        <v>8</v>
      </c>
      <c r="BU10">
        <f t="array" ref="BU10">IFERROR(VALUE(INDEX(AZ:AZ,SMALL(IF($AZ$5:$AZ$150&lt;&gt;"",ROW($AZ$5:$AZ$150),9999),ROW(A6)))&amp;""),"")</f>
        <v>189.3</v>
      </c>
      <c r="BV10">
        <f t="array" ref="BV10">IFERROR(VALUE(INDEX(BA:BA,SMALL(IF($BA$5:$BA$150&lt;&gt;"",ROW($BA$5:$BA$150),9999),ROW(A6)))&amp;""),"")</f>
        <v>7</v>
      </c>
      <c r="BX10">
        <f t="shared" si="53"/>
        <v>-38.5</v>
      </c>
      <c r="BY10">
        <f t="shared" si="54"/>
        <v>1.31</v>
      </c>
      <c r="BZ10">
        <f t="shared" si="55"/>
        <v>7</v>
      </c>
      <c r="CA10">
        <f t="shared" si="56"/>
        <v>1.31</v>
      </c>
      <c r="CB10">
        <f t="shared" si="57"/>
        <v>7</v>
      </c>
      <c r="CC10">
        <f t="shared" si="58"/>
        <v>0.94000000000000006</v>
      </c>
      <c r="CD10">
        <f t="shared" si="59"/>
        <v>7</v>
      </c>
      <c r="CE10">
        <f t="shared" si="60"/>
        <v>1.07</v>
      </c>
      <c r="CF10">
        <f t="shared" si="61"/>
        <v>8</v>
      </c>
      <c r="CG10">
        <f t="shared" si="62"/>
        <v>1.1499999999999999</v>
      </c>
      <c r="CH10">
        <f t="shared" si="63"/>
        <v>7</v>
      </c>
      <c r="CW10" t="str">
        <f t="shared" si="9"/>
        <v/>
      </c>
      <c r="CX10" t="str">
        <f t="shared" si="10"/>
        <v/>
      </c>
      <c r="CY10">
        <f t="shared" si="11"/>
        <v>0</v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 t="str">
        <f t="shared" si="23"/>
        <v/>
      </c>
      <c r="DM10">
        <f t="shared" si="24"/>
        <v>0</v>
      </c>
      <c r="DN10" t="str">
        <f t="shared" si="25"/>
        <v/>
      </c>
      <c r="DO10" t="str">
        <f t="shared" si="26"/>
        <v/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1</v>
      </c>
      <c r="B11">
        <v>8</v>
      </c>
      <c r="C11">
        <v>20.2</v>
      </c>
      <c r="D11">
        <v>3</v>
      </c>
      <c r="E11">
        <v>1</v>
      </c>
      <c r="F11">
        <v>10182</v>
      </c>
      <c r="G11">
        <v>13.2</v>
      </c>
      <c r="H11">
        <v>8</v>
      </c>
      <c r="I11">
        <v>18.100000000000001</v>
      </c>
      <c r="L11">
        <f t="shared" si="37"/>
        <v>2.5249999999999999</v>
      </c>
      <c r="M11">
        <f t="shared" si="38"/>
        <v>12.2</v>
      </c>
      <c r="O11" t="str">
        <f t="shared" si="0"/>
        <v/>
      </c>
      <c r="P11" t="str">
        <f t="shared" si="39"/>
        <v/>
      </c>
      <c r="V11">
        <f t="shared" si="1"/>
        <v>20.2</v>
      </c>
      <c r="W11">
        <f t="shared" si="2"/>
        <v>2.5249999999999999</v>
      </c>
      <c r="AJ11">
        <v>7</v>
      </c>
      <c r="AK11" t="e">
        <f>#REF!</f>
        <v>#REF!</v>
      </c>
      <c r="AL11" s="25" t="str">
        <f>IFERROR(RANK(#REF!,AK5:AK22,0),"")</f>
        <v/>
      </c>
      <c r="AR11" t="str">
        <f t="shared" si="40"/>
        <v/>
      </c>
      <c r="AS11" s="25" t="str">
        <f t="shared" si="41"/>
        <v/>
      </c>
      <c r="AT11" t="str">
        <f t="shared" si="42"/>
        <v/>
      </c>
      <c r="AU11" s="25" t="str">
        <f t="shared" si="43"/>
        <v/>
      </c>
      <c r="AV11">
        <f t="shared" si="44"/>
        <v>13.2</v>
      </c>
      <c r="AW11" s="25">
        <f t="shared" si="43"/>
        <v>1</v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166.7</v>
      </c>
      <c r="BN11">
        <f t="array" ref="BN11">IFERROR(VALUE(INDEX(AS:AS,SMALL(IF($AS$5:$AS$150&lt;&gt;"",ROW($AS$5:$AS$150),9999),ROW(A7)))&amp;""),"")</f>
        <v>8</v>
      </c>
      <c r="BO11">
        <f t="array" ref="BO11">IFERROR(VALUE(INDEX(AT:AT,SMALL(IF($AT$5:$AT$150&lt;&gt;"",ROW($AT$5:$AT$150),9999),ROW(A7)))&amp;""),"")</f>
        <v>196.9</v>
      </c>
      <c r="BP11">
        <f t="array" ref="BP11">IFERROR(VALUE(INDEX(AU:AU,SMALL(IF($AU$5:$AU$150&lt;&gt;"",ROW($AU$5:$AU$150),9999),ROW(A7)))&amp;""),"")</f>
        <v>8</v>
      </c>
      <c r="BQ11">
        <f t="array" ref="BQ11">IFERROR(VALUE(INDEX(AV:AV,SMALL(IF($AV$5:$AV$150&lt;&gt;"",ROW($AV$5:$AV$150),9999),ROW(A7)))&amp;""),"")</f>
        <v>205.5</v>
      </c>
      <c r="BR11">
        <f t="array" ref="BR11">IFERROR(VALUE(INDEX(AW:AW,SMALL(IF($AW$5:$AW$150&lt;&gt;"",ROW($AW$5:$AW$150),9999),ROW(A7)))&amp;""),"")</f>
        <v>8</v>
      </c>
      <c r="BS11">
        <f t="array" ref="BS11">IFERROR(VALUE(INDEX(AX:AX,SMALL(IF($AX$5:$AX$150&lt;&gt;"",ROW($AX$5:$AX$150),9999),ROW(A7)))&amp;""),"")</f>
        <v>226.7</v>
      </c>
      <c r="BT11">
        <f t="array" ref="BT11">IFERROR(VALUE(INDEX(AY:AY,SMALL(IF($AY$5:$AY$150&lt;&gt;"",ROW($AY$5:$AY$150),9999),ROW(A7)))&amp;""),"")</f>
        <v>7</v>
      </c>
      <c r="BU11">
        <f t="array" ref="BU11">IFERROR(VALUE(INDEX(AZ:AZ,SMALL(IF($AZ$5:$AZ$150&lt;&gt;"",ROW($AZ$5:$AZ$150),9999),ROW(A7)))&amp;""),"")</f>
        <v>216.1</v>
      </c>
      <c r="BV11">
        <f t="array" ref="BV11">IFERROR(VALUE(INDEX(BA:BA,SMALL(IF($BA$5:$BA$150&lt;&gt;"",ROW($BA$5:$BA$150),9999),ROW(A7)))&amp;""),"")</f>
        <v>8</v>
      </c>
      <c r="BX11">
        <f t="shared" si="53"/>
        <v>-75.7</v>
      </c>
      <c r="BY11">
        <f t="shared" si="54"/>
        <v>1.46</v>
      </c>
      <c r="BZ11">
        <f t="shared" si="55"/>
        <v>8</v>
      </c>
      <c r="CA11">
        <f t="shared" si="56"/>
        <v>0.57000000000000006</v>
      </c>
      <c r="CB11">
        <f t="shared" si="57"/>
        <v>8</v>
      </c>
      <c r="CC11">
        <f t="shared" si="58"/>
        <v>0.65</v>
      </c>
      <c r="CD11">
        <f t="shared" si="59"/>
        <v>8</v>
      </c>
      <c r="CE11">
        <f t="shared" si="60"/>
        <v>1.49</v>
      </c>
      <c r="CF11">
        <f t="shared" si="61"/>
        <v>7</v>
      </c>
      <c r="CG11">
        <f t="shared" si="62"/>
        <v>2.1599999999999997</v>
      </c>
      <c r="CH11">
        <f t="shared" si="63"/>
        <v>8</v>
      </c>
      <c r="CW11" t="str">
        <f t="shared" si="9"/>
        <v/>
      </c>
      <c r="CX11" t="str">
        <f t="shared" si="10"/>
        <v/>
      </c>
      <c r="CY11">
        <f t="shared" si="11"/>
        <v>0</v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>
        <f t="shared" si="23"/>
        <v>0</v>
      </c>
      <c r="DM11" t="str">
        <f t="shared" si="24"/>
        <v/>
      </c>
      <c r="DN11" t="str">
        <f t="shared" si="25"/>
        <v/>
      </c>
      <c r="DO11" t="str">
        <f t="shared" si="26"/>
        <v/>
      </c>
      <c r="DP11" t="str">
        <f t="shared" si="27"/>
        <v/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14</v>
      </c>
      <c r="B12">
        <v>1</v>
      </c>
      <c r="C12">
        <v>20.399999999999999</v>
      </c>
      <c r="D12">
        <v>2</v>
      </c>
      <c r="E12">
        <v>3</v>
      </c>
      <c r="F12">
        <v>10114</v>
      </c>
      <c r="G12">
        <v>19.8</v>
      </c>
      <c r="H12">
        <v>10</v>
      </c>
      <c r="I12">
        <v>19.8</v>
      </c>
      <c r="L12">
        <f t="shared" si="37"/>
        <v>2.04</v>
      </c>
      <c r="M12">
        <f t="shared" si="38"/>
        <v>10.399999999999999</v>
      </c>
      <c r="O12">
        <f t="shared" si="0"/>
        <v>20.399999999999999</v>
      </c>
      <c r="P12">
        <f t="shared" si="39"/>
        <v>2.04</v>
      </c>
      <c r="V12" t="str">
        <f t="shared" si="1"/>
        <v/>
      </c>
      <c r="W12" t="str">
        <f t="shared" si="2"/>
        <v/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>
        <f t="shared" si="42"/>
        <v>19.8</v>
      </c>
      <c r="AU12" s="25">
        <f t="shared" si="43"/>
        <v>3</v>
      </c>
      <c r="AV12" t="str">
        <f t="shared" si="44"/>
        <v/>
      </c>
      <c r="AW12" s="25" t="str">
        <f t="shared" si="43"/>
        <v/>
      </c>
      <c r="AX12" t="str">
        <f t="shared" si="45"/>
        <v/>
      </c>
      <c r="AY12" s="25" t="str">
        <f t="shared" si="3"/>
        <v/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242.4</v>
      </c>
      <c r="BN12">
        <f t="array" ref="BN12">IFERROR(VALUE(INDEX(AS:AS,SMALL(IF($AS$5:$AS$150&lt;&gt;"",ROW($AS$5:$AS$150),9999),ROW(A8)))&amp;""),"")</f>
        <v>9</v>
      </c>
      <c r="BO12">
        <f t="array" ref="BO12">IFERROR(VALUE(INDEX(AT:AT,SMALL(IF($AT$5:$AT$150&lt;&gt;"",ROW($AT$5:$AT$150),9999),ROW(A8)))&amp;""),"")</f>
        <v>111.6</v>
      </c>
      <c r="BP12">
        <f t="array" ref="BP12">IFERROR(VALUE(INDEX(AU:AU,SMALL(IF($AU$5:$AU$150&lt;&gt;"",ROW($AU$5:$AU$150),9999),ROW(A8)))&amp;""),"")</f>
        <v>9</v>
      </c>
      <c r="BQ12">
        <f t="array" ref="BQ12">IFERROR(VALUE(INDEX(AV:AV,SMALL(IF($AV$5:$AV$150&lt;&gt;"",ROW($AV$5:$AV$150),9999),ROW(A8)))&amp;""),"")</f>
        <v>132.69999999999999</v>
      </c>
      <c r="BR12">
        <f t="array" ref="BR12">IFERROR(VALUE(INDEX(AW:AW,SMALL(IF($AW$5:$AW$150&lt;&gt;"",ROW($AW$5:$AW$150),9999),ROW(A8)))&amp;""),"")</f>
        <v>9</v>
      </c>
      <c r="BS12">
        <f t="array" ref="BS12">IFERROR(VALUE(INDEX(AX:AX,SMALL(IF($AX$5:$AX$150&lt;&gt;"",ROW($AX$5:$AX$150),9999),ROW(A8)))&amp;""),"")</f>
        <v>337</v>
      </c>
      <c r="BT12">
        <f t="array" ref="BT12">IFERROR(VALUE(INDEX(AY:AY,SMALL(IF($AY$5:$AY$150&lt;&gt;"",ROW($AY$5:$AY$150),9999),ROW(A8)))&amp;""),"")</f>
        <v>9</v>
      </c>
      <c r="BU12">
        <f t="array" ref="BU12">IFERROR(VALUE(INDEX(AZ:AZ,SMALL(IF($AZ$5:$AZ$150&lt;&gt;"",ROW($AZ$5:$AZ$150),9999),ROW(A8)))&amp;""),"")</f>
        <v>465.3</v>
      </c>
      <c r="BV12">
        <f t="array" ref="BV12">IFERROR(VALUE(INDEX(BA:BA,SMALL(IF($BA$5:$BA$150&lt;&gt;"",ROW($BA$5:$BA$150),9999),ROW(A8)))&amp;""),"")</f>
        <v>9</v>
      </c>
      <c r="BX12">
        <f t="shared" si="53"/>
        <v>-308.5</v>
      </c>
      <c r="BY12">
        <f t="shared" si="54"/>
        <v>2.2799999999999998</v>
      </c>
      <c r="BZ12">
        <f t="shared" si="55"/>
        <v>9</v>
      </c>
      <c r="CA12">
        <f t="shared" si="56"/>
        <v>1.21</v>
      </c>
      <c r="CB12">
        <f t="shared" si="57"/>
        <v>9</v>
      </c>
      <c r="CC12">
        <f t="shared" si="58"/>
        <v>5.45</v>
      </c>
      <c r="CD12">
        <f t="shared" si="59"/>
        <v>9</v>
      </c>
      <c r="CE12">
        <f t="shared" si="60"/>
        <v>1.82</v>
      </c>
      <c r="CF12">
        <f t="shared" si="61"/>
        <v>9</v>
      </c>
      <c r="CG12">
        <f t="shared" si="62"/>
        <v>1.83</v>
      </c>
      <c r="CH12">
        <f t="shared" si="63"/>
        <v>9</v>
      </c>
      <c r="CW12" t="str">
        <f t="shared" si="9"/>
        <v/>
      </c>
      <c r="CX12">
        <f t="shared" si="10"/>
        <v>0</v>
      </c>
      <c r="CY12" t="str">
        <f t="shared" si="11"/>
        <v/>
      </c>
      <c r="CZ12" t="str">
        <f t="shared" si="12"/>
        <v/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 t="str">
        <f t="shared" si="23"/>
        <v/>
      </c>
      <c r="DM12" t="str">
        <f t="shared" si="24"/>
        <v/>
      </c>
      <c r="DN12">
        <f t="shared" si="25"/>
        <v>0</v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14</v>
      </c>
      <c r="B13">
        <v>2</v>
      </c>
      <c r="C13">
        <v>20.8</v>
      </c>
      <c r="D13">
        <v>2</v>
      </c>
      <c r="E13">
        <v>4</v>
      </c>
      <c r="F13">
        <v>9928</v>
      </c>
      <c r="G13">
        <v>24.7</v>
      </c>
      <c r="H13">
        <v>11.3</v>
      </c>
      <c r="I13">
        <v>20.8</v>
      </c>
      <c r="L13">
        <f t="shared" si="37"/>
        <v>1.8407079646017699</v>
      </c>
      <c r="M13">
        <f t="shared" si="38"/>
        <v>9.5</v>
      </c>
      <c r="O13">
        <f t="shared" si="0"/>
        <v>20.8</v>
      </c>
      <c r="P13">
        <f t="shared" si="39"/>
        <v>1.8407079646017699</v>
      </c>
      <c r="V13" t="str">
        <f t="shared" si="1"/>
        <v/>
      </c>
      <c r="W13" t="str">
        <f t="shared" si="2"/>
        <v/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>
        <f t="shared" si="42"/>
        <v>24.7</v>
      </c>
      <c r="AU13" s="25">
        <f t="shared" si="43"/>
        <v>4</v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 t="str">
        <f t="shared" si="47"/>
        <v/>
      </c>
      <c r="BC13" s="25" t="str">
        <f t="shared" si="48"/>
        <v/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550.9</v>
      </c>
      <c r="BN13">
        <f t="array" ref="BN13">IFERROR(VALUE(INDEX(AS:AS,SMALL(IF($AS$5:$AS$150&lt;&gt;"",ROW($AS$5:$AS$150),9999),ROW(A9)))&amp;""),"")</f>
        <v>10</v>
      </c>
      <c r="BO13">
        <f t="array" ref="BO13">IFERROR(VALUE(INDEX(AT:AT,SMALL(IF($AT$5:$AT$150&lt;&gt;"",ROW($AT$5:$AT$150),9999),ROW(A9)))&amp;""),"")</f>
        <v>134.6</v>
      </c>
      <c r="BP13">
        <f t="array" ref="BP13">IFERROR(VALUE(INDEX(AU:AU,SMALL(IF($AU$5:$AU$150&lt;&gt;"",ROW($AU$5:$AU$150),9999),ROW(A9)))&amp;""),"")</f>
        <v>10</v>
      </c>
      <c r="BQ13">
        <f t="array" ref="BQ13">IFERROR(VALUE(INDEX(AV:AV,SMALL(IF($AV$5:$AV$150&lt;&gt;"",ROW($AV$5:$AV$150),9999),ROW(A9)))&amp;""),"")</f>
        <v>722.4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613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850.2</v>
      </c>
      <c r="BV13">
        <f t="array" ref="BV13">IFERROR(VALUE(INDEX(BA:BA,SMALL(IF($BA$5:$BA$150&lt;&gt;"",ROW($BA$5:$BA$150),9999),ROW(A9)))&amp;""),"")</f>
        <v>10</v>
      </c>
      <c r="BX13">
        <f t="shared" si="53"/>
        <v>-466.8</v>
      </c>
      <c r="BY13">
        <f t="shared" si="54"/>
        <v>1.85</v>
      </c>
      <c r="BZ13">
        <f t="shared" si="55"/>
        <v>10</v>
      </c>
      <c r="CA13">
        <f t="shared" si="56"/>
        <v>7.46</v>
      </c>
      <c r="CB13">
        <f t="shared" si="57"/>
        <v>10</v>
      </c>
      <c r="CC13">
        <f t="shared" si="58"/>
        <v>1.62</v>
      </c>
      <c r="CD13">
        <f t="shared" si="59"/>
        <v>10</v>
      </c>
      <c r="CE13">
        <f t="shared" si="60"/>
        <v>1.95</v>
      </c>
      <c r="CF13">
        <f t="shared" si="61"/>
        <v>10</v>
      </c>
      <c r="CG13">
        <f t="shared" si="62"/>
        <v>1.53</v>
      </c>
      <c r="CH13">
        <f t="shared" si="63"/>
        <v>10</v>
      </c>
      <c r="CW13" t="str">
        <f t="shared" si="9"/>
        <v/>
      </c>
      <c r="CX13">
        <f t="shared" si="10"/>
        <v>0</v>
      </c>
      <c r="CY13" t="str">
        <f t="shared" si="11"/>
        <v/>
      </c>
      <c r="CZ13" t="str">
        <f t="shared" si="12"/>
        <v/>
      </c>
      <c r="DA13" t="str">
        <f t="shared" si="13"/>
        <v/>
      </c>
      <c r="DB13" t="str">
        <f t="shared" si="14"/>
        <v/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 t="str">
        <f t="shared" si="23"/>
        <v/>
      </c>
      <c r="DM13" t="str">
        <f t="shared" si="24"/>
        <v/>
      </c>
      <c r="DN13" t="str">
        <f t="shared" si="25"/>
        <v/>
      </c>
      <c r="DO13">
        <f t="shared" si="26"/>
        <v>0</v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2</v>
      </c>
      <c r="B14">
        <v>14</v>
      </c>
      <c r="C14">
        <v>24.7</v>
      </c>
      <c r="D14">
        <v>4</v>
      </c>
      <c r="E14">
        <v>2</v>
      </c>
      <c r="F14">
        <v>8359</v>
      </c>
      <c r="G14">
        <v>20.8</v>
      </c>
      <c r="H14">
        <v>11.3</v>
      </c>
      <c r="I14">
        <v>25.2</v>
      </c>
      <c r="L14">
        <f t="shared" si="37"/>
        <v>2.1858407079646014</v>
      </c>
      <c r="M14">
        <f t="shared" si="38"/>
        <v>13.399999999999999</v>
      </c>
      <c r="O14" t="str">
        <f t="shared" si="0"/>
        <v/>
      </c>
      <c r="P14" t="str">
        <f t="shared" si="39"/>
        <v/>
      </c>
      <c r="V14">
        <f t="shared" si="1"/>
        <v>24.7</v>
      </c>
      <c r="W14">
        <f t="shared" si="2"/>
        <v>2.1858407079646014</v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 t="str">
        <f t="shared" si="42"/>
        <v/>
      </c>
      <c r="AU14" s="25" t="str">
        <f t="shared" si="43"/>
        <v/>
      </c>
      <c r="AV14" t="str">
        <f t="shared" si="44"/>
        <v/>
      </c>
      <c r="AW14" s="25" t="str">
        <f t="shared" si="43"/>
        <v/>
      </c>
      <c r="AX14">
        <f t="shared" si="45"/>
        <v>20.8</v>
      </c>
      <c r="AY14" s="25">
        <f t="shared" si="3"/>
        <v>2</v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1017.7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1002.9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1167.2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1194.2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1299.4000000000001</v>
      </c>
      <c r="BV14">
        <f t="array" ref="BV14">IFERROR(VALUE(INDEX(BA:BA,SMALL(IF($BA$5:$BA$150&lt;&gt;"",ROW($BA$5:$BA$150),9999),ROW(A10)))&amp;""),"")</f>
        <v>11</v>
      </c>
      <c r="BX14">
        <f t="shared" si="53"/>
        <v>-571.5</v>
      </c>
      <c r="BY14">
        <f t="shared" si="54"/>
        <v>1.57</v>
      </c>
      <c r="BZ14">
        <f t="shared" si="55"/>
        <v>11</v>
      </c>
      <c r="CA14">
        <f t="shared" si="56"/>
        <v>1.57</v>
      </c>
      <c r="CB14">
        <f t="shared" si="57"/>
        <v>11</v>
      </c>
      <c r="CC14">
        <f t="shared" si="58"/>
        <v>1.64</v>
      </c>
      <c r="CD14">
        <f t="shared" si="59"/>
        <v>11</v>
      </c>
      <c r="CE14">
        <f t="shared" si="60"/>
        <v>1.65</v>
      </c>
      <c r="CF14">
        <f t="shared" si="61"/>
        <v>11</v>
      </c>
      <c r="CG14">
        <f t="shared" si="62"/>
        <v>1.22</v>
      </c>
      <c r="CH14">
        <f t="shared" si="63"/>
        <v>11</v>
      </c>
      <c r="CW14" t="str">
        <f t="shared" si="9"/>
        <v/>
      </c>
      <c r="CX14" t="str">
        <f t="shared" si="10"/>
        <v/>
      </c>
      <c r="CY14" t="str">
        <f t="shared" si="11"/>
        <v/>
      </c>
      <c r="CZ14">
        <f t="shared" si="12"/>
        <v>0</v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>
        <f t="shared" si="24"/>
        <v>0</v>
      </c>
      <c r="DN14" t="str">
        <f t="shared" si="25"/>
        <v/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1</v>
      </c>
      <c r="B15">
        <v>2</v>
      </c>
      <c r="C15">
        <v>27.4</v>
      </c>
      <c r="D15">
        <v>3</v>
      </c>
      <c r="E15">
        <v>4</v>
      </c>
      <c r="F15">
        <v>7516</v>
      </c>
      <c r="G15">
        <v>30.1</v>
      </c>
      <c r="H15">
        <v>14.3</v>
      </c>
      <c r="I15">
        <v>25.5</v>
      </c>
      <c r="L15">
        <f t="shared" si="37"/>
        <v>1.9160839160839158</v>
      </c>
      <c r="M15">
        <f t="shared" si="38"/>
        <v>13.099999999999998</v>
      </c>
      <c r="O15">
        <f t="shared" si="0"/>
        <v>27.4</v>
      </c>
      <c r="P15">
        <f t="shared" si="39"/>
        <v>1.9160839160839158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 t="str">
        <f t="shared" si="42"/>
        <v/>
      </c>
      <c r="AU15" s="25" t="str">
        <f t="shared" si="43"/>
        <v/>
      </c>
      <c r="AV15">
        <f t="shared" si="44"/>
        <v>30.1</v>
      </c>
      <c r="AW15" s="25">
        <f t="shared" si="43"/>
        <v>4</v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1589.2</v>
      </c>
      <c r="BN15">
        <f t="array" ref="BN15">IFERROR(VALUE(INDEX(AS:AS,SMALL(IF($AS$5:$AS$150&lt;&gt;"",ROW($AS$5:$AS$150),9999),ROW(A11)))&amp;""),"")</f>
        <v>14</v>
      </c>
      <c r="BO15">
        <f t="array" ref="BO15">IFERROR(VALUE(INDEX(AT:AT,SMALL(IF($AT$5:$AT$150&lt;&gt;"",ROW($AT$5:$AT$150),9999),ROW(A11)))&amp;""),"")</f>
        <v>1565.2</v>
      </c>
      <c r="BP15">
        <f t="array" ref="BP15">IFERROR(VALUE(INDEX(AU:AU,SMALL(IF($AU$5:$AU$150&lt;&gt;"",ROW($AU$5:$AU$150),9999),ROW(A11)))&amp;""),"")</f>
        <v>13</v>
      </c>
      <c r="BQ15">
        <f t="array" ref="BQ15">IFERROR(VALUE(INDEX(AV:AV,SMALL(IF($AV$5:$AV$150&lt;&gt;"",ROW($AV$5:$AV$150),9999),ROW(A11)))&amp;""),"")</f>
        <v>1913</v>
      </c>
      <c r="BR15">
        <f t="array" ref="BR15">IFERROR(VALUE(INDEX(AW:AW,SMALL(IF($AW$5:$AW$150&lt;&gt;"",ROW($AW$5:$AW$150),9999),ROW(A11)))&amp;""),"")</f>
        <v>14</v>
      </c>
      <c r="BS15">
        <f t="array" ref="BS15">IFERROR(VALUE(INDEX(AX:AX,SMALL(IF($AX$5:$AX$150&lt;&gt;"",ROW($AX$5:$AX$150),9999),ROW(A11)))&amp;""),"")</f>
        <v>1967.6</v>
      </c>
      <c r="BT15">
        <f t="array" ref="BT15">IFERROR(VALUE(INDEX(AY:AY,SMALL(IF($AY$5:$AY$150&lt;&gt;"",ROW($AY$5:$AY$150),9999),ROW(A11)))&amp;""),"")</f>
        <v>13</v>
      </c>
      <c r="BU15">
        <f t="array" ref="BU15">IFERROR(VALUE(INDEX(AZ:AZ,SMALL(IF($AZ$5:$AZ$150&lt;&gt;"",ROW($AZ$5:$AZ$150),9999),ROW(A11)))&amp;""),"")</f>
        <v>1577.1</v>
      </c>
      <c r="BV15">
        <f t="array" ref="BV15">IFERROR(VALUE(INDEX(BA:BA,SMALL(IF($BA$5:$BA$150&lt;&gt;"",ROW($BA$5:$BA$150),9999),ROW(A11)))&amp;""),"")</f>
        <v>12</v>
      </c>
      <c r="BX15">
        <f t="shared" si="53"/>
        <v>289.8</v>
      </c>
      <c r="BY15">
        <f t="shared" si="54"/>
        <v>0.82000000000000006</v>
      </c>
      <c r="BZ15">
        <f t="shared" si="55"/>
        <v>14</v>
      </c>
      <c r="CA15">
        <f t="shared" si="56"/>
        <v>1.1599999999999999</v>
      </c>
      <c r="CB15">
        <f t="shared" si="57"/>
        <v>13</v>
      </c>
      <c r="CC15">
        <f t="shared" si="58"/>
        <v>1.03</v>
      </c>
      <c r="CD15">
        <f t="shared" si="59"/>
        <v>14</v>
      </c>
      <c r="CE15">
        <f t="shared" si="60"/>
        <v>1</v>
      </c>
      <c r="CF15">
        <f t="shared" si="61"/>
        <v>13</v>
      </c>
      <c r="CG15">
        <f t="shared" si="62"/>
        <v>1.26</v>
      </c>
      <c r="CH15">
        <f t="shared" si="63"/>
        <v>12</v>
      </c>
      <c r="CW15" t="str">
        <f t="shared" si="9"/>
        <v/>
      </c>
      <c r="CX15" t="str">
        <f t="shared" si="10"/>
        <v/>
      </c>
      <c r="CY15">
        <f t="shared" si="11"/>
        <v>0</v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>
        <f t="shared" si="26"/>
        <v>0</v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2</v>
      </c>
      <c r="B16">
        <v>8</v>
      </c>
      <c r="C16">
        <v>27.7</v>
      </c>
      <c r="D16">
        <v>4</v>
      </c>
      <c r="E16">
        <v>1</v>
      </c>
      <c r="F16">
        <v>7449</v>
      </c>
      <c r="G16">
        <v>16.7</v>
      </c>
      <c r="H16">
        <v>10.4</v>
      </c>
      <c r="I16">
        <v>22.1</v>
      </c>
      <c r="L16">
        <f t="shared" si="37"/>
        <v>2.6634615384615383</v>
      </c>
      <c r="M16">
        <f t="shared" si="38"/>
        <v>17.299999999999997</v>
      </c>
      <c r="O16" t="str">
        <f t="shared" si="0"/>
        <v/>
      </c>
      <c r="P16" t="str">
        <f t="shared" si="39"/>
        <v/>
      </c>
      <c r="V16">
        <f t="shared" si="1"/>
        <v>27.7</v>
      </c>
      <c r="W16">
        <f t="shared" si="2"/>
        <v>2.6634615384615383</v>
      </c>
      <c r="AJ16">
        <v>12</v>
      </c>
      <c r="AK16" t="e">
        <f>#REF!</f>
        <v>#REF!</v>
      </c>
      <c r="AL16" s="25" t="str">
        <f>IFERROR(RANK(AK16,AK5:AK22,0),"")</f>
        <v/>
      </c>
      <c r="AR16" t="str">
        <f t="shared" si="40"/>
        <v/>
      </c>
      <c r="AS16" s="25" t="str">
        <f t="shared" si="41"/>
        <v/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>
        <f t="shared" si="45"/>
        <v>16.7</v>
      </c>
      <c r="AY16" s="25">
        <f t="shared" si="3"/>
        <v>1</v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1299.4000000000001</v>
      </c>
      <c r="BN16">
        <f t="array" ref="BN16">IFERROR(VALUE(INDEX(AS:AS,SMALL(IF($AS$5:$AS$150&lt;&gt;"",ROW($AS$5:$AS$150),9999),ROW(A12)))&amp;""),"")</f>
        <v>13</v>
      </c>
      <c r="BO16">
        <f t="array" ref="BO16">IFERROR(VALUE(INDEX(AT:AT,SMALL(IF($AT$5:$AT$150&lt;&gt;"",ROW($AT$5:$AT$150),9999),ROW(A12)))&amp;""),"")</f>
        <v>1812.3</v>
      </c>
      <c r="BP16">
        <f t="array" ref="BP16">IFERROR(VALUE(INDEX(AU:AU,SMALL(IF($AU$5:$AU$150&lt;&gt;"",ROW($AU$5:$AU$150),9999),ROW(A12)))&amp;""),"")</f>
        <v>12</v>
      </c>
      <c r="BQ16">
        <f t="array" ref="BQ16">IFERROR(VALUE(INDEX(AV:AV,SMALL(IF($AV$5:$AV$150&lt;&gt;"",ROW($AV$5:$AV$150),9999),ROW(A12)))&amp;""),"")</f>
        <v>1967.6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1967.6</v>
      </c>
      <c r="BT16">
        <f t="array" ref="BT16">IFERROR(VALUE(INDEX(AY:AY,SMALL(IF($AY$5:$AY$150&lt;&gt;"",ROW($AY$5:$AY$150),9999),ROW(A12)))&amp;""),"")</f>
        <v>14</v>
      </c>
      <c r="BU16">
        <f t="array" ref="BU16">IFERROR(VALUE(INDEX(AZ:AZ,SMALL(IF($AZ$5:$AZ$150&lt;&gt;"",ROW($AZ$5:$AZ$150),9999),ROW(A12)))&amp;""),"")</f>
        <v>1986.6</v>
      </c>
      <c r="BV16">
        <f t="array" ref="BV16">IFERROR(VALUE(INDEX(BA:BA,SMALL(IF($BA$5:$BA$150&lt;&gt;"",ROW($BA$5:$BA$150),9999),ROW(A12)))&amp;""),"")</f>
        <v>14</v>
      </c>
      <c r="BX16">
        <f t="shared" si="53"/>
        <v>-528.9</v>
      </c>
      <c r="BY16">
        <f t="shared" si="54"/>
        <v>1.41</v>
      </c>
      <c r="BZ16">
        <f t="shared" si="55"/>
        <v>13</v>
      </c>
      <c r="CA16">
        <f t="shared" si="56"/>
        <v>1.1100000000000001</v>
      </c>
      <c r="CB16">
        <f t="shared" si="57"/>
        <v>12</v>
      </c>
      <c r="CC16">
        <f t="shared" si="58"/>
        <v>1.32</v>
      </c>
      <c r="CD16">
        <f t="shared" si="59"/>
        <v>13</v>
      </c>
      <c r="CE16">
        <f t="shared" si="60"/>
        <v>1.1200000000000001</v>
      </c>
      <c r="CF16">
        <f t="shared" si="61"/>
        <v>14</v>
      </c>
      <c r="CG16">
        <f t="shared" si="62"/>
        <v>1.1000000000000001</v>
      </c>
      <c r="CH16">
        <f t="shared" si="63"/>
        <v>14</v>
      </c>
      <c r="CW16" t="str">
        <f t="shared" si="9"/>
        <v/>
      </c>
      <c r="CX16" t="str">
        <f t="shared" si="10"/>
        <v/>
      </c>
      <c r="CY16" t="str">
        <f t="shared" si="11"/>
        <v/>
      </c>
      <c r="CZ16">
        <f t="shared" si="12"/>
        <v>0</v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>
        <f t="shared" si="23"/>
        <v>0</v>
      </c>
      <c r="DM16" t="str">
        <f t="shared" si="24"/>
        <v/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 t="str">
        <f t="shared" si="31"/>
        <v/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2</v>
      </c>
      <c r="B17">
        <v>1</v>
      </c>
      <c r="C17">
        <v>30.1</v>
      </c>
      <c r="D17">
        <v>4</v>
      </c>
      <c r="E17">
        <v>3</v>
      </c>
      <c r="F17">
        <v>6843</v>
      </c>
      <c r="G17">
        <v>27.4</v>
      </c>
      <c r="H17">
        <v>14.3</v>
      </c>
      <c r="I17">
        <v>33</v>
      </c>
      <c r="L17">
        <f t="shared" si="37"/>
        <v>2.104895104895105</v>
      </c>
      <c r="M17">
        <f t="shared" si="38"/>
        <v>15.8</v>
      </c>
      <c r="O17" t="str">
        <f t="shared" si="0"/>
        <v/>
      </c>
      <c r="P17" t="str">
        <f t="shared" si="39"/>
        <v/>
      </c>
      <c r="V17">
        <f t="shared" si="1"/>
        <v>30.1</v>
      </c>
      <c r="W17">
        <f t="shared" si="2"/>
        <v>2.104895104895105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 t="str">
        <f t="shared" si="44"/>
        <v/>
      </c>
      <c r="AW17" s="25" t="str">
        <f t="shared" si="43"/>
        <v/>
      </c>
      <c r="AX17">
        <f t="shared" si="45"/>
        <v>27.4</v>
      </c>
      <c r="AY17" s="25">
        <f t="shared" si="3"/>
        <v>3</v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>
        <f t="array" ref="BM17">IFERROR(VALUE(INDEX(AR:AR,SMALL(IF($AR$5:$AR$150&lt;&gt;"",ROW($AR$5:$AR$150),9999),ROW(A13)))&amp;""),"")</f>
        <v>1828.3</v>
      </c>
      <c r="BN17">
        <f t="array" ref="BN17">IFERROR(VALUE(INDEX(AS:AS,SMALL(IF($AS$5:$AS$150&lt;&gt;"",ROW($AS$5:$AS$150),9999),ROW(A13)))&amp;""),"")</f>
        <v>12</v>
      </c>
      <c r="BO17">
        <f t="array" ref="BO17">IFERROR(VALUE(INDEX(AT:AT,SMALL(IF($AT$5:$AT$150&lt;&gt;"",ROW($AT$5:$AT$150),9999),ROW(A13)))&amp;""),"")</f>
        <v>2005.9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2582.5</v>
      </c>
      <c r="BR17">
        <f t="array" ref="BR17">IFERROR(VALUE(INDEX(AW:AW,SMALL(IF($AW$5:$AW$150&lt;&gt;"",ROW($AW$5:$AW$150),9999),ROW(A13)))&amp;""),"")</f>
        <v>12</v>
      </c>
      <c r="BS17">
        <f t="array" ref="BS17">IFERROR(VALUE(INDEX(AX:AX,SMALL(IF($AX$5:$AX$150&lt;&gt;"",ROW($AX$5:$AX$150),9999),ROW(A13)))&amp;""),"")</f>
        <v>2197.9</v>
      </c>
      <c r="BT17">
        <f t="array" ref="BT17">IFERROR(VALUE(INDEX(AY:AY,SMALL(IF($AY$5:$AY$150&lt;&gt;"",ROW($AY$5:$AY$150),9999),ROW(A13)))&amp;""),"")</f>
        <v>12</v>
      </c>
      <c r="BU17">
        <f t="array" ref="BU17">IFERROR(VALUE(INDEX(AZ:AZ,SMALL(IF($AZ$5:$AZ$150&lt;&gt;"",ROW($AZ$5:$AZ$150),9999),ROW(A13)))&amp;""),"")</f>
        <v>2174.8000000000002</v>
      </c>
      <c r="BV17">
        <f t="array" ref="BV17">IFERROR(VALUE(INDEX(BA:BA,SMALL(IF($BA$5:$BA$150&lt;&gt;"",ROW($BA$5:$BA$150),9999),ROW(A13)))&amp;""),"")</f>
        <v>13</v>
      </c>
      <c r="BX17">
        <f t="shared" si="53"/>
        <v>-16.41</v>
      </c>
      <c r="BY17">
        <f t="shared" si="54"/>
        <v>1.01</v>
      </c>
      <c r="BZ17">
        <f t="shared" si="55"/>
        <v>12</v>
      </c>
      <c r="CA17">
        <f t="shared" si="56"/>
        <v>1.61</v>
      </c>
      <c r="CB17">
        <f t="shared" si="57"/>
        <v>14</v>
      </c>
      <c r="CC17">
        <f t="shared" si="58"/>
        <v>1.54</v>
      </c>
      <c r="CD17">
        <f t="shared" si="59"/>
        <v>12</v>
      </c>
      <c r="CE17">
        <f t="shared" si="60"/>
        <v>1.41</v>
      </c>
      <c r="CF17">
        <f t="shared" si="61"/>
        <v>12</v>
      </c>
      <c r="CG17">
        <f t="shared" si="62"/>
        <v>1.32</v>
      </c>
      <c r="CH17">
        <f t="shared" si="63"/>
        <v>13</v>
      </c>
      <c r="CW17" t="str">
        <f t="shared" si="9"/>
        <v/>
      </c>
      <c r="CX17" t="str">
        <f t="shared" si="10"/>
        <v/>
      </c>
      <c r="CY17" t="str">
        <f t="shared" si="11"/>
        <v/>
      </c>
      <c r="CZ17">
        <f t="shared" si="12"/>
        <v>0</v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 t="str">
        <f t="shared" si="24"/>
        <v/>
      </c>
      <c r="DN17">
        <f t="shared" si="25"/>
        <v>0</v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13</v>
      </c>
      <c r="B18">
        <v>8</v>
      </c>
      <c r="C18">
        <v>30.2</v>
      </c>
      <c r="D18">
        <v>5</v>
      </c>
      <c r="E18">
        <v>1</v>
      </c>
      <c r="F18">
        <v>6841</v>
      </c>
      <c r="G18">
        <v>16</v>
      </c>
      <c r="H18">
        <v>10.5</v>
      </c>
      <c r="I18">
        <v>28.5</v>
      </c>
      <c r="L18">
        <f t="shared" si="37"/>
        <v>2.8761904761904762</v>
      </c>
      <c r="M18">
        <f t="shared" si="38"/>
        <v>19.7</v>
      </c>
      <c r="O18" t="str">
        <f t="shared" si="0"/>
        <v/>
      </c>
      <c r="P18" t="str">
        <f t="shared" si="39"/>
        <v/>
      </c>
      <c r="V18">
        <f t="shared" si="1"/>
        <v>30.2</v>
      </c>
      <c r="W18">
        <f t="shared" si="2"/>
        <v>2.8761904761904762</v>
      </c>
      <c r="AJ18">
        <v>14</v>
      </c>
      <c r="AK18" t="e">
        <f>#REF!</f>
        <v>#REF!</v>
      </c>
      <c r="AL18" s="25" t="str">
        <f>IFERROR(RANK(AK18,AK5:AK22,0),"")</f>
        <v/>
      </c>
      <c r="AR18" t="str">
        <f t="shared" si="40"/>
        <v/>
      </c>
      <c r="AS18" s="25" t="str">
        <f t="shared" si="41"/>
        <v/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>
        <f t="shared" si="46"/>
        <v>16</v>
      </c>
      <c r="BA18" s="25">
        <f t="shared" si="4"/>
        <v>1</v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>
        <f t="array" ref="BM18">IFERROR(VALUE(INDEX(AR:AR,SMALL(IF($AR$5:$AR$150&lt;&gt;"",ROW($AR$5:$AR$150),9999),ROW(A14)))&amp;""),"")</f>
        <v>1844.7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3228.2</v>
      </c>
      <c r="BP18">
        <f t="array" ref="BP18">IFERROR(VALUE(INDEX(AU:AU,SMALL(IF($AU$5:$AU$150&lt;&gt;"",ROW($AU$5:$AU$150),9999),ROW(A14)))&amp;""),"")</f>
        <v>15</v>
      </c>
      <c r="BQ18">
        <f t="array" ref="BQ18">IFERROR(VALUE(INDEX(AV:AV,SMALL(IF($AV$5:$AV$150&lt;&gt;"",ROW($AV$5:$AV$150),9999),ROW(A14)))&amp;""),"")</f>
        <v>3973.2</v>
      </c>
      <c r="BR18">
        <f t="array" ref="BR18">IFERROR(VALUE(INDEX(AW:AW,SMALL(IF($AW$5:$AW$150&lt;&gt;"",ROW($AW$5:$AW$150),9999),ROW(A14)))&amp;""),"")</f>
        <v>15</v>
      </c>
      <c r="BS18">
        <f t="array" ref="BS18">IFERROR(VALUE(INDEX(AX:AX,SMALL(IF($AX$5:$AX$150&lt;&gt;"",ROW($AX$5:$AX$150),9999),ROW(A14)))&amp;""),"")</f>
        <v>3083.6</v>
      </c>
      <c r="BT18">
        <f t="array" ref="BT18">IFERROR(VALUE(INDEX(AY:AY,SMALL(IF($AY$5:$AY$150&lt;&gt;"",ROW($AY$5:$AY$150),9999),ROW(A14)))&amp;""),"")</f>
        <v>16</v>
      </c>
      <c r="BU18">
        <f t="array" ref="BU18">IFERROR(VALUE(INDEX(AZ:AZ,SMALL(IF($AZ$5:$AZ$150&lt;&gt;"",ROW($AZ$5:$AZ$150),9999),ROW(A14)))&amp;""),"")</f>
        <v>2869.5</v>
      </c>
      <c r="BV18">
        <f t="array" ref="BV18">IFERROR(VALUE(INDEX(BA:BA,SMALL(IF($BA$5:$BA$150&lt;&gt;"",ROW($BA$5:$BA$150),9999),ROW(A14)))&amp;""),"")</f>
        <v>15</v>
      </c>
      <c r="BX18">
        <f t="shared" si="53"/>
        <v>-161.19999999999999</v>
      </c>
      <c r="BY18">
        <f t="shared" si="54"/>
        <v>1.0900000000000001</v>
      </c>
      <c r="BZ18">
        <f t="shared" si="55"/>
        <v>15</v>
      </c>
      <c r="CA18">
        <f t="shared" si="56"/>
        <v>1.4</v>
      </c>
      <c r="CB18">
        <f t="shared" si="57"/>
        <v>15</v>
      </c>
      <c r="CC18">
        <f t="shared" si="58"/>
        <v>0.92</v>
      </c>
      <c r="CD18">
        <f t="shared" si="59"/>
        <v>15</v>
      </c>
      <c r="CE18">
        <f t="shared" si="60"/>
        <v>1.07</v>
      </c>
      <c r="CF18">
        <f t="shared" si="61"/>
        <v>16</v>
      </c>
      <c r="CG18">
        <f t="shared" si="62"/>
        <v>1.39</v>
      </c>
      <c r="CH18">
        <f t="shared" si="63"/>
        <v>15</v>
      </c>
      <c r="CW18" t="str">
        <f t="shared" si="9"/>
        <v/>
      </c>
      <c r="CX18" t="str">
        <f t="shared" si="10"/>
        <v/>
      </c>
      <c r="CY18" t="str">
        <f t="shared" si="11"/>
        <v/>
      </c>
      <c r="CZ18" t="str">
        <f t="shared" si="12"/>
        <v/>
      </c>
      <c r="DA18">
        <f t="shared" si="13"/>
        <v>0</v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>
        <f t="shared" si="23"/>
        <v>0</v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 t="str">
        <f t="shared" si="29"/>
        <v/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8</v>
      </c>
      <c r="B19">
        <v>15</v>
      </c>
      <c r="C19">
        <v>33</v>
      </c>
      <c r="D19">
        <v>1</v>
      </c>
      <c r="E19">
        <v>6</v>
      </c>
      <c r="F19">
        <v>6247</v>
      </c>
      <c r="G19">
        <v>55.3</v>
      </c>
      <c r="H19">
        <v>20.7</v>
      </c>
      <c r="I19">
        <v>25.7</v>
      </c>
      <c r="L19">
        <f t="shared" si="37"/>
        <v>1.5942028985507246</v>
      </c>
      <c r="M19">
        <f t="shared" si="38"/>
        <v>12.3</v>
      </c>
      <c r="O19">
        <f t="shared" si="0"/>
        <v>33</v>
      </c>
      <c r="P19">
        <f t="shared" si="39"/>
        <v>1.5942028985507246</v>
      </c>
      <c r="V19" t="str">
        <f t="shared" si="1"/>
        <v/>
      </c>
      <c r="W19" t="str">
        <f t="shared" si="2"/>
        <v/>
      </c>
      <c r="AJ19">
        <v>15</v>
      </c>
      <c r="AK19">
        <f>AF105</f>
        <v>0</v>
      </c>
      <c r="AL19" s="25" t="str">
        <f>IFERROR(RANK(AK19,AK5:AK22,0),"")</f>
        <v/>
      </c>
      <c r="AR19">
        <f t="shared" si="40"/>
        <v>55.3</v>
      </c>
      <c r="AS19" s="25">
        <f t="shared" si="41"/>
        <v>6</v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 t="str">
        <f t="shared" si="46"/>
        <v/>
      </c>
      <c r="BA19" s="25" t="str">
        <f t="shared" si="4"/>
        <v/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>
        <f t="array" ref="BM19">IFERROR(VALUE(INDEX(AR:AR,SMALL(IF($AR$5:$AR$150&lt;&gt;"",ROW($AR$5:$AR$150),9999),ROW(A15)))&amp;""),"")</f>
        <v>2005.9</v>
      </c>
      <c r="BN19">
        <f t="array" ref="BN19">IFERROR(VALUE(INDEX(AS:AS,SMALL(IF($AS$5:$AS$150&lt;&gt;"",ROW($AS$5:$AS$150),9999),ROW(A15)))&amp;""),"")</f>
        <v>16</v>
      </c>
      <c r="BO19">
        <f t="array" ref="BO19">IFERROR(VALUE(INDEX(AT:AT,SMALL(IF($AT$5:$AT$150&lt;&gt;"",ROW($AT$5:$AT$150),9999),ROW(A15)))&amp;""),"")</f>
        <v>4491.3999999999996</v>
      </c>
      <c r="BP19">
        <f t="array" ref="BP19">IFERROR(VALUE(INDEX(AU:AU,SMALL(IF($AU$5:$AU$150&lt;&gt;"",ROW($AU$5:$AU$150),9999),ROW(A15)))&amp;""),"")</f>
        <v>16</v>
      </c>
      <c r="BQ19">
        <f t="array" ref="BQ19">IFERROR(VALUE(INDEX(AV:AV,SMALL(IF($AV$5:$AV$150&lt;&gt;"",ROW($AV$5:$AV$150),9999),ROW(A15)))&amp;""),"")</f>
        <v>3624.6</v>
      </c>
      <c r="BR19">
        <f t="array" ref="BR19">IFERROR(VALUE(INDEX(AW:AW,SMALL(IF($AW$5:$AW$150&lt;&gt;"",ROW($AW$5:$AW$150),9999),ROW(A15)))&amp;""),"")</f>
        <v>16</v>
      </c>
      <c r="BS19">
        <f t="array" ref="BS19">IFERROR(VALUE(INDEX(AX:AX,SMALL(IF($AX$5:$AX$150&lt;&gt;"",ROW($AX$5:$AX$150),9999),ROW(A15)))&amp;""),"")</f>
        <v>3279.4</v>
      </c>
      <c r="BT19">
        <f t="array" ref="BT19">IFERROR(VALUE(INDEX(AY:AY,SMALL(IF($AY$5:$AY$150&lt;&gt;"",ROW($AY$5:$AY$150),9999),ROW(A15)))&amp;""),"")</f>
        <v>15</v>
      </c>
      <c r="BU19">
        <f t="array" ref="BU19">IFERROR(VALUE(INDEX(AZ:AZ,SMALL(IF($AZ$5:$AZ$150&lt;&gt;"",ROW($AZ$5:$AZ$150),9999),ROW(A15)))&amp;""),"")</f>
        <v>3973.2</v>
      </c>
      <c r="BV19">
        <f t="array" ref="BV19">IFERROR(VALUE(INDEX(BA:BA,SMALL(IF($BA$5:$BA$150&lt;&gt;"",ROW($BA$5:$BA$150),9999),ROW(A15)))&amp;""),"")</f>
        <v>16</v>
      </c>
      <c r="BX19" t="str">
        <f t="shared" si="53"/>
        <v/>
      </c>
      <c r="BY19" t="str">
        <f t="shared" si="54"/>
        <v/>
      </c>
      <c r="BZ19">
        <f t="shared" si="55"/>
        <v>16</v>
      </c>
      <c r="CA19" t="str">
        <f t="shared" si="56"/>
        <v/>
      </c>
      <c r="CB19">
        <f t="shared" si="57"/>
        <v>16</v>
      </c>
      <c r="CC19" t="str">
        <f t="shared" si="58"/>
        <v/>
      </c>
      <c r="CD19">
        <f t="shared" si="59"/>
        <v>16</v>
      </c>
      <c r="CE19" t="str">
        <f t="shared" si="60"/>
        <v/>
      </c>
      <c r="CF19">
        <f t="shared" si="61"/>
        <v>15</v>
      </c>
      <c r="CG19" t="str">
        <f t="shared" si="62"/>
        <v/>
      </c>
      <c r="CH19">
        <f t="shared" si="63"/>
        <v>16</v>
      </c>
      <c r="CW19">
        <f t="shared" si="9"/>
        <v>0</v>
      </c>
      <c r="CX19" t="str">
        <f t="shared" si="10"/>
        <v/>
      </c>
      <c r="CY19" t="str">
        <f t="shared" si="11"/>
        <v/>
      </c>
      <c r="CZ19" t="str">
        <f t="shared" si="12"/>
        <v/>
      </c>
      <c r="DA19" t="str">
        <f t="shared" si="13"/>
        <v/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 t="str">
        <f t="shared" si="23"/>
        <v/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>
        <f t="shared" si="28"/>
        <v>0</v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14</v>
      </c>
      <c r="B20">
        <v>13</v>
      </c>
      <c r="C20">
        <v>35.6</v>
      </c>
      <c r="D20">
        <v>2</v>
      </c>
      <c r="E20">
        <v>5</v>
      </c>
      <c r="F20">
        <v>5802</v>
      </c>
      <c r="G20">
        <v>40.1</v>
      </c>
      <c r="H20">
        <v>18.899999999999999</v>
      </c>
      <c r="I20">
        <v>29.1</v>
      </c>
      <c r="L20">
        <f t="shared" si="37"/>
        <v>1.8835978835978837</v>
      </c>
      <c r="M20">
        <f t="shared" si="38"/>
        <v>16.700000000000003</v>
      </c>
      <c r="O20">
        <f t="shared" si="0"/>
        <v>35.6</v>
      </c>
      <c r="P20">
        <f t="shared" si="39"/>
        <v>1.8835978835978837</v>
      </c>
      <c r="V20" t="str">
        <f t="shared" si="1"/>
        <v/>
      </c>
      <c r="W20" t="str">
        <f t="shared" si="2"/>
        <v/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>
        <f t="shared" si="42"/>
        <v>40.1</v>
      </c>
      <c r="AU20" s="25">
        <f t="shared" si="43"/>
        <v>5</v>
      </c>
      <c r="AV20" t="str">
        <f t="shared" si="44"/>
        <v/>
      </c>
      <c r="AW20" s="25" t="str">
        <f t="shared" si="43"/>
        <v/>
      </c>
      <c r="AX20" t="str">
        <f t="shared" si="45"/>
        <v/>
      </c>
      <c r="AY20" s="25" t="str">
        <f t="shared" si="3"/>
        <v/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>
        <f t="shared" si="10"/>
        <v>0</v>
      </c>
      <c r="CY20" t="str">
        <f t="shared" si="11"/>
        <v/>
      </c>
      <c r="CZ20" t="str">
        <f t="shared" si="12"/>
        <v/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 t="str">
        <f t="shared" si="25"/>
        <v/>
      </c>
      <c r="DO20" t="str">
        <f t="shared" si="26"/>
        <v/>
      </c>
      <c r="DP20">
        <f t="shared" si="27"/>
        <v>0</v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1</v>
      </c>
      <c r="B21">
        <v>13</v>
      </c>
      <c r="C21">
        <v>37.5</v>
      </c>
      <c r="D21">
        <v>3</v>
      </c>
      <c r="E21">
        <v>5</v>
      </c>
      <c r="F21">
        <v>5495</v>
      </c>
      <c r="G21">
        <v>44.6</v>
      </c>
      <c r="H21">
        <v>20.399999999999999</v>
      </c>
      <c r="I21">
        <v>37.1</v>
      </c>
      <c r="L21">
        <f t="shared" si="37"/>
        <v>1.8382352941176472</v>
      </c>
      <c r="M21">
        <f t="shared" si="38"/>
        <v>17.100000000000001</v>
      </c>
      <c r="O21">
        <f t="shared" si="0"/>
        <v>37.5</v>
      </c>
      <c r="P21">
        <f t="shared" si="39"/>
        <v>1.8382352941176472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>
        <f t="shared" si="44"/>
        <v>44.6</v>
      </c>
      <c r="AW21" s="25">
        <f t="shared" si="43"/>
        <v>5</v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>
        <f t="shared" si="11"/>
        <v>0</v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>
        <f t="shared" si="27"/>
        <v>0</v>
      </c>
      <c r="DQ21" t="str">
        <f t="shared" si="28"/>
        <v/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13</v>
      </c>
      <c r="B22">
        <v>14</v>
      </c>
      <c r="C22">
        <v>40.1</v>
      </c>
      <c r="D22">
        <v>5</v>
      </c>
      <c r="E22">
        <v>2</v>
      </c>
      <c r="F22">
        <v>5142</v>
      </c>
      <c r="G22">
        <v>35.6</v>
      </c>
      <c r="H22">
        <v>18.899999999999999</v>
      </c>
      <c r="I22">
        <v>37.9</v>
      </c>
      <c r="L22">
        <f t="shared" si="37"/>
        <v>2.1216931216931219</v>
      </c>
      <c r="M22">
        <f t="shared" si="38"/>
        <v>21.200000000000003</v>
      </c>
      <c r="O22" t="str">
        <f t="shared" si="0"/>
        <v/>
      </c>
      <c r="P22" t="str">
        <f t="shared" si="39"/>
        <v/>
      </c>
      <c r="V22">
        <f t="shared" si="1"/>
        <v>40.1</v>
      </c>
      <c r="W22">
        <f t="shared" si="2"/>
        <v>2.1216931216931219</v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 t="str">
        <f t="shared" si="42"/>
        <v/>
      </c>
      <c r="AU22" s="25" t="str">
        <f t="shared" si="43"/>
        <v/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>
        <f t="shared" si="46"/>
        <v>35.6</v>
      </c>
      <c r="BA22" s="25">
        <f t="shared" si="4"/>
        <v>2</v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 t="str">
        <f t="shared" si="10"/>
        <v/>
      </c>
      <c r="CY22" t="str">
        <f t="shared" si="11"/>
        <v/>
      </c>
      <c r="CZ22" t="str">
        <f t="shared" si="12"/>
        <v/>
      </c>
      <c r="DA22">
        <f t="shared" si="13"/>
        <v>0</v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>
        <f t="shared" si="24"/>
        <v>0</v>
      </c>
      <c r="DN22" t="str">
        <f t="shared" si="25"/>
        <v/>
      </c>
      <c r="DO22" t="str">
        <f t="shared" si="26"/>
        <v/>
      </c>
      <c r="DP22" t="str">
        <f t="shared" si="27"/>
        <v/>
      </c>
      <c r="DQ22" t="str">
        <f t="shared" si="28"/>
        <v/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14</v>
      </c>
      <c r="B23">
        <v>15</v>
      </c>
      <c r="C23">
        <v>43.5</v>
      </c>
      <c r="D23">
        <v>2</v>
      </c>
      <c r="E23">
        <v>6</v>
      </c>
      <c r="F23">
        <v>4747</v>
      </c>
      <c r="G23">
        <v>46.2</v>
      </c>
      <c r="H23">
        <v>22.4</v>
      </c>
      <c r="I23">
        <v>54.4</v>
      </c>
      <c r="L23">
        <f t="shared" si="37"/>
        <v>1.9419642857142858</v>
      </c>
      <c r="M23">
        <f t="shared" si="38"/>
        <v>21.1</v>
      </c>
      <c r="O23">
        <f t="shared" si="0"/>
        <v>43.5</v>
      </c>
      <c r="P23">
        <f t="shared" si="39"/>
        <v>1.9419642857142858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46.2</v>
      </c>
      <c r="AU23" s="25">
        <f t="shared" si="43"/>
        <v>6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 t="str">
        <f t="shared" si="26"/>
        <v/>
      </c>
      <c r="DP23" t="str">
        <f t="shared" si="27"/>
        <v/>
      </c>
      <c r="DQ23">
        <f t="shared" si="28"/>
        <v>0</v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13</v>
      </c>
      <c r="B24">
        <v>1</v>
      </c>
      <c r="C24">
        <v>44.6</v>
      </c>
      <c r="D24">
        <v>5</v>
      </c>
      <c r="E24">
        <v>3</v>
      </c>
      <c r="F24">
        <v>4625</v>
      </c>
      <c r="G24">
        <v>37.5</v>
      </c>
      <c r="H24">
        <v>20.399999999999999</v>
      </c>
      <c r="I24">
        <v>46.2</v>
      </c>
      <c r="L24">
        <f t="shared" si="37"/>
        <v>2.1862745098039218</v>
      </c>
      <c r="M24">
        <f t="shared" si="38"/>
        <v>24.200000000000003</v>
      </c>
      <c r="O24" t="str">
        <f t="shared" si="0"/>
        <v/>
      </c>
      <c r="P24" t="str">
        <f t="shared" si="39"/>
        <v/>
      </c>
      <c r="V24">
        <f t="shared" si="1"/>
        <v>44.6</v>
      </c>
      <c r="W24">
        <f t="shared" si="2"/>
        <v>2.1862745098039218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 t="str">
        <f t="shared" si="45"/>
        <v/>
      </c>
      <c r="AY24" s="25" t="str">
        <f t="shared" si="3"/>
        <v/>
      </c>
      <c r="AZ24">
        <f t="shared" si="46"/>
        <v>37.5</v>
      </c>
      <c r="BA24" s="25">
        <f t="shared" si="4"/>
        <v>3</v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 t="str">
        <f t="shared" si="12"/>
        <v/>
      </c>
      <c r="DA24">
        <f t="shared" si="13"/>
        <v>0</v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 t="str">
        <f t="shared" si="24"/>
        <v/>
      </c>
      <c r="DN24">
        <f t="shared" si="25"/>
        <v>0</v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2</v>
      </c>
      <c r="B25">
        <v>13</v>
      </c>
      <c r="C25">
        <v>44.8</v>
      </c>
      <c r="D25">
        <v>4</v>
      </c>
      <c r="E25">
        <v>5</v>
      </c>
      <c r="F25">
        <v>4602</v>
      </c>
      <c r="G25">
        <v>54.2</v>
      </c>
      <c r="H25">
        <v>24.5</v>
      </c>
      <c r="I25">
        <v>52.2</v>
      </c>
      <c r="L25">
        <f t="shared" si="37"/>
        <v>1.8285714285714285</v>
      </c>
      <c r="M25">
        <f t="shared" si="38"/>
        <v>20.299999999999997</v>
      </c>
      <c r="O25">
        <f t="shared" si="0"/>
        <v>44.8</v>
      </c>
      <c r="P25">
        <f t="shared" si="39"/>
        <v>1.8285714285714285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 t="str">
        <f t="shared" si="44"/>
        <v/>
      </c>
      <c r="AW25" s="25" t="str">
        <f t="shared" si="43"/>
        <v/>
      </c>
      <c r="AX25">
        <f t="shared" si="45"/>
        <v>54.2</v>
      </c>
      <c r="AY25" s="25">
        <f t="shared" si="3"/>
        <v>5</v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 t="str">
        <f t="shared" si="11"/>
        <v/>
      </c>
      <c r="CZ25">
        <f t="shared" si="12"/>
        <v>0</v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15</v>
      </c>
      <c r="B26">
        <v>14</v>
      </c>
      <c r="C26">
        <v>46.2</v>
      </c>
      <c r="D26">
        <v>6</v>
      </c>
      <c r="E26">
        <v>2</v>
      </c>
      <c r="F26">
        <v>4467</v>
      </c>
      <c r="G26">
        <v>43.5</v>
      </c>
      <c r="H26">
        <v>22.4</v>
      </c>
      <c r="I26">
        <v>67.2</v>
      </c>
      <c r="L26">
        <f t="shared" si="37"/>
        <v>2.0625000000000004</v>
      </c>
      <c r="M26">
        <f t="shared" si="38"/>
        <v>23.800000000000004</v>
      </c>
      <c r="O26" t="str">
        <f t="shared" si="0"/>
        <v/>
      </c>
      <c r="P26" t="str">
        <f t="shared" si="39"/>
        <v/>
      </c>
      <c r="V26">
        <f t="shared" si="1"/>
        <v>46.2</v>
      </c>
      <c r="W26">
        <f t="shared" si="2"/>
        <v>2.0625000000000004</v>
      </c>
      <c r="AR26" t="str">
        <f t="shared" si="40"/>
        <v/>
      </c>
      <c r="AS26" s="25" t="str">
        <f t="shared" si="41"/>
        <v/>
      </c>
      <c r="AT26" t="str">
        <f t="shared" si="42"/>
        <v/>
      </c>
      <c r="AU26" s="25" t="str">
        <f t="shared" si="43"/>
        <v/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>
        <f t="shared" si="47"/>
        <v>43.5</v>
      </c>
      <c r="BC26" s="25">
        <f t="shared" si="48"/>
        <v>2</v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 t="str">
        <f t="shared" si="10"/>
        <v/>
      </c>
      <c r="CY26" t="str">
        <f t="shared" si="11"/>
        <v/>
      </c>
      <c r="CZ26" t="str">
        <f t="shared" si="12"/>
        <v/>
      </c>
      <c r="DA26" t="str">
        <f t="shared" si="13"/>
        <v/>
      </c>
      <c r="DB26">
        <f t="shared" si="14"/>
        <v>0</v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>
        <f t="shared" si="24"/>
        <v>0</v>
      </c>
      <c r="DN26" t="str">
        <f t="shared" si="25"/>
        <v/>
      </c>
      <c r="DO26" t="str">
        <f t="shared" si="26"/>
        <v/>
      </c>
      <c r="DP26" t="str">
        <f t="shared" si="27"/>
        <v/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13</v>
      </c>
      <c r="B27">
        <v>2</v>
      </c>
      <c r="C27">
        <v>54.2</v>
      </c>
      <c r="D27">
        <v>5</v>
      </c>
      <c r="E27">
        <v>4</v>
      </c>
      <c r="F27">
        <v>3808</v>
      </c>
      <c r="G27">
        <v>44.8</v>
      </c>
      <c r="H27">
        <v>24.5</v>
      </c>
      <c r="I27">
        <v>53.7</v>
      </c>
      <c r="L27">
        <f t="shared" si="37"/>
        <v>2.212244897959184</v>
      </c>
      <c r="M27">
        <f t="shared" si="38"/>
        <v>29.700000000000003</v>
      </c>
      <c r="O27" t="str">
        <f t="shared" si="0"/>
        <v/>
      </c>
      <c r="P27" t="str">
        <f t="shared" si="39"/>
        <v/>
      </c>
      <c r="V27">
        <f t="shared" si="1"/>
        <v>54.2</v>
      </c>
      <c r="W27">
        <f t="shared" si="2"/>
        <v>2.212244897959184</v>
      </c>
      <c r="AR27" t="str">
        <f t="shared" si="40"/>
        <v/>
      </c>
      <c r="AS27" s="25" t="str">
        <f t="shared" si="41"/>
        <v/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>
        <f t="shared" si="46"/>
        <v>44.8</v>
      </c>
      <c r="BA27" s="25">
        <f t="shared" si="4"/>
        <v>4</v>
      </c>
      <c r="BB27" t="str">
        <f t="shared" si="47"/>
        <v/>
      </c>
      <c r="BC27" s="25" t="str">
        <f t="shared" si="48"/>
        <v/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 t="str">
        <f t="shared" si="10"/>
        <v/>
      </c>
      <c r="CY27" t="str">
        <f t="shared" si="11"/>
        <v/>
      </c>
      <c r="CZ27" t="str">
        <f t="shared" si="12"/>
        <v/>
      </c>
      <c r="DA27">
        <f t="shared" si="13"/>
        <v>0</v>
      </c>
      <c r="DB27" t="str">
        <f t="shared" si="14"/>
        <v/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 t="str">
        <f t="shared" si="25"/>
        <v/>
      </c>
      <c r="DO27">
        <f t="shared" si="26"/>
        <v>0</v>
      </c>
      <c r="DP27" t="str">
        <f t="shared" si="27"/>
        <v/>
      </c>
      <c r="DQ27" t="str">
        <f t="shared" si="28"/>
        <v/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15</v>
      </c>
      <c r="B28">
        <v>2</v>
      </c>
      <c r="C28">
        <v>54.6</v>
      </c>
      <c r="D28">
        <v>6</v>
      </c>
      <c r="E28">
        <v>4</v>
      </c>
      <c r="F28">
        <v>3778</v>
      </c>
      <c r="G28">
        <v>54.8</v>
      </c>
      <c r="H28">
        <v>27.3</v>
      </c>
      <c r="I28">
        <v>86.9</v>
      </c>
      <c r="L28">
        <f t="shared" si="37"/>
        <v>2</v>
      </c>
      <c r="M28">
        <f t="shared" si="38"/>
        <v>27.3</v>
      </c>
      <c r="O28" t="str">
        <f t="shared" si="0"/>
        <v/>
      </c>
      <c r="P28" t="str">
        <f t="shared" si="39"/>
        <v/>
      </c>
      <c r="V28">
        <f t="shared" si="1"/>
        <v>54.6</v>
      </c>
      <c r="W28">
        <f t="shared" si="2"/>
        <v>2</v>
      </c>
      <c r="AR28" t="str">
        <f t="shared" si="40"/>
        <v/>
      </c>
      <c r="AS28" s="25" t="str">
        <f t="shared" si="41"/>
        <v/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>
        <f t="shared" si="47"/>
        <v>54.8</v>
      </c>
      <c r="BC28" s="25">
        <f t="shared" si="48"/>
        <v>4</v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 t="str">
        <f t="shared" si="9"/>
        <v/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>
        <f t="shared" si="14"/>
        <v>0</v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>
        <f t="shared" si="26"/>
        <v>0</v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 t="str">
        <f t="shared" si="32"/>
        <v/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2</v>
      </c>
      <c r="B29">
        <v>15</v>
      </c>
      <c r="C29">
        <v>54.8</v>
      </c>
      <c r="D29">
        <v>4</v>
      </c>
      <c r="E29">
        <v>6</v>
      </c>
      <c r="F29">
        <v>3770</v>
      </c>
      <c r="G29">
        <v>54.6</v>
      </c>
      <c r="H29">
        <v>27.3</v>
      </c>
      <c r="I29">
        <v>89.7</v>
      </c>
      <c r="L29">
        <f t="shared" si="37"/>
        <v>2.0073260073260073</v>
      </c>
      <c r="M29">
        <f t="shared" si="38"/>
        <v>27.499999999999996</v>
      </c>
      <c r="O29">
        <f t="shared" si="0"/>
        <v>54.8</v>
      </c>
      <c r="P29">
        <f t="shared" si="39"/>
        <v>2.0073260073260073</v>
      </c>
      <c r="V29" t="str">
        <f t="shared" si="1"/>
        <v/>
      </c>
      <c r="W29" t="str">
        <f t="shared" si="2"/>
        <v/>
      </c>
      <c r="AR29" t="str">
        <f t="shared" si="40"/>
        <v/>
      </c>
      <c r="AS29" s="25" t="str">
        <f t="shared" si="41"/>
        <v/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>
        <f t="shared" si="45"/>
        <v>54.6</v>
      </c>
      <c r="AY29" s="25">
        <f t="shared" si="3"/>
        <v>6</v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 t="str">
        <f t="shared" si="9"/>
        <v/>
      </c>
      <c r="CX29" t="str">
        <f t="shared" si="10"/>
        <v/>
      </c>
      <c r="CY29" t="str">
        <f t="shared" si="11"/>
        <v/>
      </c>
      <c r="CZ29">
        <f t="shared" si="12"/>
        <v>0</v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>
        <f t="shared" si="28"/>
        <v>0</v>
      </c>
      <c r="DR29" t="str">
        <f t="shared" si="29"/>
        <v/>
      </c>
      <c r="DS29" t="str">
        <f t="shared" si="30"/>
        <v/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15</v>
      </c>
      <c r="B30">
        <v>8</v>
      </c>
      <c r="C30">
        <v>55.3</v>
      </c>
      <c r="D30">
        <v>6</v>
      </c>
      <c r="E30">
        <v>1</v>
      </c>
      <c r="F30">
        <v>3731</v>
      </c>
      <c r="G30">
        <v>33</v>
      </c>
      <c r="H30">
        <v>20.7</v>
      </c>
      <c r="I30">
        <v>38.700000000000003</v>
      </c>
      <c r="L30">
        <f t="shared" si="37"/>
        <v>2.6714975845410627</v>
      </c>
      <c r="M30">
        <f t="shared" si="38"/>
        <v>34.599999999999994</v>
      </c>
      <c r="O30" t="str">
        <f t="shared" si="0"/>
        <v/>
      </c>
      <c r="P30" t="str">
        <f t="shared" si="39"/>
        <v/>
      </c>
      <c r="V30">
        <f t="shared" si="1"/>
        <v>55.3</v>
      </c>
      <c r="W30">
        <f t="shared" si="2"/>
        <v>2.6714975845410627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 t="str">
        <f t="shared" si="46"/>
        <v/>
      </c>
      <c r="BA30" s="25" t="str">
        <f t="shared" si="4"/>
        <v/>
      </c>
      <c r="BB30">
        <f t="shared" si="47"/>
        <v>33</v>
      </c>
      <c r="BC30" s="25">
        <f t="shared" si="48"/>
        <v>1</v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 t="str">
        <f t="shared" si="13"/>
        <v/>
      </c>
      <c r="DB30">
        <f t="shared" si="14"/>
        <v>0</v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>
        <f t="shared" si="23"/>
        <v>0</v>
      </c>
      <c r="DM30" t="str">
        <f t="shared" si="24"/>
        <v/>
      </c>
      <c r="DN30" t="str">
        <f t="shared" si="25"/>
        <v/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8</v>
      </c>
      <c r="B31">
        <v>9</v>
      </c>
      <c r="C31">
        <v>61.1</v>
      </c>
      <c r="D31">
        <v>1</v>
      </c>
      <c r="E31">
        <v>7</v>
      </c>
      <c r="F31">
        <v>3376</v>
      </c>
      <c r="G31">
        <v>128.19999999999999</v>
      </c>
      <c r="H31">
        <v>41.4</v>
      </c>
      <c r="I31">
        <v>67.3</v>
      </c>
      <c r="L31">
        <f t="shared" si="37"/>
        <v>1.4758454106280194</v>
      </c>
      <c r="M31">
        <f t="shared" si="38"/>
        <v>19.700000000000003</v>
      </c>
      <c r="AR31">
        <f t="shared" si="40"/>
        <v>128.19999999999999</v>
      </c>
      <c r="AS31" s="25">
        <f t="shared" si="41"/>
        <v>7</v>
      </c>
      <c r="AT31" t="str">
        <f t="shared" si="42"/>
        <v/>
      </c>
      <c r="AU31" s="25" t="str">
        <f t="shared" si="43"/>
        <v/>
      </c>
      <c r="AV31" t="str">
        <f t="shared" si="44"/>
        <v/>
      </c>
      <c r="AW31" s="25" t="str">
        <f t="shared" si="43"/>
        <v/>
      </c>
      <c r="AX31" t="str">
        <f t="shared" si="45"/>
        <v/>
      </c>
      <c r="AY31" s="25" t="str">
        <f t="shared" si="3"/>
        <v/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>
        <f t="shared" si="9"/>
        <v>0</v>
      </c>
      <c r="CX31" t="str">
        <f t="shared" si="10"/>
        <v/>
      </c>
      <c r="CY31" t="str">
        <f t="shared" si="11"/>
        <v/>
      </c>
      <c r="CZ31" t="str">
        <f t="shared" si="12"/>
        <v/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 t="str">
        <f t="shared" si="28"/>
        <v/>
      </c>
      <c r="DR31">
        <f t="shared" si="29"/>
        <v>0</v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1</v>
      </c>
      <c r="B32">
        <v>15</v>
      </c>
      <c r="C32">
        <v>63.6</v>
      </c>
      <c r="D32">
        <v>3</v>
      </c>
      <c r="E32">
        <v>6</v>
      </c>
      <c r="F32">
        <v>3244</v>
      </c>
      <c r="G32">
        <v>98.3</v>
      </c>
      <c r="H32">
        <v>38.6</v>
      </c>
      <c r="I32">
        <v>70</v>
      </c>
      <c r="L32">
        <f t="shared" si="37"/>
        <v>1.6476683937823835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>
        <f t="shared" si="44"/>
        <v>98.3</v>
      </c>
      <c r="AW32" s="25">
        <f t="shared" si="43"/>
        <v>6</v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 t="str">
        <f t="shared" si="49"/>
        <v/>
      </c>
      <c r="BE32" s="25" t="str">
        <f t="shared" si="5"/>
        <v/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>
        <f t="shared" si="11"/>
        <v>0</v>
      </c>
      <c r="CZ32" t="str">
        <f t="shared" si="12"/>
        <v/>
      </c>
      <c r="DA32" t="str">
        <f t="shared" si="13"/>
        <v/>
      </c>
      <c r="DB32" t="str">
        <f t="shared" si="14"/>
        <v/>
      </c>
      <c r="DC32" t="str">
        <f t="shared" si="15"/>
        <v/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 t="str">
        <f t="shared" si="23"/>
        <v/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>
        <f t="shared" si="28"/>
        <v>0</v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14</v>
      </c>
      <c r="B33">
        <v>9</v>
      </c>
      <c r="C33">
        <v>82.1</v>
      </c>
      <c r="D33">
        <v>2</v>
      </c>
      <c r="E33">
        <v>7</v>
      </c>
      <c r="F33">
        <v>2516</v>
      </c>
      <c r="G33">
        <v>150.80000000000001</v>
      </c>
      <c r="H33">
        <v>53.2</v>
      </c>
      <c r="I33">
        <v>72.5</v>
      </c>
      <c r="L33" s="25"/>
      <c r="O33" s="25"/>
      <c r="AR33" t="str">
        <f t="shared" si="40"/>
        <v/>
      </c>
      <c r="AS33" s="25" t="str">
        <f t="shared" si="41"/>
        <v/>
      </c>
      <c r="AT33">
        <f t="shared" si="42"/>
        <v>150.80000000000001</v>
      </c>
      <c r="AU33" s="25">
        <f t="shared" si="43"/>
        <v>7</v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 t="str">
        <f t="shared" si="46"/>
        <v/>
      </c>
      <c r="BA33" s="25" t="str">
        <f t="shared" si="4"/>
        <v/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130</v>
      </c>
      <c r="EC33" t="s">
        <v>131</v>
      </c>
    </row>
    <row r="34" spans="1:134">
      <c r="A34">
        <v>13</v>
      </c>
      <c r="B34">
        <v>15</v>
      </c>
      <c r="C34">
        <v>82.4</v>
      </c>
      <c r="D34">
        <v>5</v>
      </c>
      <c r="E34">
        <v>6</v>
      </c>
      <c r="F34">
        <v>2506</v>
      </c>
      <c r="G34">
        <v>87.7</v>
      </c>
      <c r="H34">
        <v>42.5</v>
      </c>
      <c r="I34">
        <v>96.6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>
        <f t="shared" si="46"/>
        <v>87.7</v>
      </c>
      <c r="BA34" s="25">
        <f t="shared" si="4"/>
        <v>6</v>
      </c>
      <c r="BB34" t="str">
        <f t="shared" si="47"/>
        <v/>
      </c>
      <c r="BC34" s="25" t="str">
        <f t="shared" si="48"/>
        <v/>
      </c>
      <c r="BD34" t="str">
        <f t="shared" si="49"/>
        <v/>
      </c>
      <c r="BE34" s="25" t="str">
        <f t="shared" si="5"/>
        <v/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115</v>
      </c>
      <c r="CW34">
        <f>IFERROR(SUM(CW5:CW32),0)</f>
        <v>0</v>
      </c>
      <c r="DK34" t="s">
        <v>115</v>
      </c>
      <c r="DL34">
        <f>IFERROR(SUM(DL5:DL32),0)</f>
        <v>0</v>
      </c>
      <c r="EA34" t="s">
        <v>115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8</v>
      </c>
      <c r="B35">
        <v>5</v>
      </c>
      <c r="C35">
        <v>84.5</v>
      </c>
      <c r="D35">
        <v>1</v>
      </c>
      <c r="E35">
        <v>8</v>
      </c>
      <c r="F35">
        <v>2444</v>
      </c>
      <c r="G35">
        <v>166.7</v>
      </c>
      <c r="H35">
        <v>56.1</v>
      </c>
      <c r="I35">
        <v>90.8</v>
      </c>
      <c r="AR35">
        <f t="shared" si="40"/>
        <v>166.7</v>
      </c>
      <c r="AS35" s="25">
        <f t="shared" si="41"/>
        <v>8</v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 t="str">
        <f t="shared" si="47"/>
        <v/>
      </c>
      <c r="BC35" s="25" t="str">
        <f t="shared" si="48"/>
        <v/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116</v>
      </c>
      <c r="CW35">
        <f>IFERROR(SUM(CX5:CX32),0)</f>
        <v>0</v>
      </c>
      <c r="DK35" t="s">
        <v>116</v>
      </c>
      <c r="DL35">
        <f>IFERROR(SUM(DM5:DM32),0)</f>
        <v>0</v>
      </c>
      <c r="EA35" t="s">
        <v>116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15</v>
      </c>
      <c r="B36">
        <v>13</v>
      </c>
      <c r="C36">
        <v>87.7</v>
      </c>
      <c r="D36">
        <v>6</v>
      </c>
      <c r="E36">
        <v>5</v>
      </c>
      <c r="F36">
        <v>2355</v>
      </c>
      <c r="G36">
        <v>82.4</v>
      </c>
      <c r="H36">
        <v>42.5</v>
      </c>
      <c r="I36">
        <v>93.7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 t="str">
        <f t="shared" si="44"/>
        <v/>
      </c>
      <c r="AW36" s="25" t="str">
        <f t="shared" si="43"/>
        <v/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>
        <f t="shared" si="47"/>
        <v>82.4</v>
      </c>
      <c r="BC36" s="25">
        <f t="shared" si="48"/>
        <v>5</v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117</v>
      </c>
      <c r="CW36">
        <f>IFERROR(SUM(CY5:CY32),0)</f>
        <v>0</v>
      </c>
      <c r="DK36" t="s">
        <v>117</v>
      </c>
      <c r="DL36">
        <f>IFERROR(SUM(DN5:DN32),0)</f>
        <v>0</v>
      </c>
      <c r="EA36" t="s">
        <v>117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15</v>
      </c>
      <c r="B37">
        <v>1</v>
      </c>
      <c r="C37">
        <v>98.3</v>
      </c>
      <c r="D37">
        <v>6</v>
      </c>
      <c r="E37">
        <v>3</v>
      </c>
      <c r="F37">
        <v>2101</v>
      </c>
      <c r="G37">
        <v>63.6</v>
      </c>
      <c r="H37">
        <v>38.6</v>
      </c>
      <c r="I37">
        <v>93.9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 t="str">
        <f t="shared" si="46"/>
        <v/>
      </c>
      <c r="BA37" s="25" t="str">
        <f t="shared" si="4"/>
        <v/>
      </c>
      <c r="BB37">
        <f t="shared" si="47"/>
        <v>63.6</v>
      </c>
      <c r="BC37" s="25">
        <f t="shared" si="48"/>
        <v>3</v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118</v>
      </c>
      <c r="CW37">
        <f>IFERROR(SUM(CZ5:CZ32),0)</f>
        <v>0</v>
      </c>
      <c r="DK37" t="s">
        <v>118</v>
      </c>
      <c r="DL37">
        <f>IFERROR(SUM(DO5:DO32),0)</f>
        <v>0</v>
      </c>
      <c r="EA37" t="s">
        <v>118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1</v>
      </c>
      <c r="B38">
        <v>9</v>
      </c>
      <c r="C38">
        <v>111.1</v>
      </c>
      <c r="D38">
        <v>3</v>
      </c>
      <c r="E38">
        <v>7</v>
      </c>
      <c r="F38">
        <v>1858</v>
      </c>
      <c r="G38">
        <v>220.4</v>
      </c>
      <c r="H38">
        <v>73.900000000000006</v>
      </c>
      <c r="I38">
        <v>106.1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>
        <f t="shared" si="44"/>
        <v>220.4</v>
      </c>
      <c r="AW38" s="25">
        <f t="shared" si="43"/>
        <v>7</v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 t="str">
        <f t="shared" si="51"/>
        <v/>
      </c>
      <c r="BI38" s="25" t="str">
        <f t="shared" si="7"/>
        <v/>
      </c>
      <c r="BJ38" t="str">
        <f t="shared" si="52"/>
        <v/>
      </c>
      <c r="BK38" s="25" t="str">
        <f t="shared" si="8"/>
        <v/>
      </c>
      <c r="CV38" t="s">
        <v>119</v>
      </c>
      <c r="CW38">
        <f>IFERROR(SUM(DA5:DA32),0)</f>
        <v>0</v>
      </c>
      <c r="DK38" t="s">
        <v>119</v>
      </c>
      <c r="DL38">
        <f>IFERROR(SUM(DP5:DP32),0)</f>
        <v>0</v>
      </c>
      <c r="EA38" t="s">
        <v>119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8</v>
      </c>
      <c r="B39">
        <v>11</v>
      </c>
      <c r="C39">
        <v>118.9</v>
      </c>
      <c r="D39">
        <v>1</v>
      </c>
      <c r="E39">
        <v>9</v>
      </c>
      <c r="F39">
        <v>1737</v>
      </c>
      <c r="G39">
        <v>242.4</v>
      </c>
      <c r="H39">
        <v>79.8</v>
      </c>
      <c r="I39">
        <v>134.5</v>
      </c>
      <c r="AR39">
        <f t="shared" si="40"/>
        <v>242.4</v>
      </c>
      <c r="AS39" s="25">
        <f t="shared" si="41"/>
        <v>9</v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 t="str">
        <f t="shared" si="45"/>
        <v/>
      </c>
      <c r="AY39" s="25" t="str">
        <f t="shared" si="3"/>
        <v/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120</v>
      </c>
      <c r="CW39">
        <f>IFERROR(SUM(DB5:DB32),0)</f>
        <v>0</v>
      </c>
      <c r="DK39" t="s">
        <v>120</v>
      </c>
      <c r="DL39">
        <f>IFERROR(SUM(DQ5:DQ32),0)</f>
        <v>0</v>
      </c>
      <c r="EA39" t="s">
        <v>120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1</v>
      </c>
      <c r="B40">
        <v>5</v>
      </c>
      <c r="C40">
        <v>120.9</v>
      </c>
      <c r="D40">
        <v>3</v>
      </c>
      <c r="E40">
        <v>8</v>
      </c>
      <c r="F40">
        <v>1708</v>
      </c>
      <c r="G40">
        <v>205.5</v>
      </c>
      <c r="H40">
        <v>76.099999999999994</v>
      </c>
      <c r="I40">
        <v>131</v>
      </c>
      <c r="AR40" t="str">
        <f t="shared" si="40"/>
        <v/>
      </c>
      <c r="AS40" s="25" t="str">
        <f t="shared" si="41"/>
        <v/>
      </c>
      <c r="AT40" t="str">
        <f t="shared" si="42"/>
        <v/>
      </c>
      <c r="AU40" s="25" t="str">
        <f t="shared" si="43"/>
        <v/>
      </c>
      <c r="AV40">
        <f t="shared" si="44"/>
        <v>205.5</v>
      </c>
      <c r="AW40" s="25">
        <f t="shared" si="43"/>
        <v>8</v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121</v>
      </c>
      <c r="CW40">
        <f>IFERROR(SUM(DC5:DC32),0)</f>
        <v>0</v>
      </c>
      <c r="DK40" t="s">
        <v>121</v>
      </c>
      <c r="DL40">
        <f>IFERROR(SUM(DR5:DR32),0)</f>
        <v>0</v>
      </c>
      <c r="EA40" t="s">
        <v>121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14</v>
      </c>
      <c r="B41">
        <v>5</v>
      </c>
      <c r="C41">
        <v>124.4</v>
      </c>
      <c r="D41">
        <v>2</v>
      </c>
      <c r="E41">
        <v>8</v>
      </c>
      <c r="F41">
        <v>1660</v>
      </c>
      <c r="G41">
        <v>196.9</v>
      </c>
      <c r="H41">
        <v>76.2</v>
      </c>
      <c r="I41">
        <v>96.9</v>
      </c>
      <c r="AR41" t="str">
        <f t="shared" si="40"/>
        <v/>
      </c>
      <c r="AS41" s="25" t="str">
        <f t="shared" si="41"/>
        <v/>
      </c>
      <c r="AT41">
        <f t="shared" si="42"/>
        <v>196.9</v>
      </c>
      <c r="AU41" s="25">
        <f t="shared" si="43"/>
        <v>8</v>
      </c>
      <c r="AV41" t="str">
        <f t="shared" si="44"/>
        <v/>
      </c>
      <c r="AW41" s="25" t="str">
        <f t="shared" si="43"/>
        <v/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122</v>
      </c>
      <c r="CW41">
        <f>IFERROR(SUM(DD5:DD32),0)</f>
        <v>0</v>
      </c>
      <c r="DK41" t="s">
        <v>122</v>
      </c>
      <c r="DL41">
        <f>IFERROR(SUM(DS5:DS32),0)</f>
        <v>0</v>
      </c>
      <c r="EA41" t="s">
        <v>122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9</v>
      </c>
      <c r="B42">
        <v>8</v>
      </c>
      <c r="C42">
        <v>128.19999999999999</v>
      </c>
      <c r="D42">
        <v>7</v>
      </c>
      <c r="E42">
        <v>1</v>
      </c>
      <c r="F42">
        <v>1611</v>
      </c>
      <c r="G42">
        <v>61.1</v>
      </c>
      <c r="H42">
        <v>41.4</v>
      </c>
      <c r="I42">
        <v>129.9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 t="str">
        <f t="shared" si="46"/>
        <v/>
      </c>
      <c r="BA42" s="25" t="str">
        <f t="shared" si="4"/>
        <v/>
      </c>
      <c r="BB42" t="str">
        <f t="shared" si="47"/>
        <v/>
      </c>
      <c r="BC42" s="25" t="str">
        <f t="shared" si="48"/>
        <v/>
      </c>
      <c r="BD42">
        <f t="shared" si="49"/>
        <v>61.1</v>
      </c>
      <c r="BE42" s="25">
        <f t="shared" si="5"/>
        <v>1</v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123</v>
      </c>
      <c r="CW42">
        <f>IFERROR(SUM(DE5:DE32),0)</f>
        <v>0</v>
      </c>
      <c r="DK42" t="s">
        <v>123</v>
      </c>
      <c r="DL42">
        <f>IFERROR(SUM(DT5:DT32),0)</f>
        <v>0</v>
      </c>
      <c r="EA42" t="s">
        <v>123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13</v>
      </c>
      <c r="B43">
        <v>9</v>
      </c>
      <c r="C43">
        <v>133.9</v>
      </c>
      <c r="D43">
        <v>5</v>
      </c>
      <c r="E43">
        <v>7</v>
      </c>
      <c r="F43">
        <v>1543</v>
      </c>
      <c r="G43">
        <v>189.3</v>
      </c>
      <c r="H43">
        <v>78.400000000000006</v>
      </c>
      <c r="I43">
        <v>148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 t="str">
        <f t="shared" si="44"/>
        <v/>
      </c>
      <c r="AW43" s="25" t="str">
        <f t="shared" si="43"/>
        <v/>
      </c>
      <c r="AX43" t="str">
        <f t="shared" si="45"/>
        <v/>
      </c>
      <c r="AY43" s="25" t="str">
        <f t="shared" si="3"/>
        <v/>
      </c>
      <c r="AZ43">
        <f t="shared" si="46"/>
        <v>189.3</v>
      </c>
      <c r="BA43" s="25">
        <f t="shared" si="4"/>
        <v>7</v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124</v>
      </c>
      <c r="CW43">
        <f>IFERROR(SUM(DF5:DF32),0)</f>
        <v>0</v>
      </c>
      <c r="DK43" s="25" t="s">
        <v>124</v>
      </c>
      <c r="DL43">
        <f>IFERROR(SUM(DU5:DU32),0)</f>
        <v>0</v>
      </c>
      <c r="EA43" s="25" t="s">
        <v>124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2</v>
      </c>
      <c r="B44">
        <v>5</v>
      </c>
      <c r="C44">
        <v>140.80000000000001</v>
      </c>
      <c r="D44">
        <v>4</v>
      </c>
      <c r="E44">
        <v>8</v>
      </c>
      <c r="F44">
        <v>1467</v>
      </c>
      <c r="G44">
        <v>212.5</v>
      </c>
      <c r="H44">
        <v>84.7</v>
      </c>
      <c r="I44">
        <v>169.2</v>
      </c>
      <c r="AR44" t="str">
        <f t="shared" si="40"/>
        <v/>
      </c>
      <c r="AS44" s="25" t="str">
        <f t="shared" si="41"/>
        <v/>
      </c>
      <c r="AT44" t="str">
        <f t="shared" si="42"/>
        <v/>
      </c>
      <c r="AU44" s="25" t="str">
        <f t="shared" si="43"/>
        <v/>
      </c>
      <c r="AV44" t="str">
        <f t="shared" si="44"/>
        <v/>
      </c>
      <c r="AW44" s="25" t="str">
        <f t="shared" si="43"/>
        <v/>
      </c>
      <c r="AX44">
        <f t="shared" si="45"/>
        <v>212.5</v>
      </c>
      <c r="AY44" s="25">
        <f t="shared" si="3"/>
        <v>8</v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125</v>
      </c>
      <c r="CW44">
        <f>IFERROR(SUM(DG5:DG32),0)</f>
        <v>0</v>
      </c>
      <c r="DK44" s="25" t="s">
        <v>125</v>
      </c>
      <c r="DL44">
        <f>IFERROR(SUM(DV5:DV32),0)</f>
        <v>0</v>
      </c>
      <c r="EA44" s="25" t="s">
        <v>125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2</v>
      </c>
      <c r="B45">
        <v>9</v>
      </c>
      <c r="C45">
        <v>142.5</v>
      </c>
      <c r="D45">
        <v>4</v>
      </c>
      <c r="E45">
        <v>7</v>
      </c>
      <c r="F45">
        <v>1449</v>
      </c>
      <c r="G45">
        <v>226.7</v>
      </c>
      <c r="H45">
        <v>87.5</v>
      </c>
      <c r="I45">
        <v>136.19999999999999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>
        <f t="shared" si="45"/>
        <v>226.7</v>
      </c>
      <c r="AY45" s="25">
        <f t="shared" si="3"/>
        <v>7</v>
      </c>
      <c r="AZ45" t="str">
        <f t="shared" si="46"/>
        <v/>
      </c>
      <c r="BA45" s="25" t="str">
        <f t="shared" si="4"/>
        <v/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 t="str">
        <f t="shared" si="50"/>
        <v/>
      </c>
      <c r="BG45" s="25" t="str">
        <f t="shared" si="6"/>
        <v/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126</v>
      </c>
      <c r="CW45">
        <f>IFERROR(SUM(DH5:DH32),0)</f>
        <v>0</v>
      </c>
      <c r="DK45" s="25" t="s">
        <v>126</v>
      </c>
      <c r="DL45">
        <f>IFERROR(SUM(DW5:DW32),0)</f>
        <v>0</v>
      </c>
      <c r="EA45" s="25" t="s">
        <v>126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9</v>
      </c>
      <c r="B46">
        <v>14</v>
      </c>
      <c r="C46">
        <v>150.80000000000001</v>
      </c>
      <c r="D46">
        <v>7</v>
      </c>
      <c r="E46">
        <v>2</v>
      </c>
      <c r="F46">
        <v>1370</v>
      </c>
      <c r="G46">
        <v>82.1</v>
      </c>
      <c r="H46">
        <v>53.2</v>
      </c>
      <c r="I46">
        <v>132.4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>
        <f t="shared" si="49"/>
        <v>82.1</v>
      </c>
      <c r="BE46" s="25">
        <f t="shared" si="5"/>
        <v>2</v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 t="str">
        <f t="shared" si="52"/>
        <v/>
      </c>
      <c r="BK46" s="25" t="str">
        <f t="shared" si="8"/>
        <v/>
      </c>
      <c r="CV46" s="25" t="s">
        <v>127</v>
      </c>
      <c r="CW46">
        <f>IFERROR(SUM(DI5:DI32),0)</f>
        <v>0</v>
      </c>
      <c r="DK46" s="25" t="s">
        <v>127</v>
      </c>
      <c r="DL46">
        <f>IFERROR(SUM(DX5:DX32),0)</f>
        <v>0</v>
      </c>
      <c r="EA46" s="25" t="s">
        <v>127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13</v>
      </c>
      <c r="B47">
        <v>5</v>
      </c>
      <c r="C47">
        <v>160.6</v>
      </c>
      <c r="D47">
        <v>5</v>
      </c>
      <c r="E47">
        <v>8</v>
      </c>
      <c r="F47">
        <v>1286</v>
      </c>
      <c r="G47">
        <v>216.1</v>
      </c>
      <c r="H47">
        <v>92.1</v>
      </c>
      <c r="I47">
        <v>223.6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>
        <f t="shared" si="46"/>
        <v>216.1</v>
      </c>
      <c r="BA47" s="25">
        <f t="shared" si="4"/>
        <v>8</v>
      </c>
      <c r="BB47" t="str">
        <f t="shared" si="47"/>
        <v/>
      </c>
      <c r="BC47" s="25" t="str">
        <f t="shared" si="48"/>
        <v/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129</v>
      </c>
      <c r="CW47">
        <f>IFERROR(SUM(DJ5:DJ32),0)</f>
        <v>0</v>
      </c>
      <c r="DK47" s="25" t="s">
        <v>129</v>
      </c>
      <c r="DL47">
        <f>IFERROR(SUM(DY5:DY32),0)</f>
        <v>0</v>
      </c>
      <c r="EA47" s="25" t="s">
        <v>129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5</v>
      </c>
      <c r="B48">
        <v>8</v>
      </c>
      <c r="C48">
        <v>166.7</v>
      </c>
      <c r="D48">
        <v>8</v>
      </c>
      <c r="E48">
        <v>1</v>
      </c>
      <c r="F48">
        <v>1239</v>
      </c>
      <c r="G48">
        <v>84.5</v>
      </c>
      <c r="H48">
        <v>56.1</v>
      </c>
      <c r="I48">
        <v>167.1</v>
      </c>
      <c r="AR48" t="str">
        <f t="shared" si="40"/>
        <v/>
      </c>
      <c r="AS48" s="25" t="str">
        <f t="shared" si="41"/>
        <v/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>
        <f t="shared" si="50"/>
        <v>84.5</v>
      </c>
      <c r="BG48" s="25">
        <f t="shared" si="6"/>
        <v>1</v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9</v>
      </c>
      <c r="B49">
        <v>13</v>
      </c>
      <c r="C49">
        <v>189.3</v>
      </c>
      <c r="D49">
        <v>7</v>
      </c>
      <c r="E49">
        <v>5</v>
      </c>
      <c r="F49">
        <v>1091</v>
      </c>
      <c r="G49">
        <v>133.9</v>
      </c>
      <c r="H49">
        <v>78.400000000000006</v>
      </c>
      <c r="I49">
        <v>200.2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133.9</v>
      </c>
      <c r="BE49" s="25">
        <f t="shared" si="5"/>
        <v>5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14</v>
      </c>
      <c r="B50">
        <v>11</v>
      </c>
      <c r="C50">
        <v>195.4</v>
      </c>
      <c r="D50">
        <v>2</v>
      </c>
      <c r="E50">
        <v>9</v>
      </c>
      <c r="F50">
        <v>1057</v>
      </c>
      <c r="G50">
        <v>260.2</v>
      </c>
      <c r="H50">
        <v>111.6</v>
      </c>
      <c r="I50">
        <v>156.6</v>
      </c>
      <c r="AR50" t="str">
        <f t="shared" ref="AR50:AR59" si="81">IF($D50=AR$4,$H50,"")</f>
        <v/>
      </c>
      <c r="AS50" s="25" t="str">
        <f t="shared" si="41"/>
        <v/>
      </c>
      <c r="AT50">
        <f t="shared" ref="AT50:AT59" si="82">IF($D50=AT$4,$H50,"")</f>
        <v>111.6</v>
      </c>
      <c r="AU50" s="25">
        <f t="shared" si="43"/>
        <v>9</v>
      </c>
      <c r="AV50" t="str">
        <f t="shared" ref="AV50:AV59" si="83">IF($D50=AV$4,$H50,"")</f>
        <v/>
      </c>
      <c r="AW50" s="25" t="str">
        <f t="shared" si="43"/>
        <v/>
      </c>
      <c r="AX50" t="str">
        <f t="shared" ref="AX50:AX59" si="84">IF($D50=AX$4,$H50,"")</f>
        <v/>
      </c>
      <c r="AY50" s="25" t="str">
        <f t="shared" si="3"/>
        <v/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5</v>
      </c>
      <c r="B51">
        <v>14</v>
      </c>
      <c r="C51">
        <v>196.9</v>
      </c>
      <c r="D51">
        <v>8</v>
      </c>
      <c r="E51">
        <v>2</v>
      </c>
      <c r="F51">
        <v>1049</v>
      </c>
      <c r="G51">
        <v>124.4</v>
      </c>
      <c r="H51">
        <v>76.2</v>
      </c>
      <c r="I51">
        <v>147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 t="str">
        <f t="shared" si="87"/>
        <v/>
      </c>
      <c r="BE51" s="25" t="str">
        <f t="shared" si="5"/>
        <v/>
      </c>
      <c r="BF51">
        <f t="shared" si="88"/>
        <v>76.2</v>
      </c>
      <c r="BG51" s="25">
        <f t="shared" si="6"/>
        <v>2</v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14</v>
      </c>
      <c r="B52">
        <v>12</v>
      </c>
      <c r="C52">
        <v>200.5</v>
      </c>
      <c r="D52">
        <v>2</v>
      </c>
      <c r="E52">
        <v>10</v>
      </c>
      <c r="F52">
        <v>1030</v>
      </c>
      <c r="G52">
        <v>409.9</v>
      </c>
      <c r="H52">
        <v>134.6</v>
      </c>
      <c r="I52">
        <v>154.80000000000001</v>
      </c>
      <c r="AR52" t="str">
        <f t="shared" si="81"/>
        <v/>
      </c>
      <c r="AS52" s="25" t="str">
        <f t="shared" si="41"/>
        <v/>
      </c>
      <c r="AT52">
        <f t="shared" si="82"/>
        <v>134.6</v>
      </c>
      <c r="AU52" s="25">
        <f t="shared" si="43"/>
        <v>10</v>
      </c>
      <c r="AV52" t="str">
        <f t="shared" si="83"/>
        <v/>
      </c>
      <c r="AW52" s="25" t="str">
        <f t="shared" si="43"/>
        <v/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1</v>
      </c>
      <c r="B53">
        <v>11</v>
      </c>
      <c r="C53">
        <v>204.3</v>
      </c>
      <c r="D53">
        <v>3</v>
      </c>
      <c r="E53">
        <v>9</v>
      </c>
      <c r="F53">
        <v>1011</v>
      </c>
      <c r="G53">
        <v>379</v>
      </c>
      <c r="H53">
        <v>132.69999999999999</v>
      </c>
      <c r="I53">
        <v>252.3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>
        <f t="shared" si="83"/>
        <v>132.69999999999999</v>
      </c>
      <c r="AW53" s="25">
        <f t="shared" si="43"/>
        <v>9</v>
      </c>
      <c r="AX53" t="str">
        <f t="shared" si="84"/>
        <v/>
      </c>
      <c r="AY53" s="25" t="str">
        <f t="shared" si="3"/>
        <v/>
      </c>
      <c r="AZ53" t="str">
        <f t="shared" si="85"/>
        <v/>
      </c>
      <c r="BA53" s="25" t="str">
        <f t="shared" si="4"/>
        <v/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5</v>
      </c>
      <c r="B54">
        <v>1</v>
      </c>
      <c r="C54">
        <v>205.5</v>
      </c>
      <c r="D54">
        <v>8</v>
      </c>
      <c r="E54">
        <v>3</v>
      </c>
      <c r="F54">
        <v>1005</v>
      </c>
      <c r="G54">
        <v>120.9</v>
      </c>
      <c r="H54">
        <v>76.099999999999994</v>
      </c>
      <c r="I54">
        <v>210.7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 t="str">
        <f t="shared" si="83"/>
        <v/>
      </c>
      <c r="AW54" s="25" t="str">
        <f t="shared" si="43"/>
        <v/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>
        <f t="shared" si="88"/>
        <v>76.099999999999994</v>
      </c>
      <c r="BG54" s="25">
        <f t="shared" si="6"/>
        <v>3</v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5</v>
      </c>
      <c r="B55">
        <v>2</v>
      </c>
      <c r="C55">
        <v>212.5</v>
      </c>
      <c r="D55">
        <v>8</v>
      </c>
      <c r="E55">
        <v>4</v>
      </c>
      <c r="F55">
        <v>972</v>
      </c>
      <c r="G55">
        <v>140.80000000000001</v>
      </c>
      <c r="H55">
        <v>84.7</v>
      </c>
      <c r="I55">
        <v>218.3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 t="str">
        <f t="shared" si="84"/>
        <v/>
      </c>
      <c r="AY55" s="25" t="str">
        <f t="shared" si="3"/>
        <v/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>
        <f t="shared" si="88"/>
        <v>84.7</v>
      </c>
      <c r="BG55" s="25">
        <f t="shared" si="6"/>
        <v>4</v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5</v>
      </c>
      <c r="B56">
        <v>13</v>
      </c>
      <c r="C56">
        <v>216.1</v>
      </c>
      <c r="D56">
        <v>8</v>
      </c>
      <c r="E56">
        <v>5</v>
      </c>
      <c r="F56">
        <v>956</v>
      </c>
      <c r="G56">
        <v>160.6</v>
      </c>
      <c r="H56">
        <v>92.1</v>
      </c>
      <c r="I56">
        <v>300.3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>
        <f t="shared" si="88"/>
        <v>92.1</v>
      </c>
      <c r="BG56" s="25">
        <f t="shared" si="6"/>
        <v>5</v>
      </c>
      <c r="BH56" t="str">
        <f t="shared" si="89"/>
        <v/>
      </c>
      <c r="BI56" s="25" t="str">
        <f t="shared" si="7"/>
        <v/>
      </c>
      <c r="BJ56" t="str">
        <f t="shared" si="90"/>
        <v/>
      </c>
      <c r="BK56" s="25" t="str">
        <f t="shared" si="8"/>
        <v/>
      </c>
    </row>
    <row r="57" spans="1:63">
      <c r="A57">
        <v>9</v>
      </c>
      <c r="B57">
        <v>1</v>
      </c>
      <c r="C57">
        <v>220.4</v>
      </c>
      <c r="D57">
        <v>7</v>
      </c>
      <c r="E57">
        <v>3</v>
      </c>
      <c r="F57">
        <v>937</v>
      </c>
      <c r="G57">
        <v>111.1</v>
      </c>
      <c r="H57">
        <v>73.900000000000006</v>
      </c>
      <c r="I57">
        <v>176.3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>
        <f t="shared" si="87"/>
        <v>73.900000000000006</v>
      </c>
      <c r="BE57" s="25">
        <f t="shared" si="5"/>
        <v>3</v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9</v>
      </c>
      <c r="B58">
        <v>2</v>
      </c>
      <c r="C58">
        <v>226.7</v>
      </c>
      <c r="D58">
        <v>7</v>
      </c>
      <c r="E58">
        <v>4</v>
      </c>
      <c r="F58">
        <v>911</v>
      </c>
      <c r="G58">
        <v>142.5</v>
      </c>
      <c r="H58">
        <v>87.5</v>
      </c>
      <c r="I58">
        <v>191.1</v>
      </c>
      <c r="AR58" t="str">
        <f t="shared" si="81"/>
        <v/>
      </c>
      <c r="AS58" s="25" t="str">
        <f t="shared" si="41"/>
        <v/>
      </c>
      <c r="AT58" t="str">
        <f t="shared" si="82"/>
        <v/>
      </c>
      <c r="AU58" s="25" t="str">
        <f t="shared" si="43"/>
        <v/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>
        <f t="shared" si="87"/>
        <v>87.5</v>
      </c>
      <c r="BE58" s="25">
        <f t="shared" si="5"/>
        <v>4</v>
      </c>
      <c r="BF58" t="str">
        <f t="shared" si="88"/>
        <v/>
      </c>
      <c r="BG58" s="25" t="str">
        <f t="shared" si="6"/>
        <v/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11</v>
      </c>
      <c r="B59">
        <v>8</v>
      </c>
      <c r="C59">
        <v>242.4</v>
      </c>
      <c r="D59">
        <v>9</v>
      </c>
      <c r="E59">
        <v>1</v>
      </c>
      <c r="F59">
        <v>852</v>
      </c>
      <c r="G59">
        <v>118.9</v>
      </c>
      <c r="H59">
        <v>79.8</v>
      </c>
      <c r="I59">
        <v>238.7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 t="str">
        <f t="shared" si="87"/>
        <v/>
      </c>
      <c r="BE59" s="25" t="str">
        <f t="shared" si="5"/>
        <v/>
      </c>
      <c r="BF59" t="str">
        <f t="shared" si="88"/>
        <v/>
      </c>
      <c r="BG59" s="25" t="str">
        <f t="shared" si="6"/>
        <v/>
      </c>
      <c r="BH59">
        <f t="shared" si="89"/>
        <v>79.8</v>
      </c>
      <c r="BI59" s="25">
        <f t="shared" si="7"/>
        <v>1</v>
      </c>
      <c r="BJ59" t="str">
        <f t="shared" si="90"/>
        <v/>
      </c>
      <c r="BK59" s="25" t="str">
        <f t="shared" si="8"/>
        <v/>
      </c>
    </row>
    <row r="60" spans="1:63">
      <c r="A60">
        <v>8</v>
      </c>
      <c r="B60">
        <v>12</v>
      </c>
      <c r="C60">
        <v>246.8</v>
      </c>
      <c r="D60">
        <v>1</v>
      </c>
      <c r="E60">
        <v>10</v>
      </c>
      <c r="F60">
        <v>837</v>
      </c>
      <c r="G60">
        <v>550.9</v>
      </c>
      <c r="H60">
        <v>170.4</v>
      </c>
      <c r="I60">
        <v>213.5</v>
      </c>
      <c r="AR60">
        <f t="shared" si="40"/>
        <v>550.9</v>
      </c>
      <c r="AS60" s="25">
        <f t="shared" si="41"/>
        <v>10</v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 t="str">
        <f t="shared" si="51"/>
        <v/>
      </c>
      <c r="BI60" s="25" t="str">
        <f t="shared" si="7"/>
        <v/>
      </c>
      <c r="BJ60" t="str">
        <f t="shared" si="52"/>
        <v/>
      </c>
      <c r="BK60" s="25" t="str">
        <f t="shared" si="8"/>
        <v/>
      </c>
    </row>
    <row r="61" spans="1:63">
      <c r="A61">
        <v>11</v>
      </c>
      <c r="B61">
        <v>14</v>
      </c>
      <c r="C61">
        <v>260.2</v>
      </c>
      <c r="D61">
        <v>9</v>
      </c>
      <c r="E61">
        <v>2</v>
      </c>
      <c r="F61">
        <v>794</v>
      </c>
      <c r="G61">
        <v>195.4</v>
      </c>
      <c r="H61">
        <v>111.6</v>
      </c>
      <c r="I61">
        <v>261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>
        <f t="shared" si="51"/>
        <v>195.4</v>
      </c>
      <c r="BI61" s="25">
        <f t="shared" si="7"/>
        <v>2</v>
      </c>
      <c r="BJ61" t="str">
        <f t="shared" si="52"/>
        <v/>
      </c>
      <c r="BK61" s="25" t="str">
        <f t="shared" si="8"/>
        <v/>
      </c>
    </row>
    <row r="62" spans="1:63">
      <c r="A62">
        <v>15</v>
      </c>
      <c r="B62">
        <v>9</v>
      </c>
      <c r="C62">
        <v>272.89999999999998</v>
      </c>
      <c r="D62">
        <v>6</v>
      </c>
      <c r="E62">
        <v>7</v>
      </c>
      <c r="F62">
        <v>757</v>
      </c>
      <c r="G62">
        <v>366.3</v>
      </c>
      <c r="H62">
        <v>156.4</v>
      </c>
      <c r="I62">
        <v>291.39999999999998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>
        <f t="shared" si="47"/>
        <v>366.3</v>
      </c>
      <c r="BC62" s="25">
        <f t="shared" si="48"/>
        <v>7</v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2</v>
      </c>
      <c r="B63">
        <v>11</v>
      </c>
      <c r="C63">
        <v>274.7</v>
      </c>
      <c r="D63">
        <v>4</v>
      </c>
      <c r="E63">
        <v>9</v>
      </c>
      <c r="F63">
        <v>752</v>
      </c>
      <c r="G63">
        <v>337</v>
      </c>
      <c r="H63">
        <v>151.30000000000001</v>
      </c>
      <c r="I63">
        <v>283.89999999999998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>
        <f t="shared" si="45"/>
        <v>337</v>
      </c>
      <c r="AY63" s="25">
        <f t="shared" si="3"/>
        <v>9</v>
      </c>
      <c r="AZ63" t="str">
        <f t="shared" si="46"/>
        <v/>
      </c>
      <c r="BA63" s="25" t="str">
        <f t="shared" si="4"/>
        <v/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 t="str">
        <f t="shared" si="50"/>
        <v/>
      </c>
      <c r="BG63" s="25" t="str">
        <f t="shared" si="6"/>
        <v/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15</v>
      </c>
      <c r="B64">
        <v>5</v>
      </c>
      <c r="C64">
        <v>307.89999999999998</v>
      </c>
      <c r="D64">
        <v>6</v>
      </c>
      <c r="E64">
        <v>8</v>
      </c>
      <c r="F64">
        <v>671</v>
      </c>
      <c r="G64">
        <v>426.8</v>
      </c>
      <c r="H64">
        <v>178.9</v>
      </c>
      <c r="I64">
        <v>359.9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 t="str">
        <f t="shared" si="45"/>
        <v/>
      </c>
      <c r="AY64" s="25" t="str">
        <f t="shared" si="3"/>
        <v/>
      </c>
      <c r="AZ64" t="str">
        <f t="shared" si="46"/>
        <v/>
      </c>
      <c r="BA64" s="25" t="str">
        <f t="shared" si="4"/>
        <v/>
      </c>
      <c r="BB64">
        <f t="shared" si="47"/>
        <v>426.8</v>
      </c>
      <c r="BC64" s="25">
        <f t="shared" si="48"/>
        <v>8</v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13</v>
      </c>
      <c r="B65">
        <v>11</v>
      </c>
      <c r="C65">
        <v>312.5</v>
      </c>
      <c r="D65">
        <v>5</v>
      </c>
      <c r="E65">
        <v>9</v>
      </c>
      <c r="F65">
        <v>661</v>
      </c>
      <c r="G65">
        <v>465.3</v>
      </c>
      <c r="H65">
        <v>186.9</v>
      </c>
      <c r="I65">
        <v>359.7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>
        <f t="shared" si="46"/>
        <v>465.3</v>
      </c>
      <c r="BA65" s="25">
        <f t="shared" si="4"/>
        <v>9</v>
      </c>
      <c r="BB65" t="str">
        <f t="shared" si="47"/>
        <v/>
      </c>
      <c r="BC65" s="25" t="str">
        <f t="shared" si="48"/>
        <v/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11</v>
      </c>
      <c r="B66">
        <v>2</v>
      </c>
      <c r="C66">
        <v>337</v>
      </c>
      <c r="D66">
        <v>9</v>
      </c>
      <c r="E66">
        <v>4</v>
      </c>
      <c r="F66">
        <v>613</v>
      </c>
      <c r="G66">
        <v>274.7</v>
      </c>
      <c r="H66">
        <v>151.30000000000001</v>
      </c>
      <c r="I66">
        <v>316.2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 t="str">
        <f t="shared" si="49"/>
        <v/>
      </c>
      <c r="BE66" s="25" t="str">
        <f t="shared" si="5"/>
        <v/>
      </c>
      <c r="BF66" t="str">
        <f t="shared" si="50"/>
        <v/>
      </c>
      <c r="BG66" s="25" t="str">
        <f t="shared" si="6"/>
        <v/>
      </c>
      <c r="BH66">
        <f t="shared" si="51"/>
        <v>274.7</v>
      </c>
      <c r="BI66" s="25">
        <f t="shared" si="7"/>
        <v>4</v>
      </c>
      <c r="BJ66" t="str">
        <f t="shared" si="52"/>
        <v/>
      </c>
      <c r="BK66" s="25" t="str">
        <f t="shared" si="8"/>
        <v/>
      </c>
    </row>
    <row r="67" spans="1:63">
      <c r="A67">
        <v>8</v>
      </c>
      <c r="B67">
        <v>16</v>
      </c>
      <c r="C67">
        <v>348.9</v>
      </c>
      <c r="D67">
        <v>1</v>
      </c>
      <c r="E67">
        <v>11</v>
      </c>
      <c r="F67">
        <v>592</v>
      </c>
      <c r="G67">
        <v>1017.7</v>
      </c>
      <c r="H67">
        <v>259.8</v>
      </c>
      <c r="I67">
        <v>373.7</v>
      </c>
      <c r="AR67">
        <f t="shared" si="40"/>
        <v>1017.7</v>
      </c>
      <c r="AS67" s="25">
        <f t="shared" si="41"/>
        <v>11</v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 t="str">
        <f t="shared" si="45"/>
        <v/>
      </c>
      <c r="AY67" s="25" t="str">
        <f t="shared" si="3"/>
        <v/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 t="str">
        <f t="shared" si="51"/>
        <v/>
      </c>
      <c r="BI67" s="25" t="str">
        <f t="shared" si="7"/>
        <v/>
      </c>
      <c r="BJ67" t="str">
        <f t="shared" si="52"/>
        <v/>
      </c>
      <c r="BK67" s="25" t="str">
        <f t="shared" si="8"/>
        <v/>
      </c>
    </row>
    <row r="68" spans="1:63">
      <c r="A68">
        <v>2</v>
      </c>
      <c r="B68">
        <v>12</v>
      </c>
      <c r="C68">
        <v>358</v>
      </c>
      <c r="D68">
        <v>4</v>
      </c>
      <c r="E68">
        <v>10</v>
      </c>
      <c r="F68">
        <v>577</v>
      </c>
      <c r="G68">
        <v>613</v>
      </c>
      <c r="H68">
        <v>226</v>
      </c>
      <c r="I68">
        <v>340.7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>
        <f t="shared" si="45"/>
        <v>613</v>
      </c>
      <c r="AY68" s="25">
        <f t="shared" si="3"/>
        <v>10</v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 t="str">
        <f t="shared" si="51"/>
        <v/>
      </c>
      <c r="BI68" s="25" t="str">
        <f t="shared" si="7"/>
        <v/>
      </c>
      <c r="BJ68" t="str">
        <f t="shared" si="52"/>
        <v/>
      </c>
      <c r="BK68" s="25" t="str">
        <f t="shared" si="8"/>
        <v/>
      </c>
    </row>
    <row r="69" spans="1:63">
      <c r="A69">
        <v>9</v>
      </c>
      <c r="B69">
        <v>15</v>
      </c>
      <c r="C69">
        <v>366.3</v>
      </c>
      <c r="D69">
        <v>7</v>
      </c>
      <c r="E69">
        <v>6</v>
      </c>
      <c r="F69">
        <v>564</v>
      </c>
      <c r="G69">
        <v>272.89999999999998</v>
      </c>
      <c r="H69">
        <v>156.4</v>
      </c>
      <c r="I69">
        <v>372.2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>
        <f t="shared" si="49"/>
        <v>272.89999999999998</v>
      </c>
      <c r="BE69" s="25">
        <f t="shared" ref="BE69:BE132" si="94">IFERROR(IF(BD69="","",$E69),"")</f>
        <v>6</v>
      </c>
      <c r="BF69" t="str">
        <f t="shared" si="50"/>
        <v/>
      </c>
      <c r="BG69" s="25" t="str">
        <f t="shared" ref="BG69:BG132" si="95">IFERROR(IF(BF69="","",$E69),"")</f>
        <v/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11</v>
      </c>
      <c r="B70">
        <v>1</v>
      </c>
      <c r="C70">
        <v>379</v>
      </c>
      <c r="D70">
        <v>9</v>
      </c>
      <c r="E70">
        <v>3</v>
      </c>
      <c r="F70">
        <v>545</v>
      </c>
      <c r="G70">
        <v>204.3</v>
      </c>
      <c r="H70">
        <v>132.69999999999999</v>
      </c>
      <c r="I70">
        <v>342.5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 t="str">
        <f t="shared" ref="AZ70:AZ133" si="104">IF($D70=AZ$4,$G70,"")</f>
        <v/>
      </c>
      <c r="BA70" s="25" t="str">
        <f t="shared" si="92"/>
        <v/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>
        <f t="shared" ref="BH70:BH133" si="108">IF($D70=BH$4,$G70,"")</f>
        <v>204.3</v>
      </c>
      <c r="BI70" s="25">
        <f t="shared" si="96"/>
        <v>3</v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1</v>
      </c>
      <c r="B71">
        <v>12</v>
      </c>
      <c r="C71">
        <v>388.3</v>
      </c>
      <c r="D71">
        <v>3</v>
      </c>
      <c r="E71">
        <v>10</v>
      </c>
      <c r="F71">
        <v>532</v>
      </c>
      <c r="G71">
        <v>722.4</v>
      </c>
      <c r="H71">
        <v>252.6</v>
      </c>
      <c r="I71">
        <v>321.5</v>
      </c>
      <c r="AR71" t="str">
        <f t="shared" si="98"/>
        <v/>
      </c>
      <c r="AS71" s="25" t="str">
        <f t="shared" si="99"/>
        <v/>
      </c>
      <c r="AT71" t="str">
        <f t="shared" si="100"/>
        <v/>
      </c>
      <c r="AU71" s="25" t="str">
        <f t="shared" si="101"/>
        <v/>
      </c>
      <c r="AV71">
        <f t="shared" si="102"/>
        <v>722.4</v>
      </c>
      <c r="AW71" s="25">
        <f t="shared" si="101"/>
        <v>10</v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14</v>
      </c>
      <c r="B72">
        <v>16</v>
      </c>
      <c r="C72">
        <v>408.3</v>
      </c>
      <c r="D72">
        <v>2</v>
      </c>
      <c r="E72">
        <v>11</v>
      </c>
      <c r="F72">
        <v>506</v>
      </c>
      <c r="G72">
        <v>1002.9</v>
      </c>
      <c r="H72">
        <v>290.2</v>
      </c>
      <c r="I72">
        <v>354.7</v>
      </c>
      <c r="AR72" t="str">
        <f t="shared" si="98"/>
        <v/>
      </c>
      <c r="AS72" s="25" t="str">
        <f t="shared" si="99"/>
        <v/>
      </c>
      <c r="AT72">
        <f t="shared" si="100"/>
        <v>1002.9</v>
      </c>
      <c r="AU72" s="25">
        <f t="shared" si="101"/>
        <v>11</v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 t="str">
        <f t="shared" si="105"/>
        <v/>
      </c>
      <c r="BC72" s="25" t="str">
        <f t="shared" si="93"/>
        <v/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 t="str">
        <f t="shared" si="109"/>
        <v/>
      </c>
      <c r="BK72" s="25" t="str">
        <f t="shared" si="97"/>
        <v/>
      </c>
    </row>
    <row r="73" spans="1:63">
      <c r="A73">
        <v>12</v>
      </c>
      <c r="B73">
        <v>14</v>
      </c>
      <c r="C73">
        <v>409.9</v>
      </c>
      <c r="D73">
        <v>10</v>
      </c>
      <c r="E73">
        <v>2</v>
      </c>
      <c r="F73">
        <v>504</v>
      </c>
      <c r="G73">
        <v>200.5</v>
      </c>
      <c r="H73">
        <v>134.6</v>
      </c>
      <c r="I73">
        <v>299.60000000000002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 t="str">
        <f t="shared" si="108"/>
        <v/>
      </c>
      <c r="BI73" s="25" t="str">
        <f t="shared" si="96"/>
        <v/>
      </c>
      <c r="BJ73">
        <f t="shared" si="109"/>
        <v>200.5</v>
      </c>
      <c r="BK73" s="25">
        <f t="shared" si="97"/>
        <v>2</v>
      </c>
    </row>
    <row r="74" spans="1:63">
      <c r="A74">
        <v>5</v>
      </c>
      <c r="B74">
        <v>15</v>
      </c>
      <c r="C74">
        <v>426.8</v>
      </c>
      <c r="D74">
        <v>8</v>
      </c>
      <c r="E74">
        <v>6</v>
      </c>
      <c r="F74">
        <v>484</v>
      </c>
      <c r="G74">
        <v>307.89999999999998</v>
      </c>
      <c r="H74">
        <v>178.9</v>
      </c>
      <c r="I74">
        <v>422.5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>
        <f t="shared" si="107"/>
        <v>307.89999999999998</v>
      </c>
      <c r="BG74" s="25">
        <f t="shared" si="95"/>
        <v>6</v>
      </c>
      <c r="BH74" t="str">
        <f t="shared" si="108"/>
        <v/>
      </c>
      <c r="BI74" s="25" t="str">
        <f t="shared" si="96"/>
        <v/>
      </c>
      <c r="BJ74" t="str">
        <f t="shared" si="109"/>
        <v/>
      </c>
      <c r="BK74" s="25" t="str">
        <f t="shared" si="97"/>
        <v/>
      </c>
    </row>
    <row r="75" spans="1:63">
      <c r="A75">
        <v>11</v>
      </c>
      <c r="B75">
        <v>13</v>
      </c>
      <c r="C75">
        <v>465.3</v>
      </c>
      <c r="D75">
        <v>9</v>
      </c>
      <c r="E75">
        <v>5</v>
      </c>
      <c r="F75">
        <v>444</v>
      </c>
      <c r="G75">
        <v>312.5</v>
      </c>
      <c r="H75">
        <v>186.9</v>
      </c>
      <c r="I75">
        <v>433.8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 t="str">
        <f t="shared" si="102"/>
        <v/>
      </c>
      <c r="AW75" s="25" t="str">
        <f t="shared" si="101"/>
        <v/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>
        <f t="shared" si="108"/>
        <v>312.5</v>
      </c>
      <c r="BI75" s="25">
        <f t="shared" si="96"/>
        <v>5</v>
      </c>
      <c r="BJ75" t="str">
        <f t="shared" si="109"/>
        <v/>
      </c>
      <c r="BK75" s="25" t="str">
        <f t="shared" si="97"/>
        <v/>
      </c>
    </row>
    <row r="76" spans="1:63">
      <c r="A76">
        <v>12</v>
      </c>
      <c r="B76">
        <v>8</v>
      </c>
      <c r="C76">
        <v>550.9</v>
      </c>
      <c r="D76">
        <v>10</v>
      </c>
      <c r="E76">
        <v>1</v>
      </c>
      <c r="F76">
        <v>375</v>
      </c>
      <c r="G76">
        <v>246.8</v>
      </c>
      <c r="H76">
        <v>170.4</v>
      </c>
      <c r="I76">
        <v>529.70000000000005</v>
      </c>
      <c r="AR76" t="str">
        <f t="shared" si="98"/>
        <v/>
      </c>
      <c r="AS76" s="25" t="str">
        <f t="shared" si="99"/>
        <v/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>
        <f t="shared" si="109"/>
        <v>246.8</v>
      </c>
      <c r="BK76" s="25">
        <f t="shared" si="97"/>
        <v>1</v>
      </c>
    </row>
    <row r="77" spans="1:63">
      <c r="A77">
        <v>15</v>
      </c>
      <c r="B77">
        <v>11</v>
      </c>
      <c r="C77">
        <v>550.9</v>
      </c>
      <c r="D77">
        <v>6</v>
      </c>
      <c r="E77">
        <v>9</v>
      </c>
      <c r="F77">
        <v>375</v>
      </c>
      <c r="G77">
        <v>697.9</v>
      </c>
      <c r="H77">
        <v>307.89999999999998</v>
      </c>
      <c r="I77">
        <v>551.20000000000005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>
        <f t="shared" si="105"/>
        <v>697.9</v>
      </c>
      <c r="BC77" s="25">
        <f t="shared" si="93"/>
        <v>9</v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 t="str">
        <f t="shared" si="108"/>
        <v/>
      </c>
      <c r="BI77" s="25" t="str">
        <f t="shared" si="96"/>
        <v/>
      </c>
      <c r="BJ77" t="str">
        <f t="shared" si="109"/>
        <v/>
      </c>
      <c r="BK77" s="25" t="str">
        <f t="shared" si="97"/>
        <v/>
      </c>
    </row>
    <row r="78" spans="1:63">
      <c r="A78">
        <v>1</v>
      </c>
      <c r="B78">
        <v>16</v>
      </c>
      <c r="C78">
        <v>573.9</v>
      </c>
      <c r="D78">
        <v>3</v>
      </c>
      <c r="E78">
        <v>11</v>
      </c>
      <c r="F78">
        <v>360</v>
      </c>
      <c r="G78">
        <v>1167.2</v>
      </c>
      <c r="H78">
        <v>384.7</v>
      </c>
      <c r="I78">
        <v>623</v>
      </c>
      <c r="AR78" t="str">
        <f t="shared" si="98"/>
        <v/>
      </c>
      <c r="AS78" s="25" t="str">
        <f t="shared" si="99"/>
        <v/>
      </c>
      <c r="AT78" t="str">
        <f t="shared" si="100"/>
        <v/>
      </c>
      <c r="AU78" s="25" t="str">
        <f t="shared" si="101"/>
        <v/>
      </c>
      <c r="AV78">
        <f t="shared" si="102"/>
        <v>1167.2</v>
      </c>
      <c r="AW78" s="25">
        <f t="shared" si="101"/>
        <v>11</v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13</v>
      </c>
      <c r="B79">
        <v>12</v>
      </c>
      <c r="C79">
        <v>609.4</v>
      </c>
      <c r="D79">
        <v>5</v>
      </c>
      <c r="E79">
        <v>10</v>
      </c>
      <c r="F79">
        <v>339</v>
      </c>
      <c r="G79">
        <v>850.2</v>
      </c>
      <c r="H79">
        <v>355</v>
      </c>
      <c r="I79">
        <v>503.3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>
        <f t="shared" si="104"/>
        <v>850.2</v>
      </c>
      <c r="BA79" s="25">
        <f t="shared" si="92"/>
        <v>10</v>
      </c>
      <c r="BB79" t="str">
        <f t="shared" si="105"/>
        <v/>
      </c>
      <c r="BC79" s="25" t="str">
        <f t="shared" si="93"/>
        <v/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12</v>
      </c>
      <c r="B80">
        <v>2</v>
      </c>
      <c r="C80">
        <v>613</v>
      </c>
      <c r="D80">
        <v>10</v>
      </c>
      <c r="E80">
        <v>4</v>
      </c>
      <c r="F80">
        <v>337</v>
      </c>
      <c r="G80">
        <v>358</v>
      </c>
      <c r="H80">
        <v>226</v>
      </c>
      <c r="I80">
        <v>570.20000000000005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>
        <f t="shared" si="109"/>
        <v>358</v>
      </c>
      <c r="BK80" s="25">
        <f t="shared" si="97"/>
        <v>4</v>
      </c>
    </row>
    <row r="81" spans="1:63">
      <c r="A81">
        <v>2</v>
      </c>
      <c r="B81">
        <v>16</v>
      </c>
      <c r="C81">
        <v>622.29999999999995</v>
      </c>
      <c r="D81">
        <v>4</v>
      </c>
      <c r="E81">
        <v>11</v>
      </c>
      <c r="F81">
        <v>332</v>
      </c>
      <c r="G81">
        <v>1194.2</v>
      </c>
      <c r="H81">
        <v>409.1</v>
      </c>
      <c r="I81">
        <v>658.1</v>
      </c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>
        <f t="shared" si="103"/>
        <v>1194.2</v>
      </c>
      <c r="AY81" s="25">
        <f t="shared" si="91"/>
        <v>11</v>
      </c>
      <c r="AZ81" t="str">
        <f t="shared" si="104"/>
        <v/>
      </c>
      <c r="BA81" s="25" t="str">
        <f t="shared" si="92"/>
        <v/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8</v>
      </c>
      <c r="B82">
        <v>4</v>
      </c>
      <c r="C82">
        <v>657.9</v>
      </c>
      <c r="D82">
        <v>1</v>
      </c>
      <c r="E82">
        <v>14</v>
      </c>
      <c r="F82">
        <v>314</v>
      </c>
      <c r="G82">
        <v>1589.2</v>
      </c>
      <c r="H82">
        <v>465.3</v>
      </c>
      <c r="I82">
        <v>968.2</v>
      </c>
      <c r="AR82">
        <f t="shared" si="98"/>
        <v>1589.2</v>
      </c>
      <c r="AS82" s="25">
        <f t="shared" si="99"/>
        <v>14</v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9</v>
      </c>
      <c r="B83">
        <v>5</v>
      </c>
      <c r="C83">
        <v>675.1</v>
      </c>
      <c r="D83">
        <v>7</v>
      </c>
      <c r="E83">
        <v>8</v>
      </c>
      <c r="F83">
        <v>306</v>
      </c>
      <c r="G83">
        <v>735.2</v>
      </c>
      <c r="H83">
        <v>351.9</v>
      </c>
      <c r="I83">
        <v>616.4</v>
      </c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 t="str">
        <f t="shared" si="104"/>
        <v/>
      </c>
      <c r="BA83" s="25" t="str">
        <f t="shared" si="92"/>
        <v/>
      </c>
      <c r="BB83" t="str">
        <f t="shared" si="105"/>
        <v/>
      </c>
      <c r="BC83" s="25" t="str">
        <f t="shared" si="93"/>
        <v/>
      </c>
      <c r="BD83">
        <f t="shared" si="106"/>
        <v>735.2</v>
      </c>
      <c r="BE83" s="25">
        <f t="shared" si="94"/>
        <v>8</v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11</v>
      </c>
      <c r="B84">
        <v>15</v>
      </c>
      <c r="C84">
        <v>697.9</v>
      </c>
      <c r="D84">
        <v>9</v>
      </c>
      <c r="E84">
        <v>6</v>
      </c>
      <c r="F84">
        <v>296</v>
      </c>
      <c r="G84">
        <v>550.9</v>
      </c>
      <c r="H84">
        <v>307.89999999999998</v>
      </c>
      <c r="I84">
        <v>732.9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 t="str">
        <f t="shared" si="107"/>
        <v/>
      </c>
      <c r="BG84" s="25" t="str">
        <f t="shared" si="95"/>
        <v/>
      </c>
      <c r="BH84">
        <f t="shared" si="108"/>
        <v>550.9</v>
      </c>
      <c r="BI84" s="25">
        <f t="shared" si="96"/>
        <v>6</v>
      </c>
      <c r="BJ84" t="str">
        <f t="shared" si="109"/>
        <v/>
      </c>
      <c r="BK84" s="25" t="str">
        <f t="shared" si="97"/>
        <v/>
      </c>
    </row>
    <row r="85" spans="1:63">
      <c r="A85">
        <v>12</v>
      </c>
      <c r="B85">
        <v>1</v>
      </c>
      <c r="C85">
        <v>722.4</v>
      </c>
      <c r="D85">
        <v>10</v>
      </c>
      <c r="E85">
        <v>3</v>
      </c>
      <c r="F85">
        <v>286</v>
      </c>
      <c r="G85">
        <v>388.3</v>
      </c>
      <c r="H85">
        <v>252.6</v>
      </c>
      <c r="I85">
        <v>644.70000000000005</v>
      </c>
      <c r="AR85" t="str">
        <f t="shared" si="98"/>
        <v/>
      </c>
      <c r="AS85" s="25" t="str">
        <f t="shared" si="99"/>
        <v/>
      </c>
      <c r="AT85" t="str">
        <f t="shared" si="100"/>
        <v/>
      </c>
      <c r="AU85" s="25" t="str">
        <f t="shared" si="101"/>
        <v/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>
        <f t="shared" si="109"/>
        <v>388.3</v>
      </c>
      <c r="BK85" s="25">
        <f t="shared" si="97"/>
        <v>3</v>
      </c>
    </row>
    <row r="86" spans="1:63">
      <c r="A86">
        <v>13</v>
      </c>
      <c r="B86">
        <v>16</v>
      </c>
      <c r="C86">
        <v>730</v>
      </c>
      <c r="D86">
        <v>5</v>
      </c>
      <c r="E86">
        <v>11</v>
      </c>
      <c r="F86">
        <v>283</v>
      </c>
      <c r="G86">
        <v>1299.4000000000001</v>
      </c>
      <c r="H86">
        <v>467.4</v>
      </c>
      <c r="I86">
        <v>793.4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>
        <f t="shared" si="104"/>
        <v>1299.4000000000001</v>
      </c>
      <c r="BA86" s="25">
        <f t="shared" si="92"/>
        <v>11</v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 t="str">
        <f t="shared" si="109"/>
        <v/>
      </c>
      <c r="BK86" s="25" t="str">
        <f t="shared" si="97"/>
        <v/>
      </c>
    </row>
    <row r="87" spans="1:63">
      <c r="A87">
        <v>5</v>
      </c>
      <c r="B87">
        <v>9</v>
      </c>
      <c r="C87">
        <v>735.2</v>
      </c>
      <c r="D87">
        <v>8</v>
      </c>
      <c r="E87">
        <v>7</v>
      </c>
      <c r="F87">
        <v>281</v>
      </c>
      <c r="G87">
        <v>675.1</v>
      </c>
      <c r="H87">
        <v>351.9</v>
      </c>
      <c r="I87">
        <v>631.29999999999995</v>
      </c>
      <c r="AR87" t="str">
        <f t="shared" si="98"/>
        <v/>
      </c>
      <c r="AS87" s="25" t="str">
        <f t="shared" si="99"/>
        <v/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>
        <f t="shared" si="107"/>
        <v>675.1</v>
      </c>
      <c r="BG87" s="25">
        <f t="shared" si="95"/>
        <v>7</v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8</v>
      </c>
      <c r="B88">
        <v>6</v>
      </c>
      <c r="C88">
        <v>735.2</v>
      </c>
      <c r="D88">
        <v>1</v>
      </c>
      <c r="E88">
        <v>13</v>
      </c>
      <c r="F88">
        <v>281</v>
      </c>
      <c r="G88">
        <v>1299.4000000000001</v>
      </c>
      <c r="H88">
        <v>469.5</v>
      </c>
      <c r="I88">
        <v>922.4</v>
      </c>
      <c r="AR88">
        <f t="shared" si="98"/>
        <v>1299.4000000000001</v>
      </c>
      <c r="AS88" s="25">
        <f t="shared" si="99"/>
        <v>13</v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 t="str">
        <f t="shared" si="109"/>
        <v/>
      </c>
      <c r="BK88" s="25" t="str">
        <f t="shared" si="97"/>
        <v/>
      </c>
    </row>
    <row r="89" spans="1:63">
      <c r="A89">
        <v>8</v>
      </c>
      <c r="B89">
        <v>7</v>
      </c>
      <c r="C89">
        <v>807</v>
      </c>
      <c r="D89">
        <v>1</v>
      </c>
      <c r="E89">
        <v>12</v>
      </c>
      <c r="F89">
        <v>256</v>
      </c>
      <c r="G89">
        <v>1828.3</v>
      </c>
      <c r="H89">
        <v>559.9</v>
      </c>
      <c r="I89">
        <v>916.8</v>
      </c>
      <c r="AR89">
        <f t="shared" si="98"/>
        <v>1828.3</v>
      </c>
      <c r="AS89" s="25">
        <f t="shared" si="99"/>
        <v>12</v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 t="str">
        <f t="shared" si="107"/>
        <v/>
      </c>
      <c r="BG89" s="25" t="str">
        <f t="shared" si="95"/>
        <v/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5</v>
      </c>
      <c r="B90">
        <v>11</v>
      </c>
      <c r="C90">
        <v>819.8</v>
      </c>
      <c r="D90">
        <v>8</v>
      </c>
      <c r="E90">
        <v>9</v>
      </c>
      <c r="F90">
        <v>252</v>
      </c>
      <c r="G90">
        <v>930.6</v>
      </c>
      <c r="H90">
        <v>435.8</v>
      </c>
      <c r="I90">
        <v>854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930.6</v>
      </c>
      <c r="BG90" s="25">
        <f t="shared" si="95"/>
        <v>9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15</v>
      </c>
      <c r="B91">
        <v>12</v>
      </c>
      <c r="C91">
        <v>843.2</v>
      </c>
      <c r="D91">
        <v>6</v>
      </c>
      <c r="E91">
        <v>10</v>
      </c>
      <c r="F91">
        <v>245</v>
      </c>
      <c r="G91">
        <v>1679.7</v>
      </c>
      <c r="H91">
        <v>561.4</v>
      </c>
      <c r="I91">
        <v>857.8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>
        <f t="shared" si="105"/>
        <v>1679.7</v>
      </c>
      <c r="BC91" s="25">
        <f t="shared" si="93"/>
        <v>10</v>
      </c>
      <c r="BD91" t="str">
        <f t="shared" si="106"/>
        <v/>
      </c>
      <c r="BE91" s="25" t="str">
        <f t="shared" si="94"/>
        <v/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12</v>
      </c>
      <c r="B92">
        <v>13</v>
      </c>
      <c r="C92">
        <v>850.2</v>
      </c>
      <c r="D92">
        <v>10</v>
      </c>
      <c r="E92">
        <v>5</v>
      </c>
      <c r="F92">
        <v>243</v>
      </c>
      <c r="G92">
        <v>609.4</v>
      </c>
      <c r="H92">
        <v>355</v>
      </c>
      <c r="I92">
        <v>819.9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 t="str">
        <f t="shared" si="103"/>
        <v/>
      </c>
      <c r="AY92" s="25" t="str">
        <f t="shared" si="91"/>
        <v/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>
        <f t="shared" si="109"/>
        <v>609.4</v>
      </c>
      <c r="BK92" s="25">
        <f t="shared" si="97"/>
        <v>5</v>
      </c>
    </row>
    <row r="93" spans="1:63">
      <c r="A93">
        <v>8</v>
      </c>
      <c r="B93">
        <v>10</v>
      </c>
      <c r="C93">
        <v>910.1</v>
      </c>
      <c r="D93">
        <v>1</v>
      </c>
      <c r="E93">
        <v>15</v>
      </c>
      <c r="F93">
        <v>227</v>
      </c>
      <c r="G93">
        <v>1844.7</v>
      </c>
      <c r="H93">
        <v>609.4</v>
      </c>
      <c r="I93">
        <v>1233.9000000000001</v>
      </c>
      <c r="AR93">
        <f t="shared" si="98"/>
        <v>1844.7</v>
      </c>
      <c r="AS93" s="25">
        <f t="shared" si="99"/>
        <v>15</v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 t="str">
        <f t="shared" si="105"/>
        <v/>
      </c>
      <c r="BC93" s="25" t="str">
        <f t="shared" si="93"/>
        <v/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15</v>
      </c>
      <c r="B94">
        <v>16</v>
      </c>
      <c r="C94">
        <v>910.1</v>
      </c>
      <c r="D94">
        <v>6</v>
      </c>
      <c r="E94">
        <v>11</v>
      </c>
      <c r="F94">
        <v>227</v>
      </c>
      <c r="G94">
        <v>1652.8</v>
      </c>
      <c r="H94">
        <v>586.9</v>
      </c>
      <c r="I94">
        <v>1048.4000000000001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>
        <f t="shared" si="105"/>
        <v>1652.8</v>
      </c>
      <c r="BC94" s="25">
        <f t="shared" si="93"/>
        <v>11</v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 t="str">
        <f t="shared" si="108"/>
        <v/>
      </c>
      <c r="BI94" s="25" t="str">
        <f t="shared" si="96"/>
        <v/>
      </c>
      <c r="BJ94" t="str">
        <f t="shared" si="109"/>
        <v/>
      </c>
      <c r="BK94" s="25" t="str">
        <f t="shared" si="97"/>
        <v/>
      </c>
    </row>
    <row r="95" spans="1:63">
      <c r="A95">
        <v>11</v>
      </c>
      <c r="B95">
        <v>5</v>
      </c>
      <c r="C95">
        <v>930.6</v>
      </c>
      <c r="D95">
        <v>9</v>
      </c>
      <c r="E95">
        <v>8</v>
      </c>
      <c r="F95">
        <v>222</v>
      </c>
      <c r="G95">
        <v>819.8</v>
      </c>
      <c r="H95">
        <v>435.8</v>
      </c>
      <c r="I95">
        <v>1025.7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>
        <f t="shared" si="108"/>
        <v>819.8</v>
      </c>
      <c r="BI95" s="25">
        <f t="shared" si="96"/>
        <v>8</v>
      </c>
      <c r="BJ95" t="str">
        <f t="shared" si="109"/>
        <v/>
      </c>
      <c r="BK95" s="25" t="str">
        <f t="shared" si="97"/>
        <v/>
      </c>
    </row>
    <row r="96" spans="1:63">
      <c r="A96">
        <v>1</v>
      </c>
      <c r="B96">
        <v>4</v>
      </c>
      <c r="C96">
        <v>979.1</v>
      </c>
      <c r="D96">
        <v>3</v>
      </c>
      <c r="E96">
        <v>14</v>
      </c>
      <c r="F96">
        <v>211</v>
      </c>
      <c r="G96">
        <v>1913</v>
      </c>
      <c r="H96">
        <v>647.6</v>
      </c>
      <c r="I96">
        <v>1191.3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>
        <f t="shared" si="102"/>
        <v>1913</v>
      </c>
      <c r="AW96" s="25">
        <f t="shared" si="101"/>
        <v>14</v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 t="str">
        <f t="shared" si="106"/>
        <v/>
      </c>
      <c r="BE96" s="25" t="str">
        <f t="shared" si="94"/>
        <v/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14</v>
      </c>
      <c r="B97">
        <v>6</v>
      </c>
      <c r="C97">
        <v>979.1</v>
      </c>
      <c r="D97">
        <v>2</v>
      </c>
      <c r="E97">
        <v>13</v>
      </c>
      <c r="F97">
        <v>211</v>
      </c>
      <c r="G97">
        <v>1565.2</v>
      </c>
      <c r="H97">
        <v>602.29999999999995</v>
      </c>
      <c r="I97">
        <v>1005.4</v>
      </c>
      <c r="AR97" t="str">
        <f t="shared" si="98"/>
        <v/>
      </c>
      <c r="AS97" s="25" t="str">
        <f t="shared" si="99"/>
        <v/>
      </c>
      <c r="AT97">
        <f t="shared" si="100"/>
        <v>1565.2</v>
      </c>
      <c r="AU97" s="25">
        <f t="shared" si="101"/>
        <v>13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</v>
      </c>
      <c r="B98">
        <v>6</v>
      </c>
      <c r="C98">
        <v>993.3</v>
      </c>
      <c r="D98">
        <v>3</v>
      </c>
      <c r="E98">
        <v>13</v>
      </c>
      <c r="F98">
        <v>208</v>
      </c>
      <c r="G98">
        <v>1967.6</v>
      </c>
      <c r="H98">
        <v>660.1</v>
      </c>
      <c r="I98">
        <v>1333.4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>
        <f t="shared" si="102"/>
        <v>1967.6</v>
      </c>
      <c r="AW98" s="25">
        <f t="shared" si="101"/>
        <v>13</v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 t="str">
        <f t="shared" si="108"/>
        <v/>
      </c>
      <c r="BI98" s="25" t="str">
        <f t="shared" si="96"/>
        <v/>
      </c>
      <c r="BJ98" t="str">
        <f t="shared" si="109"/>
        <v/>
      </c>
      <c r="BK98" s="25" t="str">
        <f t="shared" si="97"/>
        <v/>
      </c>
    </row>
    <row r="99" spans="1:63">
      <c r="A99">
        <v>16</v>
      </c>
      <c r="B99">
        <v>14</v>
      </c>
      <c r="C99">
        <v>1002.9</v>
      </c>
      <c r="D99">
        <v>11</v>
      </c>
      <c r="E99">
        <v>2</v>
      </c>
      <c r="F99">
        <v>206</v>
      </c>
      <c r="G99">
        <v>408.3</v>
      </c>
      <c r="H99">
        <v>290.2</v>
      </c>
      <c r="I99">
        <v>848.3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 t="str">
        <f t="shared" si="102"/>
        <v/>
      </c>
      <c r="AW99" s="25" t="str">
        <f t="shared" si="101"/>
        <v/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16</v>
      </c>
      <c r="B100">
        <v>8</v>
      </c>
      <c r="C100">
        <v>1017.7</v>
      </c>
      <c r="D100">
        <v>11</v>
      </c>
      <c r="E100">
        <v>1</v>
      </c>
      <c r="F100">
        <v>203</v>
      </c>
      <c r="G100">
        <v>348.9</v>
      </c>
      <c r="H100">
        <v>259.8</v>
      </c>
      <c r="I100">
        <v>889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 t="str">
        <f t="shared" si="106"/>
        <v/>
      </c>
      <c r="BE100" s="25" t="str">
        <f t="shared" si="94"/>
        <v/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8</v>
      </c>
      <c r="B101">
        <v>3</v>
      </c>
      <c r="C101">
        <v>1048.7</v>
      </c>
      <c r="D101">
        <v>1</v>
      </c>
      <c r="E101">
        <v>16</v>
      </c>
      <c r="F101">
        <v>197</v>
      </c>
      <c r="G101">
        <v>2005.9</v>
      </c>
      <c r="H101">
        <v>688.7</v>
      </c>
      <c r="I101">
        <v>1554.3</v>
      </c>
      <c r="AR101">
        <f t="shared" si="98"/>
        <v>2005.9</v>
      </c>
      <c r="AS101" s="25">
        <f t="shared" si="99"/>
        <v>16</v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:63">
      <c r="A102">
        <v>2</v>
      </c>
      <c r="B102">
        <v>6</v>
      </c>
      <c r="C102">
        <v>1160.7</v>
      </c>
      <c r="D102">
        <v>4</v>
      </c>
      <c r="E102">
        <v>13</v>
      </c>
      <c r="F102">
        <v>178</v>
      </c>
      <c r="G102">
        <v>1967.6</v>
      </c>
      <c r="H102">
        <v>730</v>
      </c>
      <c r="I102">
        <v>1262.5999999999999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>
        <f t="shared" si="103"/>
        <v>1967.6</v>
      </c>
      <c r="AY102" s="25">
        <f t="shared" si="91"/>
        <v>13</v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 t="str">
        <f t="shared" si="107"/>
        <v/>
      </c>
      <c r="BG102" s="25" t="str">
        <f t="shared" si="95"/>
        <v/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:63">
      <c r="A103">
        <v>16</v>
      </c>
      <c r="B103">
        <v>1</v>
      </c>
      <c r="C103">
        <v>1167.2</v>
      </c>
      <c r="D103">
        <v>11</v>
      </c>
      <c r="E103">
        <v>3</v>
      </c>
      <c r="F103">
        <v>177</v>
      </c>
      <c r="G103">
        <v>573.9</v>
      </c>
      <c r="H103">
        <v>384.7</v>
      </c>
      <c r="I103">
        <v>1301.5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 t="str">
        <f t="shared" si="109"/>
        <v/>
      </c>
    </row>
    <row r="104" spans="1:63">
      <c r="A104">
        <v>11</v>
      </c>
      <c r="B104">
        <v>9</v>
      </c>
      <c r="C104">
        <v>1173.9000000000001</v>
      </c>
      <c r="D104">
        <v>9</v>
      </c>
      <c r="E104">
        <v>7</v>
      </c>
      <c r="F104">
        <v>176</v>
      </c>
      <c r="G104">
        <v>1215.3</v>
      </c>
      <c r="H104">
        <v>597.1</v>
      </c>
      <c r="I104">
        <v>1052.7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>
        <f t="shared" si="108"/>
        <v>1215.3</v>
      </c>
      <c r="BI104" s="25">
        <f t="shared" si="96"/>
        <v>7</v>
      </c>
      <c r="BJ104" t="str">
        <f t="shared" si="109"/>
        <v/>
      </c>
    </row>
    <row r="105" spans="1:63">
      <c r="A105">
        <v>14</v>
      </c>
      <c r="B105">
        <v>7</v>
      </c>
      <c r="C105">
        <v>1194.2</v>
      </c>
      <c r="D105">
        <v>2</v>
      </c>
      <c r="E105">
        <v>12</v>
      </c>
      <c r="F105">
        <v>173</v>
      </c>
      <c r="G105">
        <v>1812.3</v>
      </c>
      <c r="H105">
        <v>719.9</v>
      </c>
      <c r="I105">
        <v>1002.7</v>
      </c>
      <c r="AR105" t="str">
        <f t="shared" si="98"/>
        <v/>
      </c>
      <c r="AS105" s="25" t="str">
        <f t="shared" si="99"/>
        <v/>
      </c>
      <c r="AT105">
        <f t="shared" si="100"/>
        <v>1812.3</v>
      </c>
      <c r="AU105" s="25">
        <f t="shared" si="110"/>
        <v>12</v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16</v>
      </c>
      <c r="B106">
        <v>2</v>
      </c>
      <c r="C106">
        <v>1194.2</v>
      </c>
      <c r="D106">
        <v>11</v>
      </c>
      <c r="E106">
        <v>4</v>
      </c>
      <c r="F106">
        <v>173</v>
      </c>
      <c r="G106">
        <v>622.29999999999995</v>
      </c>
      <c r="H106">
        <v>409.1</v>
      </c>
      <c r="I106">
        <v>1051.2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 t="str">
        <f t="shared" si="104"/>
        <v/>
      </c>
      <c r="BA106" s="25" t="str">
        <f t="shared" si="92"/>
        <v/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:63">
      <c r="A107">
        <v>9</v>
      </c>
      <c r="B107">
        <v>11</v>
      </c>
      <c r="C107">
        <v>1215.3</v>
      </c>
      <c r="D107">
        <v>7</v>
      </c>
      <c r="E107">
        <v>9</v>
      </c>
      <c r="F107">
        <v>170</v>
      </c>
      <c r="G107">
        <v>1173.9000000000001</v>
      </c>
      <c r="H107">
        <v>597.1</v>
      </c>
      <c r="I107">
        <v>1067.5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>
        <f t="shared" si="106"/>
        <v>1173.9000000000001</v>
      </c>
      <c r="BE107" s="25">
        <f t="shared" si="94"/>
        <v>9</v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13</v>
      </c>
      <c r="B108">
        <v>7</v>
      </c>
      <c r="C108">
        <v>1222.5</v>
      </c>
      <c r="D108">
        <v>5</v>
      </c>
      <c r="E108">
        <v>12</v>
      </c>
      <c r="F108">
        <v>169</v>
      </c>
      <c r="G108">
        <v>1577.1</v>
      </c>
      <c r="H108">
        <v>688.7</v>
      </c>
      <c r="I108">
        <v>1663.1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>
        <f t="shared" si="104"/>
        <v>1577.1</v>
      </c>
      <c r="BA108" s="25">
        <f t="shared" si="92"/>
        <v>12</v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2</v>
      </c>
      <c r="B109">
        <v>4</v>
      </c>
      <c r="C109">
        <v>1244.5999999999999</v>
      </c>
      <c r="D109">
        <v>4</v>
      </c>
      <c r="E109">
        <v>14</v>
      </c>
      <c r="F109">
        <v>166</v>
      </c>
      <c r="G109">
        <v>1967.6</v>
      </c>
      <c r="H109">
        <v>762.4</v>
      </c>
      <c r="I109">
        <v>1371.9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>
        <f t="shared" si="103"/>
        <v>1967.6</v>
      </c>
      <c r="AY109" s="25">
        <f t="shared" si="91"/>
        <v>14</v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 t="str">
        <f t="shared" si="107"/>
        <v/>
      </c>
      <c r="BG109" s="25" t="str">
        <f t="shared" si="95"/>
        <v/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13</v>
      </c>
      <c r="B110">
        <v>4</v>
      </c>
      <c r="C110">
        <v>1252.0999999999999</v>
      </c>
      <c r="D110">
        <v>5</v>
      </c>
      <c r="E110">
        <v>14</v>
      </c>
      <c r="F110">
        <v>165</v>
      </c>
      <c r="G110">
        <v>1986.6</v>
      </c>
      <c r="H110">
        <v>768</v>
      </c>
      <c r="I110">
        <v>2147.1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>
        <f t="shared" si="104"/>
        <v>1986.6</v>
      </c>
      <c r="BA110" s="25">
        <f t="shared" si="92"/>
        <v>14</v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 t="str">
        <f t="shared" si="108"/>
        <v/>
      </c>
      <c r="BI110" s="25" t="str">
        <f t="shared" si="96"/>
        <v/>
      </c>
      <c r="BJ110" t="str">
        <f t="shared" si="109"/>
        <v/>
      </c>
    </row>
    <row r="111" spans="1:63">
      <c r="A111">
        <v>1</v>
      </c>
      <c r="B111">
        <v>7</v>
      </c>
      <c r="C111">
        <v>1299.4000000000001</v>
      </c>
      <c r="D111">
        <v>3</v>
      </c>
      <c r="E111">
        <v>12</v>
      </c>
      <c r="F111">
        <v>159</v>
      </c>
      <c r="G111">
        <v>2582.5</v>
      </c>
      <c r="H111">
        <v>864.4</v>
      </c>
      <c r="I111">
        <v>1362.1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>
        <f t="shared" si="102"/>
        <v>2582.5</v>
      </c>
      <c r="AW111" s="25">
        <f t="shared" si="111"/>
        <v>12</v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6</v>
      </c>
      <c r="B112">
        <v>8</v>
      </c>
      <c r="C112">
        <v>1299.4000000000001</v>
      </c>
      <c r="D112">
        <v>13</v>
      </c>
      <c r="E112">
        <v>1</v>
      </c>
      <c r="F112">
        <v>159</v>
      </c>
      <c r="G112">
        <v>735.2</v>
      </c>
      <c r="H112">
        <v>469.5</v>
      </c>
      <c r="I112">
        <v>1610.3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16</v>
      </c>
      <c r="B113">
        <v>13</v>
      </c>
      <c r="C113">
        <v>1299.4000000000001</v>
      </c>
      <c r="D113">
        <v>11</v>
      </c>
      <c r="E113">
        <v>5</v>
      </c>
      <c r="F113">
        <v>159</v>
      </c>
      <c r="G113">
        <v>730</v>
      </c>
      <c r="H113">
        <v>467.4</v>
      </c>
      <c r="I113">
        <v>1310.4000000000001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1:62">
      <c r="A114">
        <v>14</v>
      </c>
      <c r="B114">
        <v>4</v>
      </c>
      <c r="C114">
        <v>1350.3</v>
      </c>
      <c r="D114">
        <v>2</v>
      </c>
      <c r="E114">
        <v>14</v>
      </c>
      <c r="F114">
        <v>153</v>
      </c>
      <c r="G114">
        <v>2005.9</v>
      </c>
      <c r="H114">
        <v>807</v>
      </c>
      <c r="I114">
        <v>1248</v>
      </c>
      <c r="AR114" t="str">
        <f t="shared" si="98"/>
        <v/>
      </c>
      <c r="AS114" s="25" t="str">
        <f t="shared" si="99"/>
        <v/>
      </c>
      <c r="AT114">
        <f t="shared" si="100"/>
        <v>2005.9</v>
      </c>
      <c r="AU114" s="25">
        <f t="shared" si="110"/>
        <v>14</v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9</v>
      </c>
      <c r="B115">
        <v>12</v>
      </c>
      <c r="C115">
        <v>1386.6</v>
      </c>
      <c r="D115">
        <v>7</v>
      </c>
      <c r="E115">
        <v>10</v>
      </c>
      <c r="F115">
        <v>149</v>
      </c>
      <c r="G115">
        <v>1589.2</v>
      </c>
      <c r="H115">
        <v>740.5</v>
      </c>
      <c r="I115">
        <v>1039.7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 t="str">
        <f t="shared" si="102"/>
        <v/>
      </c>
      <c r="AW115" s="25" t="str">
        <f t="shared" si="111"/>
        <v/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>
        <f t="shared" si="106"/>
        <v>1589.2</v>
      </c>
      <c r="BE115" s="25">
        <f t="shared" si="94"/>
        <v>10</v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1:62">
      <c r="A116">
        <v>2</v>
      </c>
      <c r="B116">
        <v>7</v>
      </c>
      <c r="C116">
        <v>1395.9</v>
      </c>
      <c r="D116">
        <v>4</v>
      </c>
      <c r="E116">
        <v>12</v>
      </c>
      <c r="F116">
        <v>148</v>
      </c>
      <c r="G116">
        <v>2197.9</v>
      </c>
      <c r="H116">
        <v>853.7</v>
      </c>
      <c r="I116">
        <v>1617.1</v>
      </c>
      <c r="AR116" t="str">
        <f t="shared" si="98"/>
        <v/>
      </c>
      <c r="AS116" s="25" t="str">
        <f t="shared" si="99"/>
        <v/>
      </c>
      <c r="AT116" t="str">
        <f t="shared" si="100"/>
        <v/>
      </c>
      <c r="AU116" s="25" t="str">
        <f t="shared" si="110"/>
        <v/>
      </c>
      <c r="AV116" t="str">
        <f t="shared" si="102"/>
        <v/>
      </c>
      <c r="AW116" s="25" t="str">
        <f t="shared" si="111"/>
        <v/>
      </c>
      <c r="AX116">
        <f t="shared" si="103"/>
        <v>2197.9</v>
      </c>
      <c r="AY116" s="25">
        <f t="shared" si="91"/>
        <v>12</v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14</v>
      </c>
      <c r="B117">
        <v>10</v>
      </c>
      <c r="C117">
        <v>1405.4</v>
      </c>
      <c r="D117">
        <v>2</v>
      </c>
      <c r="E117">
        <v>15</v>
      </c>
      <c r="F117">
        <v>147</v>
      </c>
      <c r="G117">
        <v>3228.2</v>
      </c>
      <c r="H117">
        <v>979.1</v>
      </c>
      <c r="I117">
        <v>1711.8</v>
      </c>
      <c r="AR117" t="str">
        <f t="shared" si="98"/>
        <v/>
      </c>
      <c r="AS117" s="25" t="str">
        <f t="shared" si="99"/>
        <v/>
      </c>
      <c r="AT117">
        <f t="shared" si="100"/>
        <v>3228.2</v>
      </c>
      <c r="AU117" s="25">
        <f t="shared" si="110"/>
        <v>15</v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2</v>
      </c>
      <c r="B118">
        <v>3</v>
      </c>
      <c r="C118">
        <v>1486.3</v>
      </c>
      <c r="D118">
        <v>4</v>
      </c>
      <c r="E118">
        <v>16</v>
      </c>
      <c r="F118">
        <v>139</v>
      </c>
      <c r="G118">
        <v>3083.6</v>
      </c>
      <c r="H118">
        <v>1002.9</v>
      </c>
      <c r="I118">
        <v>2171.6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>
        <f t="shared" si="103"/>
        <v>3083.6</v>
      </c>
      <c r="AY118" s="25">
        <f t="shared" si="91"/>
        <v>16</v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1:62">
      <c r="A119">
        <v>13</v>
      </c>
      <c r="B119">
        <v>6</v>
      </c>
      <c r="C119">
        <v>1508</v>
      </c>
      <c r="D119">
        <v>5</v>
      </c>
      <c r="E119">
        <v>13</v>
      </c>
      <c r="F119">
        <v>137</v>
      </c>
      <c r="G119">
        <v>2174.8000000000002</v>
      </c>
      <c r="H119">
        <v>890.5</v>
      </c>
      <c r="I119">
        <v>2248.6999999999998</v>
      </c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>
        <f t="shared" si="104"/>
        <v>2174.8000000000002</v>
      </c>
      <c r="BA119" s="25">
        <f t="shared" si="92"/>
        <v>13</v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6</v>
      </c>
      <c r="B120">
        <v>14</v>
      </c>
      <c r="C120">
        <v>1565.2</v>
      </c>
      <c r="D120">
        <v>13</v>
      </c>
      <c r="E120">
        <v>2</v>
      </c>
      <c r="F120">
        <v>132</v>
      </c>
      <c r="G120">
        <v>979.1</v>
      </c>
      <c r="H120">
        <v>602.29999999999995</v>
      </c>
      <c r="I120">
        <v>2065.4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 t="str">
        <f t="shared" si="102"/>
        <v/>
      </c>
      <c r="AW120" s="25" t="str">
        <f t="shared" si="111"/>
        <v/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1</v>
      </c>
      <c r="B121">
        <v>10</v>
      </c>
      <c r="C121">
        <v>1577.1</v>
      </c>
      <c r="D121">
        <v>3</v>
      </c>
      <c r="E121">
        <v>15</v>
      </c>
      <c r="F121">
        <v>131</v>
      </c>
      <c r="G121">
        <v>3973.2</v>
      </c>
      <c r="H121">
        <v>1129</v>
      </c>
      <c r="I121">
        <v>2184.1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>
        <f t="shared" si="102"/>
        <v>3973.2</v>
      </c>
      <c r="AW121" s="25">
        <f t="shared" si="111"/>
        <v>15</v>
      </c>
      <c r="AX121" t="str">
        <f t="shared" si="103"/>
        <v/>
      </c>
      <c r="AY121" s="25" t="str">
        <f t="shared" si="91"/>
        <v/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7</v>
      </c>
      <c r="B122">
        <v>13</v>
      </c>
      <c r="C122">
        <v>1577.1</v>
      </c>
      <c r="D122">
        <v>12</v>
      </c>
      <c r="E122">
        <v>5</v>
      </c>
      <c r="F122">
        <v>131</v>
      </c>
      <c r="G122">
        <v>1222.5</v>
      </c>
      <c r="H122">
        <v>688.7</v>
      </c>
      <c r="I122">
        <v>2405.1999999999998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 t="str">
        <f t="shared" si="109"/>
        <v/>
      </c>
    </row>
    <row r="123" spans="1:62">
      <c r="A123">
        <v>1</v>
      </c>
      <c r="B123">
        <v>3</v>
      </c>
      <c r="C123">
        <v>1589.2</v>
      </c>
      <c r="D123">
        <v>3</v>
      </c>
      <c r="E123">
        <v>16</v>
      </c>
      <c r="F123">
        <v>130</v>
      </c>
      <c r="G123">
        <v>3624.6</v>
      </c>
      <c r="H123">
        <v>1104.8</v>
      </c>
      <c r="I123">
        <v>1827.1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>
        <f t="shared" si="102"/>
        <v>3624.6</v>
      </c>
      <c r="AW123" s="25">
        <f t="shared" si="111"/>
        <v>16</v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4</v>
      </c>
      <c r="B124">
        <v>8</v>
      </c>
      <c r="C124">
        <v>1589.2</v>
      </c>
      <c r="D124">
        <v>14</v>
      </c>
      <c r="E124">
        <v>1</v>
      </c>
      <c r="F124">
        <v>130</v>
      </c>
      <c r="G124">
        <v>657.9</v>
      </c>
      <c r="H124">
        <v>465.3</v>
      </c>
      <c r="I124">
        <v>1670.5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 t="str">
        <f t="shared" si="103"/>
        <v/>
      </c>
      <c r="AY124" s="25" t="str">
        <f t="shared" si="91"/>
        <v/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12</v>
      </c>
      <c r="B125">
        <v>9</v>
      </c>
      <c r="C125">
        <v>1589.2</v>
      </c>
      <c r="D125">
        <v>10</v>
      </c>
      <c r="E125">
        <v>7</v>
      </c>
      <c r="F125">
        <v>130</v>
      </c>
      <c r="G125">
        <v>1386.6</v>
      </c>
      <c r="H125">
        <v>740.5</v>
      </c>
      <c r="I125">
        <v>1258.4000000000001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 t="str">
        <f t="shared" si="103"/>
        <v/>
      </c>
      <c r="AY125" s="25" t="str">
        <f t="shared" si="91"/>
        <v/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>
        <f t="shared" si="109"/>
        <v>1386.6</v>
      </c>
    </row>
    <row r="126" spans="1:62">
      <c r="A126">
        <v>2</v>
      </c>
      <c r="B126">
        <v>10</v>
      </c>
      <c r="C126">
        <v>1652.8</v>
      </c>
      <c r="D126">
        <v>4</v>
      </c>
      <c r="E126">
        <v>15</v>
      </c>
      <c r="F126">
        <v>125</v>
      </c>
      <c r="G126">
        <v>3279.4</v>
      </c>
      <c r="H126">
        <v>1098.9000000000001</v>
      </c>
      <c r="I126">
        <v>3028.1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>
        <f t="shared" si="103"/>
        <v>3279.4</v>
      </c>
      <c r="AY126" s="25">
        <f t="shared" si="91"/>
        <v>15</v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 t="str">
        <f t="shared" si="107"/>
        <v/>
      </c>
      <c r="BG126" s="25" t="str">
        <f t="shared" si="95"/>
        <v/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16</v>
      </c>
      <c r="B127">
        <v>15</v>
      </c>
      <c r="C127">
        <v>1652.8</v>
      </c>
      <c r="D127">
        <v>11</v>
      </c>
      <c r="E127">
        <v>6</v>
      </c>
      <c r="F127">
        <v>125</v>
      </c>
      <c r="G127">
        <v>910.1</v>
      </c>
      <c r="H127">
        <v>586.9</v>
      </c>
      <c r="I127">
        <v>1943.9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 t="str">
        <f t="shared" si="104"/>
        <v/>
      </c>
      <c r="BA127" s="25" t="str">
        <f t="shared" si="92"/>
        <v/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1:62">
      <c r="A128">
        <v>12</v>
      </c>
      <c r="B128">
        <v>15</v>
      </c>
      <c r="C128">
        <v>1679.7</v>
      </c>
      <c r="D128">
        <v>10</v>
      </c>
      <c r="E128">
        <v>6</v>
      </c>
      <c r="F128">
        <v>123</v>
      </c>
      <c r="G128">
        <v>843.2</v>
      </c>
      <c r="H128">
        <v>561.4</v>
      </c>
      <c r="I128">
        <v>1620.6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 t="str">
        <f t="shared" si="105"/>
        <v/>
      </c>
      <c r="BC128" s="25" t="str">
        <f t="shared" si="93"/>
        <v/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>
        <f t="shared" si="109"/>
        <v>843.2</v>
      </c>
    </row>
    <row r="129" spans="1:62">
      <c r="A129">
        <v>7</v>
      </c>
      <c r="B129">
        <v>14</v>
      </c>
      <c r="C129">
        <v>1812.3</v>
      </c>
      <c r="D129">
        <v>12</v>
      </c>
      <c r="E129">
        <v>2</v>
      </c>
      <c r="F129">
        <v>114</v>
      </c>
      <c r="G129">
        <v>1194.2</v>
      </c>
      <c r="H129">
        <v>719.9</v>
      </c>
      <c r="I129">
        <v>1796.8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7</v>
      </c>
      <c r="B130">
        <v>8</v>
      </c>
      <c r="C130">
        <v>1828.3</v>
      </c>
      <c r="D130">
        <v>12</v>
      </c>
      <c r="E130">
        <v>1</v>
      </c>
      <c r="F130">
        <v>113</v>
      </c>
      <c r="G130">
        <v>807</v>
      </c>
      <c r="H130">
        <v>559.9</v>
      </c>
      <c r="I130">
        <v>1631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 t="str">
        <f t="shared" si="106"/>
        <v/>
      </c>
      <c r="BE130" s="25" t="str">
        <f t="shared" si="94"/>
        <v/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15</v>
      </c>
      <c r="B131">
        <v>4</v>
      </c>
      <c r="C131">
        <v>1828.3</v>
      </c>
      <c r="D131">
        <v>6</v>
      </c>
      <c r="E131">
        <v>14</v>
      </c>
      <c r="F131">
        <v>113</v>
      </c>
      <c r="G131">
        <v>3387</v>
      </c>
      <c r="H131">
        <v>1187.4000000000001</v>
      </c>
      <c r="I131">
        <v>2912.1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>
        <f t="shared" si="105"/>
        <v>3387</v>
      </c>
      <c r="BC131" s="25">
        <f t="shared" si="93"/>
        <v>14</v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10</v>
      </c>
      <c r="B132">
        <v>8</v>
      </c>
      <c r="C132">
        <v>1844.7</v>
      </c>
      <c r="D132">
        <v>15</v>
      </c>
      <c r="E132">
        <v>1</v>
      </c>
      <c r="F132">
        <v>112</v>
      </c>
      <c r="G132">
        <v>910.1</v>
      </c>
      <c r="H132">
        <v>609.4</v>
      </c>
      <c r="I132">
        <v>2390.1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 t="str">
        <f t="shared" si="105"/>
        <v/>
      </c>
      <c r="BC132" s="25" t="str">
        <f t="shared" si="93"/>
        <v/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13</v>
      </c>
      <c r="B133">
        <v>10</v>
      </c>
      <c r="C133">
        <v>1895.4</v>
      </c>
      <c r="D133">
        <v>5</v>
      </c>
      <c r="E133">
        <v>15</v>
      </c>
      <c r="F133">
        <v>109</v>
      </c>
      <c r="G133">
        <v>2869.5</v>
      </c>
      <c r="H133">
        <v>1141.4000000000001</v>
      </c>
      <c r="I133">
        <v>2559.1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 t="str">
        <f t="shared" si="103"/>
        <v/>
      </c>
      <c r="AY133" s="25" t="str">
        <f t="shared" ref="AY133:AY150" si="112">IFERROR(IF(AX133="","",$E133),"")</f>
        <v/>
      </c>
      <c r="AZ133">
        <f t="shared" si="104"/>
        <v>2869.5</v>
      </c>
      <c r="BA133" s="25">
        <f t="shared" ref="BA133:BA150" si="113">IFERROR(IF(AZ133="","",$E133),"")</f>
        <v>15</v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4</v>
      </c>
      <c r="B134">
        <v>1</v>
      </c>
      <c r="C134">
        <v>1913</v>
      </c>
      <c r="D134">
        <v>14</v>
      </c>
      <c r="E134">
        <v>3</v>
      </c>
      <c r="F134">
        <v>108</v>
      </c>
      <c r="G134">
        <v>979.1</v>
      </c>
      <c r="H134">
        <v>647.6</v>
      </c>
      <c r="I134">
        <v>1715.7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1:62">
      <c r="A135">
        <v>4</v>
      </c>
      <c r="B135">
        <v>2</v>
      </c>
      <c r="C135">
        <v>1967.6</v>
      </c>
      <c r="D135">
        <v>14</v>
      </c>
      <c r="E135">
        <v>4</v>
      </c>
      <c r="F135">
        <v>105</v>
      </c>
      <c r="G135">
        <v>1244.5999999999999</v>
      </c>
      <c r="H135">
        <v>762.4</v>
      </c>
      <c r="I135">
        <v>1853.8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 t="str">
        <f t="shared" si="123"/>
        <v/>
      </c>
      <c r="BA135" s="25" t="str">
        <f t="shared" si="113"/>
        <v/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1:62">
      <c r="A136">
        <v>6</v>
      </c>
      <c r="B136">
        <v>1</v>
      </c>
      <c r="C136">
        <v>1967.6</v>
      </c>
      <c r="D136">
        <v>13</v>
      </c>
      <c r="E136">
        <v>3</v>
      </c>
      <c r="F136">
        <v>105</v>
      </c>
      <c r="G136">
        <v>993.3</v>
      </c>
      <c r="H136">
        <v>660.1</v>
      </c>
      <c r="I136">
        <v>2117.1999999999998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6</v>
      </c>
      <c r="B137">
        <v>2</v>
      </c>
      <c r="C137">
        <v>1967.6</v>
      </c>
      <c r="D137">
        <v>13</v>
      </c>
      <c r="E137">
        <v>4</v>
      </c>
      <c r="F137">
        <v>105</v>
      </c>
      <c r="G137">
        <v>1160.7</v>
      </c>
      <c r="H137">
        <v>730</v>
      </c>
      <c r="I137">
        <v>1755.3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4</v>
      </c>
      <c r="B138">
        <v>13</v>
      </c>
      <c r="C138">
        <v>1986.6</v>
      </c>
      <c r="D138">
        <v>14</v>
      </c>
      <c r="E138">
        <v>5</v>
      </c>
      <c r="F138">
        <v>104</v>
      </c>
      <c r="G138">
        <v>1252.0999999999999</v>
      </c>
      <c r="H138">
        <v>768</v>
      </c>
      <c r="I138">
        <v>3363.1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 t="str">
        <f t="shared" si="123"/>
        <v/>
      </c>
      <c r="BA138" s="25" t="str">
        <f t="shared" si="113"/>
        <v/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3</v>
      </c>
      <c r="B139">
        <v>8</v>
      </c>
      <c r="C139">
        <v>2005.9</v>
      </c>
      <c r="D139">
        <v>16</v>
      </c>
      <c r="E139">
        <v>1</v>
      </c>
      <c r="F139">
        <v>103</v>
      </c>
      <c r="G139">
        <v>1048.7</v>
      </c>
      <c r="H139">
        <v>688.7</v>
      </c>
      <c r="I139">
        <v>3207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 t="str">
        <f t="shared" si="124"/>
        <v/>
      </c>
      <c r="BC139" s="25" t="str">
        <f t="shared" si="114"/>
        <v/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4</v>
      </c>
      <c r="B140">
        <v>14</v>
      </c>
      <c r="C140">
        <v>2005.9</v>
      </c>
      <c r="D140">
        <v>14</v>
      </c>
      <c r="E140">
        <v>2</v>
      </c>
      <c r="F140">
        <v>103</v>
      </c>
      <c r="G140">
        <v>1350.3</v>
      </c>
      <c r="H140">
        <v>807</v>
      </c>
      <c r="I140">
        <v>2043.2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 t="str">
        <f t="shared" si="126"/>
        <v/>
      </c>
      <c r="BG140" s="25" t="str">
        <f t="shared" si="116"/>
        <v/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1:62">
      <c r="A141">
        <v>14</v>
      </c>
      <c r="B141">
        <v>3</v>
      </c>
      <c r="C141">
        <v>2066</v>
      </c>
      <c r="D141">
        <v>2</v>
      </c>
      <c r="E141">
        <v>16</v>
      </c>
      <c r="F141">
        <v>100</v>
      </c>
      <c r="G141">
        <v>4491.3999999999996</v>
      </c>
      <c r="H141">
        <v>1415.1</v>
      </c>
      <c r="I141">
        <v>2611.9</v>
      </c>
      <c r="AR141" t="str">
        <f t="shared" si="118"/>
        <v/>
      </c>
      <c r="AS141" s="25" t="str">
        <f t="shared" si="119"/>
        <v/>
      </c>
      <c r="AT141">
        <f t="shared" si="120"/>
        <v>4491.3999999999996</v>
      </c>
      <c r="AU141" s="25">
        <f t="shared" si="110"/>
        <v>16</v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 t="str">
        <f t="shared" si="123"/>
        <v/>
      </c>
      <c r="BA141" s="25" t="str">
        <f t="shared" si="113"/>
        <v/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6</v>
      </c>
      <c r="B142">
        <v>13</v>
      </c>
      <c r="C142">
        <v>2174.8000000000002</v>
      </c>
      <c r="D142">
        <v>13</v>
      </c>
      <c r="E142">
        <v>5</v>
      </c>
      <c r="F142">
        <v>95</v>
      </c>
      <c r="G142">
        <v>1508</v>
      </c>
      <c r="H142">
        <v>890.5</v>
      </c>
      <c r="I142">
        <v>3378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2</v>
      </c>
      <c r="C143">
        <v>2197.9</v>
      </c>
      <c r="D143">
        <v>12</v>
      </c>
      <c r="E143">
        <v>4</v>
      </c>
      <c r="F143">
        <v>94</v>
      </c>
      <c r="G143">
        <v>1395.9</v>
      </c>
      <c r="H143">
        <v>853.7</v>
      </c>
      <c r="I143">
        <v>2026.8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15</v>
      </c>
      <c r="B144">
        <v>6</v>
      </c>
      <c r="C144">
        <v>2221.5</v>
      </c>
      <c r="D144">
        <v>6</v>
      </c>
      <c r="E144">
        <v>13</v>
      </c>
      <c r="F144">
        <v>93</v>
      </c>
      <c r="G144">
        <v>3756.5</v>
      </c>
      <c r="H144">
        <v>1396</v>
      </c>
      <c r="I144">
        <v>3551.7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>
        <f t="shared" si="124"/>
        <v>3756.5</v>
      </c>
      <c r="BC144" s="25">
        <f t="shared" si="114"/>
        <v>13</v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15</v>
      </c>
      <c r="B145">
        <v>7</v>
      </c>
      <c r="C145">
        <v>2221.5</v>
      </c>
      <c r="D145">
        <v>6</v>
      </c>
      <c r="E145">
        <v>12</v>
      </c>
      <c r="F145">
        <v>93</v>
      </c>
      <c r="G145">
        <v>3562.2</v>
      </c>
      <c r="H145">
        <v>1368.2</v>
      </c>
      <c r="I145">
        <v>3762.7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>
        <f t="shared" si="124"/>
        <v>3562.2</v>
      </c>
      <c r="BC145" s="25">
        <f t="shared" si="114"/>
        <v>12</v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12</v>
      </c>
      <c r="B146">
        <v>11</v>
      </c>
      <c r="C146">
        <v>2245.6999999999998</v>
      </c>
      <c r="D146">
        <v>10</v>
      </c>
      <c r="E146">
        <v>9</v>
      </c>
      <c r="F146">
        <v>92</v>
      </c>
      <c r="G146">
        <v>2295.6</v>
      </c>
      <c r="H146">
        <v>1135.2</v>
      </c>
      <c r="I146">
        <v>2620.9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>
        <f t="shared" si="128"/>
        <v>2295.6</v>
      </c>
    </row>
    <row r="147" spans="1:62">
      <c r="A147">
        <v>11</v>
      </c>
      <c r="B147">
        <v>12</v>
      </c>
      <c r="C147">
        <v>2295.6</v>
      </c>
      <c r="D147">
        <v>9</v>
      </c>
      <c r="E147">
        <v>10</v>
      </c>
      <c r="F147">
        <v>90</v>
      </c>
      <c r="G147">
        <v>2245.6999999999998</v>
      </c>
      <c r="H147">
        <v>1135.2</v>
      </c>
      <c r="I147">
        <v>2082.3000000000002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>
        <f t="shared" si="127"/>
        <v>2245.6999999999998</v>
      </c>
      <c r="BI147" s="25">
        <f t="shared" si="117"/>
        <v>10</v>
      </c>
      <c r="BJ147" t="str">
        <f t="shared" si="128"/>
        <v/>
      </c>
    </row>
    <row r="148" spans="1:62">
      <c r="A148">
        <v>13</v>
      </c>
      <c r="B148">
        <v>3</v>
      </c>
      <c r="C148">
        <v>2374.8000000000002</v>
      </c>
      <c r="D148">
        <v>5</v>
      </c>
      <c r="E148">
        <v>16</v>
      </c>
      <c r="F148">
        <v>87</v>
      </c>
      <c r="G148">
        <v>3973.2</v>
      </c>
      <c r="H148">
        <v>1486.4</v>
      </c>
      <c r="I148">
        <v>3348.3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>
        <f t="shared" si="123"/>
        <v>3973.2</v>
      </c>
      <c r="BA148" s="25">
        <f t="shared" si="113"/>
        <v>16</v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9</v>
      </c>
      <c r="B149">
        <v>16</v>
      </c>
      <c r="C149">
        <v>2430.6</v>
      </c>
      <c r="D149">
        <v>7</v>
      </c>
      <c r="E149">
        <v>11</v>
      </c>
      <c r="F149">
        <v>85</v>
      </c>
      <c r="G149">
        <v>3387</v>
      </c>
      <c r="H149">
        <v>1415.1</v>
      </c>
      <c r="I149">
        <v>1447.7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>
        <f t="shared" si="125"/>
        <v>3387</v>
      </c>
      <c r="BE149" s="25">
        <f t="shared" si="115"/>
        <v>11</v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1:62">
      <c r="A150">
        <v>7</v>
      </c>
      <c r="B150">
        <v>1</v>
      </c>
      <c r="C150">
        <v>2582.5</v>
      </c>
      <c r="D150">
        <v>12</v>
      </c>
      <c r="E150">
        <v>3</v>
      </c>
      <c r="F150">
        <v>80</v>
      </c>
      <c r="G150">
        <v>1299.4000000000001</v>
      </c>
      <c r="H150">
        <v>864.4</v>
      </c>
      <c r="I150">
        <v>1958.9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5</v>
      </c>
      <c r="B151">
        <v>6</v>
      </c>
      <c r="C151">
        <v>2754.7</v>
      </c>
      <c r="D151">
        <v>8</v>
      </c>
      <c r="E151">
        <v>13</v>
      </c>
      <c r="F151">
        <v>75</v>
      </c>
      <c r="G151">
        <v>3756.5</v>
      </c>
      <c r="H151">
        <v>1589.3</v>
      </c>
      <c r="I151">
        <v>2602.9</v>
      </c>
    </row>
    <row r="152" spans="1:62">
      <c r="A152">
        <v>10</v>
      </c>
      <c r="B152">
        <v>13</v>
      </c>
      <c r="C152">
        <v>2869.5</v>
      </c>
      <c r="D152">
        <v>15</v>
      </c>
      <c r="E152">
        <v>5</v>
      </c>
      <c r="F152">
        <v>72</v>
      </c>
      <c r="G152">
        <v>1895.4</v>
      </c>
      <c r="H152">
        <v>1141.4000000000001</v>
      </c>
      <c r="I152">
        <v>4780.2</v>
      </c>
    </row>
    <row r="153" spans="1:62">
      <c r="A153">
        <v>5</v>
      </c>
      <c r="B153">
        <v>16</v>
      </c>
      <c r="C153">
        <v>3038.3</v>
      </c>
      <c r="D153">
        <v>8</v>
      </c>
      <c r="E153">
        <v>11</v>
      </c>
      <c r="F153">
        <v>68</v>
      </c>
      <c r="G153">
        <v>3898.2</v>
      </c>
      <c r="H153">
        <v>1707.5</v>
      </c>
      <c r="I153">
        <v>2436.1</v>
      </c>
    </row>
    <row r="154" spans="1:62">
      <c r="A154">
        <v>9</v>
      </c>
      <c r="B154">
        <v>6</v>
      </c>
      <c r="C154">
        <v>3038.3</v>
      </c>
      <c r="D154">
        <v>7</v>
      </c>
      <c r="E154">
        <v>13</v>
      </c>
      <c r="F154">
        <v>68</v>
      </c>
      <c r="G154">
        <v>4304.3</v>
      </c>
      <c r="H154">
        <v>1781.1</v>
      </c>
      <c r="I154">
        <v>4578.7</v>
      </c>
    </row>
    <row r="155" spans="1:62">
      <c r="A155">
        <v>3</v>
      </c>
      <c r="B155">
        <v>2</v>
      </c>
      <c r="C155">
        <v>3083.6</v>
      </c>
      <c r="D155">
        <v>16</v>
      </c>
      <c r="E155">
        <v>4</v>
      </c>
      <c r="F155">
        <v>67</v>
      </c>
      <c r="G155">
        <v>1486.3</v>
      </c>
      <c r="H155">
        <v>1002.9</v>
      </c>
      <c r="I155">
        <v>2957.4</v>
      </c>
    </row>
    <row r="156" spans="1:62">
      <c r="A156">
        <v>5</v>
      </c>
      <c r="B156">
        <v>12</v>
      </c>
      <c r="C156">
        <v>3130.4</v>
      </c>
      <c r="D156">
        <v>8</v>
      </c>
      <c r="E156">
        <v>10</v>
      </c>
      <c r="F156">
        <v>66</v>
      </c>
      <c r="G156">
        <v>3689.4</v>
      </c>
      <c r="H156">
        <v>1693.5</v>
      </c>
      <c r="I156">
        <v>2248.6999999999998</v>
      </c>
    </row>
    <row r="157" spans="1:62">
      <c r="A157">
        <v>10</v>
      </c>
      <c r="B157">
        <v>14</v>
      </c>
      <c r="C157">
        <v>3228.2</v>
      </c>
      <c r="D157">
        <v>15</v>
      </c>
      <c r="E157">
        <v>2</v>
      </c>
      <c r="F157">
        <v>64</v>
      </c>
      <c r="G157">
        <v>1405.4</v>
      </c>
      <c r="H157">
        <v>979.1</v>
      </c>
      <c r="I157">
        <v>3585.2</v>
      </c>
    </row>
    <row r="158" spans="1:62">
      <c r="A158">
        <v>10</v>
      </c>
      <c r="B158">
        <v>2</v>
      </c>
      <c r="C158">
        <v>3279.4</v>
      </c>
      <c r="D158">
        <v>15</v>
      </c>
      <c r="E158">
        <v>4</v>
      </c>
      <c r="F158">
        <v>63</v>
      </c>
      <c r="G158">
        <v>1652.8</v>
      </c>
      <c r="H158">
        <v>1098.9000000000001</v>
      </c>
      <c r="I158">
        <v>4176.1000000000004</v>
      </c>
    </row>
    <row r="159" spans="1:62">
      <c r="A159">
        <v>15</v>
      </c>
      <c r="B159">
        <v>10</v>
      </c>
      <c r="C159">
        <v>3332.3</v>
      </c>
      <c r="D159">
        <v>6</v>
      </c>
      <c r="E159">
        <v>15</v>
      </c>
      <c r="F159">
        <v>62</v>
      </c>
      <c r="G159">
        <v>7124.4</v>
      </c>
      <c r="H159">
        <v>2270.4</v>
      </c>
      <c r="I159">
        <v>5846.6</v>
      </c>
    </row>
    <row r="160" spans="1:62">
      <c r="A160">
        <v>4</v>
      </c>
      <c r="B160">
        <v>15</v>
      </c>
      <c r="C160">
        <v>3387</v>
      </c>
      <c r="D160">
        <v>14</v>
      </c>
      <c r="E160">
        <v>6</v>
      </c>
      <c r="F160">
        <v>61</v>
      </c>
      <c r="G160">
        <v>1828.3</v>
      </c>
      <c r="H160">
        <v>1187.4000000000001</v>
      </c>
      <c r="I160">
        <v>4222.6000000000004</v>
      </c>
    </row>
    <row r="161" spans="1:9">
      <c r="A161">
        <v>16</v>
      </c>
      <c r="B161">
        <v>9</v>
      </c>
      <c r="C161">
        <v>3387</v>
      </c>
      <c r="D161">
        <v>11</v>
      </c>
      <c r="E161">
        <v>7</v>
      </c>
      <c r="F161">
        <v>61</v>
      </c>
      <c r="G161">
        <v>2430.6</v>
      </c>
      <c r="H161">
        <v>1415.1</v>
      </c>
      <c r="I161">
        <v>2375.1999999999998</v>
      </c>
    </row>
    <row r="162" spans="1:9">
      <c r="A162">
        <v>9</v>
      </c>
      <c r="B162">
        <v>4</v>
      </c>
      <c r="C162">
        <v>3443.4</v>
      </c>
      <c r="D162">
        <v>7</v>
      </c>
      <c r="E162">
        <v>14</v>
      </c>
      <c r="F162">
        <v>60</v>
      </c>
      <c r="G162">
        <v>3898.2</v>
      </c>
      <c r="H162">
        <v>1828.4</v>
      </c>
      <c r="I162">
        <v>4246.1000000000004</v>
      </c>
    </row>
    <row r="163" spans="1:9">
      <c r="A163">
        <v>15</v>
      </c>
      <c r="B163">
        <v>3</v>
      </c>
      <c r="C163">
        <v>3443.4</v>
      </c>
      <c r="D163">
        <v>6</v>
      </c>
      <c r="E163">
        <v>16</v>
      </c>
      <c r="F163">
        <v>60</v>
      </c>
      <c r="G163">
        <v>7378.8</v>
      </c>
      <c r="H163">
        <v>2347.8000000000002</v>
      </c>
      <c r="I163">
        <v>7238.7</v>
      </c>
    </row>
    <row r="164" spans="1:9">
      <c r="A164">
        <v>7</v>
      </c>
      <c r="B164">
        <v>15</v>
      </c>
      <c r="C164">
        <v>3562.2</v>
      </c>
      <c r="D164">
        <v>12</v>
      </c>
      <c r="E164">
        <v>6</v>
      </c>
      <c r="F164">
        <v>58</v>
      </c>
      <c r="G164">
        <v>2221.5</v>
      </c>
      <c r="H164">
        <v>1368.2</v>
      </c>
      <c r="I164">
        <v>5672.1</v>
      </c>
    </row>
    <row r="165" spans="1:9">
      <c r="A165">
        <v>3</v>
      </c>
      <c r="B165">
        <v>1</v>
      </c>
      <c r="C165">
        <v>3624.6</v>
      </c>
      <c r="D165">
        <v>16</v>
      </c>
      <c r="E165">
        <v>3</v>
      </c>
      <c r="F165">
        <v>57</v>
      </c>
      <c r="G165">
        <v>1589.2</v>
      </c>
      <c r="H165">
        <v>1104.8</v>
      </c>
      <c r="I165">
        <v>2901</v>
      </c>
    </row>
    <row r="166" spans="1:9">
      <c r="A166">
        <v>12</v>
      </c>
      <c r="B166">
        <v>5</v>
      </c>
      <c r="C166">
        <v>3689.4</v>
      </c>
      <c r="D166">
        <v>10</v>
      </c>
      <c r="E166">
        <v>8</v>
      </c>
      <c r="F166">
        <v>56</v>
      </c>
      <c r="G166">
        <v>3130.4</v>
      </c>
      <c r="H166">
        <v>1693.5</v>
      </c>
      <c r="I166">
        <v>2846.7</v>
      </c>
    </row>
    <row r="167" spans="1:9">
      <c r="A167">
        <v>6</v>
      </c>
      <c r="B167">
        <v>5</v>
      </c>
      <c r="C167">
        <v>3756.5</v>
      </c>
      <c r="D167">
        <v>13</v>
      </c>
      <c r="E167">
        <v>8</v>
      </c>
      <c r="F167">
        <v>55</v>
      </c>
      <c r="G167">
        <v>2754.7</v>
      </c>
      <c r="H167">
        <v>1589.3</v>
      </c>
      <c r="I167">
        <v>2483.9</v>
      </c>
    </row>
    <row r="168" spans="1:9">
      <c r="A168">
        <v>6</v>
      </c>
      <c r="B168">
        <v>15</v>
      </c>
      <c r="C168">
        <v>3756.5</v>
      </c>
      <c r="D168">
        <v>13</v>
      </c>
      <c r="E168">
        <v>6</v>
      </c>
      <c r="F168">
        <v>55</v>
      </c>
      <c r="G168">
        <v>2221.5</v>
      </c>
      <c r="H168">
        <v>1396</v>
      </c>
      <c r="I168">
        <v>4470.8999999999996</v>
      </c>
    </row>
    <row r="169" spans="1:9">
      <c r="A169">
        <v>11</v>
      </c>
      <c r="B169">
        <v>16</v>
      </c>
      <c r="C169">
        <v>3826</v>
      </c>
      <c r="D169">
        <v>9</v>
      </c>
      <c r="E169">
        <v>11</v>
      </c>
      <c r="F169">
        <v>54</v>
      </c>
      <c r="G169">
        <v>5739.1</v>
      </c>
      <c r="H169">
        <v>2295.6</v>
      </c>
      <c r="I169">
        <v>3502.6</v>
      </c>
    </row>
    <row r="170" spans="1:9">
      <c r="A170">
        <v>4</v>
      </c>
      <c r="B170">
        <v>9</v>
      </c>
      <c r="C170">
        <v>3898.2</v>
      </c>
      <c r="D170">
        <v>14</v>
      </c>
      <c r="E170">
        <v>7</v>
      </c>
      <c r="F170">
        <v>53</v>
      </c>
      <c r="G170">
        <v>3443.4</v>
      </c>
      <c r="H170">
        <v>1828.4</v>
      </c>
      <c r="I170">
        <v>3585.2</v>
      </c>
    </row>
    <row r="171" spans="1:9">
      <c r="A171">
        <v>16</v>
      </c>
      <c r="B171">
        <v>5</v>
      </c>
      <c r="C171">
        <v>3898.2</v>
      </c>
      <c r="D171">
        <v>11</v>
      </c>
      <c r="E171">
        <v>8</v>
      </c>
      <c r="F171">
        <v>53</v>
      </c>
      <c r="G171">
        <v>3038.3</v>
      </c>
      <c r="H171">
        <v>1707.5</v>
      </c>
      <c r="I171">
        <v>3004.2</v>
      </c>
    </row>
    <row r="172" spans="1:9">
      <c r="A172">
        <v>3</v>
      </c>
      <c r="B172">
        <v>9</v>
      </c>
      <c r="C172">
        <v>3973.2</v>
      </c>
      <c r="D172">
        <v>16</v>
      </c>
      <c r="E172">
        <v>7</v>
      </c>
      <c r="F172">
        <v>52</v>
      </c>
      <c r="G172">
        <v>4216.3999999999996</v>
      </c>
      <c r="H172">
        <v>2045.6</v>
      </c>
      <c r="I172">
        <v>5588.7</v>
      </c>
    </row>
    <row r="173" spans="1:9">
      <c r="A173">
        <v>3</v>
      </c>
      <c r="B173">
        <v>13</v>
      </c>
      <c r="C173">
        <v>3973.2</v>
      </c>
      <c r="D173">
        <v>16</v>
      </c>
      <c r="E173">
        <v>5</v>
      </c>
      <c r="F173">
        <v>52</v>
      </c>
      <c r="G173">
        <v>2374.8000000000002</v>
      </c>
      <c r="H173">
        <v>1486.4</v>
      </c>
      <c r="I173">
        <v>8000.6</v>
      </c>
    </row>
    <row r="174" spans="1:9">
      <c r="A174">
        <v>10</v>
      </c>
      <c r="B174">
        <v>1</v>
      </c>
      <c r="C174">
        <v>3973.2</v>
      </c>
      <c r="D174">
        <v>15</v>
      </c>
      <c r="E174">
        <v>3</v>
      </c>
      <c r="F174">
        <v>52</v>
      </c>
      <c r="G174">
        <v>1577.1</v>
      </c>
      <c r="H174">
        <v>1129</v>
      </c>
      <c r="I174">
        <v>4222.6000000000004</v>
      </c>
    </row>
    <row r="175" spans="1:9">
      <c r="A175">
        <v>9</v>
      </c>
      <c r="B175">
        <v>3</v>
      </c>
      <c r="C175">
        <v>4216.3999999999996</v>
      </c>
      <c r="D175">
        <v>7</v>
      </c>
      <c r="E175">
        <v>16</v>
      </c>
      <c r="F175">
        <v>49</v>
      </c>
      <c r="G175">
        <v>3973.2</v>
      </c>
      <c r="H175">
        <v>2045.6</v>
      </c>
      <c r="I175">
        <v>6080.5</v>
      </c>
    </row>
    <row r="176" spans="1:9">
      <c r="A176">
        <v>12</v>
      </c>
      <c r="B176">
        <v>16</v>
      </c>
      <c r="C176">
        <v>4216.3999999999996</v>
      </c>
      <c r="D176">
        <v>10</v>
      </c>
      <c r="E176">
        <v>11</v>
      </c>
      <c r="F176">
        <v>49</v>
      </c>
      <c r="G176">
        <v>5165.1000000000004</v>
      </c>
      <c r="H176">
        <v>2321.4</v>
      </c>
      <c r="I176">
        <v>3518.8</v>
      </c>
    </row>
    <row r="177" spans="1:9">
      <c r="A177">
        <v>6</v>
      </c>
      <c r="B177">
        <v>9</v>
      </c>
      <c r="C177">
        <v>4304.3</v>
      </c>
      <c r="D177">
        <v>13</v>
      </c>
      <c r="E177">
        <v>7</v>
      </c>
      <c r="F177">
        <v>48</v>
      </c>
      <c r="G177">
        <v>3038.3</v>
      </c>
      <c r="H177">
        <v>1781.1</v>
      </c>
      <c r="I177">
        <v>4042.9</v>
      </c>
    </row>
    <row r="178" spans="1:9">
      <c r="A178">
        <v>9</v>
      </c>
      <c r="B178">
        <v>10</v>
      </c>
      <c r="C178">
        <v>4304.3</v>
      </c>
      <c r="D178">
        <v>7</v>
      </c>
      <c r="E178">
        <v>15</v>
      </c>
      <c r="F178">
        <v>48</v>
      </c>
      <c r="G178">
        <v>5039.2</v>
      </c>
      <c r="H178">
        <v>2321.4</v>
      </c>
      <c r="I178">
        <v>2763.9</v>
      </c>
    </row>
    <row r="179" spans="1:9">
      <c r="A179">
        <v>9</v>
      </c>
      <c r="B179">
        <v>7</v>
      </c>
      <c r="C179">
        <v>4395.8999999999996</v>
      </c>
      <c r="D179">
        <v>7</v>
      </c>
      <c r="E179">
        <v>12</v>
      </c>
      <c r="F179">
        <v>47</v>
      </c>
      <c r="G179">
        <v>5039.2</v>
      </c>
      <c r="H179">
        <v>2347.8000000000002</v>
      </c>
      <c r="I179">
        <v>5672.1</v>
      </c>
    </row>
    <row r="180" spans="1:9">
      <c r="A180">
        <v>3</v>
      </c>
      <c r="B180">
        <v>14</v>
      </c>
      <c r="C180">
        <v>4491.3999999999996</v>
      </c>
      <c r="D180">
        <v>16</v>
      </c>
      <c r="E180">
        <v>2</v>
      </c>
      <c r="F180">
        <v>46</v>
      </c>
      <c r="G180">
        <v>2066</v>
      </c>
      <c r="H180">
        <v>1415.1</v>
      </c>
      <c r="I180">
        <v>6230</v>
      </c>
    </row>
    <row r="181" spans="1:9">
      <c r="A181">
        <v>5</v>
      </c>
      <c r="B181">
        <v>3</v>
      </c>
      <c r="C181">
        <v>4804.8</v>
      </c>
      <c r="D181">
        <v>8</v>
      </c>
      <c r="E181">
        <v>16</v>
      </c>
      <c r="F181">
        <v>43</v>
      </c>
      <c r="G181">
        <v>5039.2</v>
      </c>
      <c r="H181">
        <v>2459.6</v>
      </c>
      <c r="I181">
        <v>2773.9</v>
      </c>
    </row>
    <row r="182" spans="1:9">
      <c r="A182">
        <v>11</v>
      </c>
      <c r="B182">
        <v>6</v>
      </c>
      <c r="C182">
        <v>4804.8</v>
      </c>
      <c r="D182">
        <v>9</v>
      </c>
      <c r="E182">
        <v>13</v>
      </c>
      <c r="F182">
        <v>43</v>
      </c>
      <c r="G182">
        <v>5165.1000000000004</v>
      </c>
      <c r="H182">
        <v>2489.1999999999998</v>
      </c>
      <c r="I182">
        <v>7170.4</v>
      </c>
    </row>
    <row r="183" spans="1:9">
      <c r="A183">
        <v>3</v>
      </c>
      <c r="B183">
        <v>5</v>
      </c>
      <c r="C183">
        <v>5039.2</v>
      </c>
      <c r="D183">
        <v>16</v>
      </c>
      <c r="E183">
        <v>8</v>
      </c>
      <c r="F183">
        <v>41</v>
      </c>
      <c r="G183">
        <v>4804.8</v>
      </c>
      <c r="H183">
        <v>2459.6</v>
      </c>
      <c r="I183">
        <v>4199.2</v>
      </c>
    </row>
    <row r="184" spans="1:9">
      <c r="A184">
        <v>7</v>
      </c>
      <c r="B184">
        <v>9</v>
      </c>
      <c r="C184">
        <v>5039.2</v>
      </c>
      <c r="D184">
        <v>12</v>
      </c>
      <c r="E184">
        <v>7</v>
      </c>
      <c r="F184">
        <v>41</v>
      </c>
      <c r="G184">
        <v>4395.8999999999996</v>
      </c>
      <c r="H184">
        <v>2347.8000000000002</v>
      </c>
      <c r="I184">
        <v>5429</v>
      </c>
    </row>
    <row r="185" spans="1:9">
      <c r="A185">
        <v>10</v>
      </c>
      <c r="B185">
        <v>9</v>
      </c>
      <c r="C185">
        <v>5039.2</v>
      </c>
      <c r="D185">
        <v>15</v>
      </c>
      <c r="E185">
        <v>7</v>
      </c>
      <c r="F185">
        <v>41</v>
      </c>
      <c r="G185">
        <v>4304.3</v>
      </c>
      <c r="H185">
        <v>2321.4</v>
      </c>
      <c r="I185">
        <v>7308.3</v>
      </c>
    </row>
    <row r="186" spans="1:9">
      <c r="A186">
        <v>6</v>
      </c>
      <c r="B186">
        <v>11</v>
      </c>
      <c r="C186">
        <v>5165.1000000000004</v>
      </c>
      <c r="D186">
        <v>13</v>
      </c>
      <c r="E186">
        <v>9</v>
      </c>
      <c r="F186">
        <v>40</v>
      </c>
      <c r="G186">
        <v>4804.8</v>
      </c>
      <c r="H186">
        <v>2489.1999999999998</v>
      </c>
      <c r="I186">
        <v>7917.3</v>
      </c>
    </row>
    <row r="187" spans="1:9">
      <c r="A187">
        <v>16</v>
      </c>
      <c r="B187">
        <v>12</v>
      </c>
      <c r="C187">
        <v>5165.1000000000004</v>
      </c>
      <c r="D187">
        <v>11</v>
      </c>
      <c r="E187">
        <v>10</v>
      </c>
      <c r="F187">
        <v>40</v>
      </c>
      <c r="G187">
        <v>4216.3999999999996</v>
      </c>
      <c r="H187">
        <v>2321.4</v>
      </c>
      <c r="I187">
        <v>3671.8</v>
      </c>
    </row>
    <row r="188" spans="1:9">
      <c r="A188">
        <v>4</v>
      </c>
      <c r="B188">
        <v>5</v>
      </c>
      <c r="C188">
        <v>5583.9</v>
      </c>
      <c r="D188">
        <v>14</v>
      </c>
      <c r="E188">
        <v>8</v>
      </c>
      <c r="F188">
        <v>37</v>
      </c>
      <c r="G188">
        <v>5739.1</v>
      </c>
      <c r="H188">
        <v>2830.2</v>
      </c>
      <c r="I188">
        <v>4042.9</v>
      </c>
    </row>
    <row r="189" spans="1:9">
      <c r="A189">
        <v>5</v>
      </c>
      <c r="B189">
        <v>4</v>
      </c>
      <c r="C189">
        <v>5739.1</v>
      </c>
      <c r="D189">
        <v>8</v>
      </c>
      <c r="E189">
        <v>14</v>
      </c>
      <c r="F189">
        <v>36</v>
      </c>
      <c r="G189">
        <v>5583.9</v>
      </c>
      <c r="H189">
        <v>2830.2</v>
      </c>
      <c r="I189">
        <v>4246.1000000000004</v>
      </c>
    </row>
    <row r="190" spans="1:9">
      <c r="A190">
        <v>16</v>
      </c>
      <c r="B190">
        <v>11</v>
      </c>
      <c r="C190">
        <v>5739.1</v>
      </c>
      <c r="D190">
        <v>11</v>
      </c>
      <c r="E190">
        <v>9</v>
      </c>
      <c r="F190">
        <v>36</v>
      </c>
      <c r="G190">
        <v>3826</v>
      </c>
      <c r="H190">
        <v>2295.6</v>
      </c>
      <c r="I190">
        <v>4662.8999999999996</v>
      </c>
    </row>
    <row r="191" spans="1:9">
      <c r="A191">
        <v>5</v>
      </c>
      <c r="B191">
        <v>10</v>
      </c>
      <c r="C191">
        <v>5903</v>
      </c>
      <c r="D191">
        <v>8</v>
      </c>
      <c r="E191">
        <v>15</v>
      </c>
      <c r="F191">
        <v>35</v>
      </c>
      <c r="G191">
        <v>10874</v>
      </c>
      <c r="H191">
        <v>3826</v>
      </c>
      <c r="I191">
        <v>6333.8</v>
      </c>
    </row>
    <row r="192" spans="1:9">
      <c r="A192">
        <v>12</v>
      </c>
      <c r="B192">
        <v>6</v>
      </c>
      <c r="C192">
        <v>6260.8</v>
      </c>
      <c r="D192">
        <v>10</v>
      </c>
      <c r="E192">
        <v>13</v>
      </c>
      <c r="F192">
        <v>33</v>
      </c>
      <c r="G192">
        <v>9838.4</v>
      </c>
      <c r="H192">
        <v>3826</v>
      </c>
      <c r="I192">
        <v>8085.7</v>
      </c>
    </row>
    <row r="193" spans="1:9">
      <c r="A193">
        <v>5</v>
      </c>
      <c r="B193">
        <v>7</v>
      </c>
      <c r="C193">
        <v>6456.4</v>
      </c>
      <c r="D193">
        <v>8</v>
      </c>
      <c r="E193">
        <v>12</v>
      </c>
      <c r="F193">
        <v>32</v>
      </c>
      <c r="G193">
        <v>9838.4</v>
      </c>
      <c r="H193">
        <v>3898.2</v>
      </c>
      <c r="I193">
        <v>3408.3</v>
      </c>
    </row>
    <row r="194" spans="1:9">
      <c r="A194">
        <v>11</v>
      </c>
      <c r="B194">
        <v>4</v>
      </c>
      <c r="C194">
        <v>6886.9</v>
      </c>
      <c r="D194">
        <v>9</v>
      </c>
      <c r="E194">
        <v>14</v>
      </c>
      <c r="F194">
        <v>30</v>
      </c>
      <c r="G194">
        <v>9838.4</v>
      </c>
      <c r="H194">
        <v>4051.1</v>
      </c>
      <c r="I194">
        <v>6909.6</v>
      </c>
    </row>
    <row r="195" spans="1:9">
      <c r="A195">
        <v>10</v>
      </c>
      <c r="B195">
        <v>15</v>
      </c>
      <c r="C195">
        <v>7124.4</v>
      </c>
      <c r="D195">
        <v>15</v>
      </c>
      <c r="E195">
        <v>6</v>
      </c>
      <c r="F195">
        <v>29</v>
      </c>
      <c r="G195">
        <v>3332.3</v>
      </c>
      <c r="H195">
        <v>2270.4</v>
      </c>
      <c r="I195">
        <v>8837.9</v>
      </c>
    </row>
    <row r="196" spans="1:9">
      <c r="A196">
        <v>3</v>
      </c>
      <c r="B196">
        <v>15</v>
      </c>
      <c r="C196">
        <v>7378.8</v>
      </c>
      <c r="D196">
        <v>16</v>
      </c>
      <c r="E196">
        <v>6</v>
      </c>
      <c r="F196">
        <v>28</v>
      </c>
      <c r="G196">
        <v>3443.4</v>
      </c>
      <c r="H196">
        <v>2347.8000000000002</v>
      </c>
      <c r="I196">
        <v>16171.5</v>
      </c>
    </row>
    <row r="197" spans="1:9">
      <c r="A197">
        <v>10</v>
      </c>
      <c r="B197">
        <v>11</v>
      </c>
      <c r="C197">
        <v>7652.1</v>
      </c>
      <c r="D197">
        <v>15</v>
      </c>
      <c r="E197">
        <v>9</v>
      </c>
      <c r="F197">
        <v>27</v>
      </c>
      <c r="G197">
        <v>9838.4</v>
      </c>
      <c r="H197">
        <v>4304.3</v>
      </c>
      <c r="I197">
        <v>15511.4</v>
      </c>
    </row>
    <row r="198" spans="1:9">
      <c r="A198">
        <v>4</v>
      </c>
      <c r="B198">
        <v>7</v>
      </c>
      <c r="C198">
        <v>7946.4</v>
      </c>
      <c r="D198">
        <v>14</v>
      </c>
      <c r="E198">
        <v>12</v>
      </c>
      <c r="F198">
        <v>26</v>
      </c>
      <c r="G198">
        <v>10330.299999999999</v>
      </c>
      <c r="H198">
        <v>4491.3999999999996</v>
      </c>
      <c r="I198">
        <v>7308.3</v>
      </c>
    </row>
    <row r="199" spans="1:9">
      <c r="A199">
        <v>11</v>
      </c>
      <c r="B199">
        <v>7</v>
      </c>
      <c r="C199">
        <v>8982.9</v>
      </c>
      <c r="D199">
        <v>9</v>
      </c>
      <c r="E199">
        <v>12</v>
      </c>
      <c r="F199">
        <v>23</v>
      </c>
      <c r="G199">
        <v>12153.3</v>
      </c>
      <c r="H199">
        <v>5165.2</v>
      </c>
      <c r="I199">
        <v>7835.7</v>
      </c>
    </row>
    <row r="200" spans="1:9">
      <c r="A200">
        <v>12</v>
      </c>
      <c r="B200">
        <v>7</v>
      </c>
      <c r="C200">
        <v>8982.9</v>
      </c>
      <c r="D200">
        <v>10</v>
      </c>
      <c r="E200">
        <v>12</v>
      </c>
      <c r="F200">
        <v>23</v>
      </c>
      <c r="G200">
        <v>10874</v>
      </c>
      <c r="H200">
        <v>4919.2</v>
      </c>
      <c r="I200">
        <v>12667.7</v>
      </c>
    </row>
    <row r="201" spans="1:9">
      <c r="A201">
        <v>6</v>
      </c>
      <c r="B201">
        <v>4</v>
      </c>
      <c r="C201">
        <v>9391.2000000000007</v>
      </c>
      <c r="D201">
        <v>13</v>
      </c>
      <c r="E201">
        <v>14</v>
      </c>
      <c r="F201">
        <v>22</v>
      </c>
      <c r="G201">
        <v>10330.299999999999</v>
      </c>
      <c r="H201">
        <v>4919.2</v>
      </c>
      <c r="I201">
        <v>7451.6</v>
      </c>
    </row>
    <row r="202" spans="1:9">
      <c r="A202">
        <v>16</v>
      </c>
      <c r="B202">
        <v>3</v>
      </c>
      <c r="C202">
        <v>9391.2000000000007</v>
      </c>
      <c r="D202">
        <v>11</v>
      </c>
      <c r="E202">
        <v>16</v>
      </c>
      <c r="F202">
        <v>22</v>
      </c>
      <c r="G202">
        <v>10874</v>
      </c>
      <c r="H202">
        <v>5039.2</v>
      </c>
      <c r="I202">
        <v>11344.2</v>
      </c>
    </row>
    <row r="203" spans="1:9">
      <c r="A203">
        <v>4</v>
      </c>
      <c r="B203">
        <v>11</v>
      </c>
      <c r="C203">
        <v>9838.4</v>
      </c>
      <c r="D203">
        <v>14</v>
      </c>
      <c r="E203">
        <v>9</v>
      </c>
      <c r="F203">
        <v>21</v>
      </c>
      <c r="G203">
        <v>6886.9</v>
      </c>
      <c r="H203">
        <v>4051.1</v>
      </c>
      <c r="I203">
        <v>7600.6</v>
      </c>
    </row>
    <row r="204" spans="1:9">
      <c r="A204">
        <v>6</v>
      </c>
      <c r="B204">
        <v>10</v>
      </c>
      <c r="C204">
        <v>9838.4</v>
      </c>
      <c r="D204">
        <v>13</v>
      </c>
      <c r="E204">
        <v>15</v>
      </c>
      <c r="F204">
        <v>21</v>
      </c>
      <c r="G204">
        <v>11478.2</v>
      </c>
      <c r="H204">
        <v>5297.6</v>
      </c>
      <c r="I204">
        <v>13819.3</v>
      </c>
    </row>
    <row r="205" spans="1:9">
      <c r="A205">
        <v>6</v>
      </c>
      <c r="B205">
        <v>12</v>
      </c>
      <c r="C205">
        <v>9838.4</v>
      </c>
      <c r="D205">
        <v>13</v>
      </c>
      <c r="E205">
        <v>10</v>
      </c>
      <c r="F205">
        <v>21</v>
      </c>
      <c r="G205">
        <v>6260.8</v>
      </c>
      <c r="H205">
        <v>3826</v>
      </c>
      <c r="I205">
        <v>9744.4</v>
      </c>
    </row>
    <row r="206" spans="1:9">
      <c r="A206">
        <v>7</v>
      </c>
      <c r="B206">
        <v>5</v>
      </c>
      <c r="C206">
        <v>9838.4</v>
      </c>
      <c r="D206">
        <v>12</v>
      </c>
      <c r="E206">
        <v>8</v>
      </c>
      <c r="F206">
        <v>21</v>
      </c>
      <c r="G206">
        <v>6456.4</v>
      </c>
      <c r="H206">
        <v>3898.2</v>
      </c>
      <c r="I206">
        <v>5984.7</v>
      </c>
    </row>
    <row r="207" spans="1:9">
      <c r="A207">
        <v>11</v>
      </c>
      <c r="B207">
        <v>10</v>
      </c>
      <c r="C207">
        <v>9838.4</v>
      </c>
      <c r="D207">
        <v>9</v>
      </c>
      <c r="E207">
        <v>15</v>
      </c>
      <c r="F207">
        <v>21</v>
      </c>
      <c r="G207">
        <v>7652.1</v>
      </c>
      <c r="H207">
        <v>4304.3</v>
      </c>
      <c r="I207">
        <v>9500.7000000000007</v>
      </c>
    </row>
    <row r="208" spans="1:9">
      <c r="A208">
        <v>4</v>
      </c>
      <c r="B208">
        <v>3</v>
      </c>
      <c r="C208">
        <v>10330.299999999999</v>
      </c>
      <c r="D208">
        <v>14</v>
      </c>
      <c r="E208">
        <v>16</v>
      </c>
      <c r="F208">
        <v>20</v>
      </c>
      <c r="G208">
        <v>11478.2</v>
      </c>
      <c r="H208">
        <v>5437</v>
      </c>
      <c r="I208">
        <v>13104.5</v>
      </c>
    </row>
    <row r="209" spans="1:9">
      <c r="A209">
        <v>4</v>
      </c>
      <c r="B209">
        <v>6</v>
      </c>
      <c r="C209">
        <v>10330.299999999999</v>
      </c>
      <c r="D209">
        <v>14</v>
      </c>
      <c r="E209">
        <v>13</v>
      </c>
      <c r="F209">
        <v>20</v>
      </c>
      <c r="G209">
        <v>9391.2000000000007</v>
      </c>
      <c r="H209">
        <v>4919.2</v>
      </c>
      <c r="I209">
        <v>8352.2999999999993</v>
      </c>
    </row>
    <row r="210" spans="1:9">
      <c r="A210">
        <v>6</v>
      </c>
      <c r="B210">
        <v>7</v>
      </c>
      <c r="C210">
        <v>10330.299999999999</v>
      </c>
      <c r="D210">
        <v>13</v>
      </c>
      <c r="E210">
        <v>12</v>
      </c>
      <c r="F210">
        <v>20</v>
      </c>
      <c r="G210">
        <v>12912.9</v>
      </c>
      <c r="H210">
        <v>5739.1</v>
      </c>
      <c r="I210">
        <v>11015.4</v>
      </c>
    </row>
    <row r="211" spans="1:9">
      <c r="A211">
        <v>7</v>
      </c>
      <c r="B211">
        <v>4</v>
      </c>
      <c r="C211">
        <v>10330.299999999999</v>
      </c>
      <c r="D211">
        <v>12</v>
      </c>
      <c r="E211">
        <v>14</v>
      </c>
      <c r="F211">
        <v>20</v>
      </c>
      <c r="G211">
        <v>7946.4</v>
      </c>
      <c r="H211">
        <v>4491.3999999999996</v>
      </c>
      <c r="I211">
        <v>8445.1</v>
      </c>
    </row>
    <row r="212" spans="1:9">
      <c r="A212">
        <v>3</v>
      </c>
      <c r="B212">
        <v>16</v>
      </c>
      <c r="C212">
        <v>10874</v>
      </c>
      <c r="D212">
        <v>16</v>
      </c>
      <c r="E212">
        <v>11</v>
      </c>
      <c r="F212">
        <v>19</v>
      </c>
      <c r="G212">
        <v>9391.2000000000007</v>
      </c>
      <c r="H212">
        <v>5039.2</v>
      </c>
      <c r="I212">
        <v>10000.799999999999</v>
      </c>
    </row>
    <row r="213" spans="1:9">
      <c r="A213">
        <v>7</v>
      </c>
      <c r="B213">
        <v>12</v>
      </c>
      <c r="C213">
        <v>10874</v>
      </c>
      <c r="D213">
        <v>12</v>
      </c>
      <c r="E213">
        <v>10</v>
      </c>
      <c r="F213">
        <v>19</v>
      </c>
      <c r="G213">
        <v>8982.9</v>
      </c>
      <c r="H213">
        <v>4919.2</v>
      </c>
      <c r="I213">
        <v>13572.5</v>
      </c>
    </row>
    <row r="214" spans="1:9">
      <c r="A214">
        <v>10</v>
      </c>
      <c r="B214">
        <v>5</v>
      </c>
      <c r="C214">
        <v>10874</v>
      </c>
      <c r="D214">
        <v>15</v>
      </c>
      <c r="E214">
        <v>8</v>
      </c>
      <c r="F214">
        <v>19</v>
      </c>
      <c r="G214">
        <v>5903</v>
      </c>
      <c r="H214">
        <v>3826</v>
      </c>
      <c r="I214">
        <v>11015.4</v>
      </c>
    </row>
    <row r="215" spans="1:9">
      <c r="A215">
        <v>3</v>
      </c>
      <c r="B215">
        <v>4</v>
      </c>
      <c r="C215">
        <v>11478.2</v>
      </c>
      <c r="D215">
        <v>16</v>
      </c>
      <c r="E215">
        <v>14</v>
      </c>
      <c r="F215">
        <v>18</v>
      </c>
      <c r="G215">
        <v>10330.299999999999</v>
      </c>
      <c r="H215">
        <v>5437</v>
      </c>
      <c r="I215">
        <v>11344.2</v>
      </c>
    </row>
    <row r="216" spans="1:9">
      <c r="A216">
        <v>10</v>
      </c>
      <c r="B216">
        <v>6</v>
      </c>
      <c r="C216">
        <v>11478.2</v>
      </c>
      <c r="D216">
        <v>15</v>
      </c>
      <c r="E216">
        <v>13</v>
      </c>
      <c r="F216">
        <v>18</v>
      </c>
      <c r="G216">
        <v>9838.4</v>
      </c>
      <c r="H216">
        <v>5297.6</v>
      </c>
      <c r="I216">
        <v>14903.1</v>
      </c>
    </row>
    <row r="217" spans="1:9">
      <c r="A217">
        <v>3</v>
      </c>
      <c r="B217">
        <v>6</v>
      </c>
      <c r="C217">
        <v>12153.3</v>
      </c>
      <c r="D217">
        <v>16</v>
      </c>
      <c r="E217">
        <v>13</v>
      </c>
      <c r="F217">
        <v>17</v>
      </c>
      <c r="G217">
        <v>12153.3</v>
      </c>
      <c r="H217">
        <v>6076.7</v>
      </c>
      <c r="I217">
        <v>7525.3</v>
      </c>
    </row>
    <row r="218" spans="1:9">
      <c r="A218">
        <v>3</v>
      </c>
      <c r="B218">
        <v>7</v>
      </c>
      <c r="C218">
        <v>12153.3</v>
      </c>
      <c r="D218">
        <v>16</v>
      </c>
      <c r="E218">
        <v>12</v>
      </c>
      <c r="F218">
        <v>17</v>
      </c>
      <c r="G218">
        <v>14757.6</v>
      </c>
      <c r="H218">
        <v>6664.7</v>
      </c>
      <c r="I218">
        <v>12064.4</v>
      </c>
    </row>
    <row r="219" spans="1:9">
      <c r="A219">
        <v>6</v>
      </c>
      <c r="B219">
        <v>3</v>
      </c>
      <c r="C219">
        <v>12153.3</v>
      </c>
      <c r="D219">
        <v>13</v>
      </c>
      <c r="E219">
        <v>16</v>
      </c>
      <c r="F219">
        <v>17</v>
      </c>
      <c r="G219">
        <v>12153.3</v>
      </c>
      <c r="H219">
        <v>6076.7</v>
      </c>
      <c r="I219">
        <v>10134.1</v>
      </c>
    </row>
    <row r="220" spans="1:9">
      <c r="A220">
        <v>7</v>
      </c>
      <c r="B220">
        <v>11</v>
      </c>
      <c r="C220">
        <v>12153.3</v>
      </c>
      <c r="D220">
        <v>12</v>
      </c>
      <c r="E220">
        <v>9</v>
      </c>
      <c r="F220">
        <v>17</v>
      </c>
      <c r="G220">
        <v>8982.9</v>
      </c>
      <c r="H220">
        <v>5165.2</v>
      </c>
      <c r="I220">
        <v>9744.4</v>
      </c>
    </row>
    <row r="221" spans="1:9">
      <c r="A221">
        <v>11</v>
      </c>
      <c r="B221">
        <v>3</v>
      </c>
      <c r="C221">
        <v>12153.3</v>
      </c>
      <c r="D221">
        <v>9</v>
      </c>
      <c r="E221">
        <v>16</v>
      </c>
      <c r="F221">
        <v>17</v>
      </c>
      <c r="G221">
        <v>13773.8</v>
      </c>
      <c r="H221">
        <v>6456.5</v>
      </c>
      <c r="I221">
        <v>9744.4</v>
      </c>
    </row>
    <row r="222" spans="1:9">
      <c r="A222">
        <v>12</v>
      </c>
      <c r="B222">
        <v>10</v>
      </c>
      <c r="C222">
        <v>12153.3</v>
      </c>
      <c r="D222">
        <v>10</v>
      </c>
      <c r="E222">
        <v>15</v>
      </c>
      <c r="F222">
        <v>17</v>
      </c>
      <c r="G222">
        <v>13773.8</v>
      </c>
      <c r="H222">
        <v>6456.5</v>
      </c>
      <c r="I222">
        <v>12882.4</v>
      </c>
    </row>
    <row r="223" spans="1:9">
      <c r="A223">
        <v>4</v>
      </c>
      <c r="B223">
        <v>10</v>
      </c>
      <c r="C223">
        <v>12912.9</v>
      </c>
      <c r="D223">
        <v>14</v>
      </c>
      <c r="E223">
        <v>15</v>
      </c>
      <c r="F223">
        <v>16</v>
      </c>
      <c r="G223">
        <v>12912.9</v>
      </c>
      <c r="H223">
        <v>6456.5</v>
      </c>
      <c r="I223">
        <v>13334.4</v>
      </c>
    </row>
    <row r="224" spans="1:9">
      <c r="A224">
        <v>7</v>
      </c>
      <c r="B224">
        <v>6</v>
      </c>
      <c r="C224">
        <v>12912.9</v>
      </c>
      <c r="D224">
        <v>12</v>
      </c>
      <c r="E224">
        <v>13</v>
      </c>
      <c r="F224">
        <v>16</v>
      </c>
      <c r="G224">
        <v>10330.299999999999</v>
      </c>
      <c r="H224">
        <v>5739.1</v>
      </c>
      <c r="I224">
        <v>17675.8</v>
      </c>
    </row>
    <row r="225" spans="1:9">
      <c r="A225">
        <v>10</v>
      </c>
      <c r="B225">
        <v>4</v>
      </c>
      <c r="C225">
        <v>12912.9</v>
      </c>
      <c r="D225">
        <v>15</v>
      </c>
      <c r="E225">
        <v>14</v>
      </c>
      <c r="F225">
        <v>16</v>
      </c>
      <c r="G225">
        <v>12912.9</v>
      </c>
      <c r="H225">
        <v>6456.5</v>
      </c>
      <c r="I225">
        <v>20001.599999999999</v>
      </c>
    </row>
    <row r="226" spans="1:9">
      <c r="A226">
        <v>16</v>
      </c>
      <c r="B226">
        <v>10</v>
      </c>
      <c r="C226">
        <v>12912.9</v>
      </c>
      <c r="D226">
        <v>11</v>
      </c>
      <c r="E226">
        <v>15</v>
      </c>
      <c r="F226">
        <v>16</v>
      </c>
      <c r="G226">
        <v>14757.6</v>
      </c>
      <c r="H226">
        <v>6886.9</v>
      </c>
      <c r="I226">
        <v>23032.1</v>
      </c>
    </row>
    <row r="227" spans="1:9">
      <c r="A227">
        <v>3</v>
      </c>
      <c r="B227">
        <v>11</v>
      </c>
      <c r="C227">
        <v>13773.8</v>
      </c>
      <c r="D227">
        <v>16</v>
      </c>
      <c r="E227">
        <v>9</v>
      </c>
      <c r="F227">
        <v>15</v>
      </c>
      <c r="G227">
        <v>12153.3</v>
      </c>
      <c r="H227">
        <v>6456.5</v>
      </c>
      <c r="I227">
        <v>14340.8</v>
      </c>
    </row>
    <row r="228" spans="1:9">
      <c r="A228">
        <v>10</v>
      </c>
      <c r="B228">
        <v>12</v>
      </c>
      <c r="C228">
        <v>13773.8</v>
      </c>
      <c r="D228">
        <v>15</v>
      </c>
      <c r="E228">
        <v>10</v>
      </c>
      <c r="F228">
        <v>15</v>
      </c>
      <c r="G228">
        <v>12153.3</v>
      </c>
      <c r="H228">
        <v>6456.5</v>
      </c>
      <c r="I228">
        <v>14075.2</v>
      </c>
    </row>
    <row r="229" spans="1:9">
      <c r="A229">
        <v>12</v>
      </c>
      <c r="B229">
        <v>4</v>
      </c>
      <c r="C229">
        <v>13773.8</v>
      </c>
      <c r="D229">
        <v>10</v>
      </c>
      <c r="E229">
        <v>14</v>
      </c>
      <c r="F229">
        <v>15</v>
      </c>
      <c r="G229">
        <v>15892.9</v>
      </c>
      <c r="H229">
        <v>7378.8</v>
      </c>
      <c r="I229">
        <v>10000.799999999999</v>
      </c>
    </row>
    <row r="230" spans="1:9">
      <c r="A230">
        <v>7</v>
      </c>
      <c r="B230">
        <v>3</v>
      </c>
      <c r="C230">
        <v>14757.6</v>
      </c>
      <c r="D230">
        <v>12</v>
      </c>
      <c r="E230">
        <v>16</v>
      </c>
      <c r="F230">
        <v>14</v>
      </c>
      <c r="G230">
        <v>12153.3</v>
      </c>
      <c r="H230">
        <v>6664.7</v>
      </c>
      <c r="I230">
        <v>10858</v>
      </c>
    </row>
    <row r="231" spans="1:9">
      <c r="A231">
        <v>10</v>
      </c>
      <c r="B231">
        <v>16</v>
      </c>
      <c r="C231">
        <v>14757.6</v>
      </c>
      <c r="D231">
        <v>15</v>
      </c>
      <c r="E231">
        <v>11</v>
      </c>
      <c r="F231">
        <v>14</v>
      </c>
      <c r="G231">
        <v>12912.9</v>
      </c>
      <c r="H231">
        <v>6886.9</v>
      </c>
      <c r="I231">
        <v>18538</v>
      </c>
    </row>
    <row r="232" spans="1:9">
      <c r="A232">
        <v>3</v>
      </c>
      <c r="B232">
        <v>10</v>
      </c>
      <c r="C232">
        <v>15892.9</v>
      </c>
      <c r="D232">
        <v>16</v>
      </c>
      <c r="E232">
        <v>15</v>
      </c>
      <c r="F232">
        <v>13</v>
      </c>
      <c r="G232">
        <v>17217.3</v>
      </c>
      <c r="H232">
        <v>8264.2999999999993</v>
      </c>
      <c r="I232">
        <v>16890.2</v>
      </c>
    </row>
    <row r="233" spans="1:9">
      <c r="A233">
        <v>4</v>
      </c>
      <c r="B233">
        <v>12</v>
      </c>
      <c r="C233">
        <v>15892.9</v>
      </c>
      <c r="D233">
        <v>14</v>
      </c>
      <c r="E233">
        <v>10</v>
      </c>
      <c r="F233">
        <v>13</v>
      </c>
      <c r="G233">
        <v>13773.8</v>
      </c>
      <c r="H233">
        <v>7378.8</v>
      </c>
      <c r="I233">
        <v>10556.4</v>
      </c>
    </row>
    <row r="234" spans="1:9">
      <c r="A234">
        <v>16</v>
      </c>
      <c r="B234">
        <v>4</v>
      </c>
      <c r="C234">
        <v>15892.9</v>
      </c>
      <c r="D234">
        <v>11</v>
      </c>
      <c r="E234">
        <v>14</v>
      </c>
      <c r="F234">
        <v>13</v>
      </c>
      <c r="G234">
        <v>18782.5</v>
      </c>
      <c r="H234">
        <v>8608.7000000000007</v>
      </c>
      <c r="I234">
        <v>16171.5</v>
      </c>
    </row>
    <row r="235" spans="1:9">
      <c r="A235">
        <v>10</v>
      </c>
      <c r="B235">
        <v>3</v>
      </c>
      <c r="C235">
        <v>17217.3</v>
      </c>
      <c r="D235">
        <v>15</v>
      </c>
      <c r="E235">
        <v>16</v>
      </c>
      <c r="F235">
        <v>12</v>
      </c>
      <c r="G235">
        <v>15892.9</v>
      </c>
      <c r="H235">
        <v>8264.2999999999993</v>
      </c>
      <c r="I235">
        <v>30402.400000000001</v>
      </c>
    </row>
    <row r="236" spans="1:9">
      <c r="A236">
        <v>10</v>
      </c>
      <c r="B236">
        <v>7</v>
      </c>
      <c r="C236">
        <v>17217.3</v>
      </c>
      <c r="D236">
        <v>15</v>
      </c>
      <c r="E236">
        <v>12</v>
      </c>
      <c r="F236">
        <v>12</v>
      </c>
      <c r="G236">
        <v>20660.7</v>
      </c>
      <c r="H236">
        <v>9391.2000000000007</v>
      </c>
      <c r="I236">
        <v>27145</v>
      </c>
    </row>
    <row r="237" spans="1:9">
      <c r="A237">
        <v>16</v>
      </c>
      <c r="B237">
        <v>7</v>
      </c>
      <c r="C237">
        <v>17217.3</v>
      </c>
      <c r="D237">
        <v>11</v>
      </c>
      <c r="E237">
        <v>12</v>
      </c>
      <c r="F237">
        <v>12</v>
      </c>
      <c r="G237">
        <v>20660.7</v>
      </c>
      <c r="H237">
        <v>9391.2000000000007</v>
      </c>
      <c r="I237">
        <v>21716</v>
      </c>
    </row>
    <row r="238" spans="1:9">
      <c r="A238">
        <v>4</v>
      </c>
      <c r="B238">
        <v>16</v>
      </c>
      <c r="C238">
        <v>18782.5</v>
      </c>
      <c r="D238">
        <v>14</v>
      </c>
      <c r="E238">
        <v>11</v>
      </c>
      <c r="F238">
        <v>11</v>
      </c>
      <c r="G238">
        <v>15892.9</v>
      </c>
      <c r="H238">
        <v>8608.7000000000007</v>
      </c>
      <c r="I238">
        <v>12064.4</v>
      </c>
    </row>
    <row r="239" spans="1:9">
      <c r="A239">
        <v>12</v>
      </c>
      <c r="B239">
        <v>3</v>
      </c>
      <c r="C239">
        <v>18782.5</v>
      </c>
      <c r="D239">
        <v>10</v>
      </c>
      <c r="E239">
        <v>16</v>
      </c>
      <c r="F239">
        <v>11</v>
      </c>
      <c r="G239">
        <v>22956.400000000001</v>
      </c>
      <c r="H239">
        <v>10330.4</v>
      </c>
      <c r="I239">
        <v>28150.400000000001</v>
      </c>
    </row>
    <row r="240" spans="1:9">
      <c r="A240">
        <v>6</v>
      </c>
      <c r="B240">
        <v>16</v>
      </c>
      <c r="C240">
        <v>20660.7</v>
      </c>
      <c r="D240">
        <v>13</v>
      </c>
      <c r="E240">
        <v>11</v>
      </c>
      <c r="F240">
        <v>10</v>
      </c>
      <c r="G240">
        <v>22956.400000000001</v>
      </c>
      <c r="H240">
        <v>10874.1</v>
      </c>
      <c r="I240">
        <v>15511.4</v>
      </c>
    </row>
    <row r="241" spans="1:9">
      <c r="A241">
        <v>7</v>
      </c>
      <c r="B241">
        <v>10</v>
      </c>
      <c r="C241">
        <v>20660.7</v>
      </c>
      <c r="D241">
        <v>12</v>
      </c>
      <c r="E241">
        <v>15</v>
      </c>
      <c r="F241">
        <v>10</v>
      </c>
      <c r="G241">
        <v>17217.3</v>
      </c>
      <c r="H241">
        <v>9391.2000000000007</v>
      </c>
      <c r="I241">
        <v>23751.9</v>
      </c>
    </row>
    <row r="242" spans="1:9">
      <c r="A242">
        <v>7</v>
      </c>
      <c r="B242">
        <v>16</v>
      </c>
      <c r="C242">
        <v>20660.7</v>
      </c>
      <c r="D242">
        <v>12</v>
      </c>
      <c r="E242">
        <v>11</v>
      </c>
      <c r="F242">
        <v>10</v>
      </c>
      <c r="G242">
        <v>17217.3</v>
      </c>
      <c r="H242">
        <v>9391.2000000000007</v>
      </c>
      <c r="I242">
        <v>25335.3</v>
      </c>
    </row>
    <row r="243" spans="1:9">
      <c r="A243">
        <v>3</v>
      </c>
      <c r="B243">
        <v>12</v>
      </c>
      <c r="C243">
        <v>22956.400000000001</v>
      </c>
      <c r="D243">
        <v>16</v>
      </c>
      <c r="E243">
        <v>10</v>
      </c>
      <c r="F243">
        <v>9</v>
      </c>
      <c r="G243">
        <v>18782.5</v>
      </c>
      <c r="H243">
        <v>10330.4</v>
      </c>
      <c r="I243">
        <v>40003.199999999997</v>
      </c>
    </row>
    <row r="244" spans="1:9">
      <c r="A244">
        <v>16</v>
      </c>
      <c r="B244">
        <v>6</v>
      </c>
      <c r="C244">
        <v>22956.400000000001</v>
      </c>
      <c r="D244">
        <v>11</v>
      </c>
      <c r="E244">
        <v>13</v>
      </c>
      <c r="F244">
        <v>9</v>
      </c>
      <c r="G244">
        <v>20660.7</v>
      </c>
      <c r="H244">
        <v>10874.1</v>
      </c>
      <c r="I244">
        <v>12460</v>
      </c>
    </row>
  </sheetData>
  <sortState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8.75"/>
  <sheetData/>
  <sortState ref="A2:I24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45"/>
  <sheetViews>
    <sheetView topLeftCell="A468" workbookViewId="0">
      <selection activeCell="A468" sqref="A468"/>
    </sheetView>
  </sheetViews>
  <sheetFormatPr defaultRowHeight="18.75"/>
  <cols>
    <col min="1" max="1" width="9.5" bestFit="1" customWidth="1"/>
  </cols>
  <sheetData>
    <row r="1" spans="1:4">
      <c r="A1">
        <v>20160105</v>
      </c>
      <c r="B1" t="s">
        <v>128</v>
      </c>
      <c r="C1" t="s">
        <v>136</v>
      </c>
    </row>
    <row r="2" spans="1:4">
      <c r="A2">
        <v>20160109</v>
      </c>
      <c r="B2" t="s">
        <v>128</v>
      </c>
      <c r="C2" t="s">
        <v>136</v>
      </c>
    </row>
    <row r="3" spans="1:4">
      <c r="A3">
        <v>20160110</v>
      </c>
      <c r="B3" t="s">
        <v>128</v>
      </c>
      <c r="C3" t="s">
        <v>136</v>
      </c>
    </row>
    <row r="4" spans="1:4">
      <c r="A4">
        <v>20160111</v>
      </c>
      <c r="B4" t="s">
        <v>128</v>
      </c>
      <c r="C4" t="s">
        <v>136</v>
      </c>
    </row>
    <row r="5" spans="1:4">
      <c r="A5">
        <v>20160116</v>
      </c>
      <c r="B5" t="s">
        <v>128</v>
      </c>
      <c r="C5" t="s">
        <v>137</v>
      </c>
      <c r="D5" t="s">
        <v>136</v>
      </c>
    </row>
    <row r="6" spans="1:4">
      <c r="A6">
        <v>20160117</v>
      </c>
      <c r="B6" t="s">
        <v>128</v>
      </c>
      <c r="C6" t="s">
        <v>137</v>
      </c>
      <c r="D6" t="s">
        <v>136</v>
      </c>
    </row>
    <row r="7" spans="1:4">
      <c r="A7">
        <v>20160123</v>
      </c>
      <c r="B7" t="s">
        <v>128</v>
      </c>
      <c r="C7" t="s">
        <v>137</v>
      </c>
      <c r="D7" t="s">
        <v>136</v>
      </c>
    </row>
    <row r="8" spans="1:4">
      <c r="A8">
        <v>20160124</v>
      </c>
      <c r="B8" t="s">
        <v>128</v>
      </c>
      <c r="C8" t="s">
        <v>137</v>
      </c>
      <c r="D8" t="s">
        <v>136</v>
      </c>
    </row>
    <row r="9" spans="1:4">
      <c r="A9">
        <v>20160130</v>
      </c>
      <c r="B9" t="s">
        <v>138</v>
      </c>
      <c r="C9" t="s">
        <v>137</v>
      </c>
      <c r="D9" t="s">
        <v>136</v>
      </c>
    </row>
    <row r="10" spans="1:4">
      <c r="A10">
        <v>20160131</v>
      </c>
      <c r="B10" t="s">
        <v>138</v>
      </c>
      <c r="C10" t="s">
        <v>137</v>
      </c>
      <c r="D10" t="s">
        <v>136</v>
      </c>
    </row>
    <row r="11" spans="1:4">
      <c r="A11">
        <v>20160206</v>
      </c>
      <c r="B11" t="s">
        <v>138</v>
      </c>
      <c r="C11" t="s">
        <v>136</v>
      </c>
    </row>
    <row r="12" spans="1:4">
      <c r="A12">
        <v>20160207</v>
      </c>
      <c r="B12" t="s">
        <v>138</v>
      </c>
      <c r="C12" t="s">
        <v>136</v>
      </c>
    </row>
    <row r="13" spans="1:4">
      <c r="A13">
        <v>20160213</v>
      </c>
      <c r="B13" t="s">
        <v>138</v>
      </c>
      <c r="C13" t="s">
        <v>136</v>
      </c>
      <c r="D13" t="s">
        <v>139</v>
      </c>
    </row>
    <row r="14" spans="1:4">
      <c r="A14">
        <v>20160214</v>
      </c>
      <c r="B14" t="s">
        <v>138</v>
      </c>
      <c r="C14" t="s">
        <v>136</v>
      </c>
      <c r="D14" t="s">
        <v>139</v>
      </c>
    </row>
    <row r="15" spans="1:4">
      <c r="A15">
        <v>20160220</v>
      </c>
      <c r="B15" t="s">
        <v>138</v>
      </c>
      <c r="C15" t="s">
        <v>136</v>
      </c>
      <c r="D15" t="s">
        <v>139</v>
      </c>
    </row>
    <row r="16" spans="1:4">
      <c r="A16">
        <v>20160221</v>
      </c>
      <c r="B16" t="s">
        <v>138</v>
      </c>
      <c r="C16" t="s">
        <v>136</v>
      </c>
      <c r="D16" t="s">
        <v>139</v>
      </c>
    </row>
    <row r="17" spans="1:4">
      <c r="A17">
        <v>20160227</v>
      </c>
      <c r="B17" t="s">
        <v>128</v>
      </c>
      <c r="C17" t="s">
        <v>140</v>
      </c>
      <c r="D17" t="s">
        <v>139</v>
      </c>
    </row>
    <row r="18" spans="1:4">
      <c r="A18">
        <v>20160228</v>
      </c>
      <c r="B18" t="s">
        <v>128</v>
      </c>
      <c r="C18" t="s">
        <v>140</v>
      </c>
      <c r="D18" t="s">
        <v>139</v>
      </c>
    </row>
    <row r="19" spans="1:4">
      <c r="A19">
        <v>20160305</v>
      </c>
      <c r="B19" t="s">
        <v>128</v>
      </c>
      <c r="C19" t="s">
        <v>140</v>
      </c>
      <c r="D19" t="s">
        <v>139</v>
      </c>
    </row>
    <row r="20" spans="1:4">
      <c r="A20">
        <v>20160306</v>
      </c>
      <c r="B20" t="s">
        <v>128</v>
      </c>
      <c r="C20" t="s">
        <v>140</v>
      </c>
      <c r="D20" t="s">
        <v>139</v>
      </c>
    </row>
    <row r="21" spans="1:4">
      <c r="A21">
        <v>20160312</v>
      </c>
      <c r="B21" t="s">
        <v>128</v>
      </c>
      <c r="C21" t="s">
        <v>137</v>
      </c>
      <c r="D21" t="s">
        <v>140</v>
      </c>
    </row>
    <row r="22" spans="1:4">
      <c r="A22">
        <v>20160313</v>
      </c>
      <c r="B22" t="s">
        <v>128</v>
      </c>
      <c r="C22" t="s">
        <v>137</v>
      </c>
      <c r="D22" t="s">
        <v>140</v>
      </c>
    </row>
    <row r="23" spans="1:4">
      <c r="A23">
        <v>20160319</v>
      </c>
      <c r="B23" t="s">
        <v>137</v>
      </c>
      <c r="C23" t="s">
        <v>140</v>
      </c>
    </row>
    <row r="24" spans="1:4">
      <c r="A24">
        <v>20160320</v>
      </c>
      <c r="B24" t="s">
        <v>128</v>
      </c>
      <c r="C24" t="s">
        <v>140</v>
      </c>
    </row>
    <row r="25" spans="1:4">
      <c r="A25">
        <v>20160321</v>
      </c>
      <c r="B25" t="s">
        <v>128</v>
      </c>
      <c r="C25" t="s">
        <v>137</v>
      </c>
    </row>
    <row r="26" spans="1:4">
      <c r="A26">
        <v>20160326</v>
      </c>
      <c r="B26" t="s">
        <v>128</v>
      </c>
      <c r="C26" t="s">
        <v>137</v>
      </c>
      <c r="D26" t="s">
        <v>140</v>
      </c>
    </row>
    <row r="27" spans="1:4">
      <c r="A27">
        <v>20160327</v>
      </c>
      <c r="B27" t="s">
        <v>128</v>
      </c>
      <c r="C27" t="s">
        <v>137</v>
      </c>
      <c r="D27" t="s">
        <v>140</v>
      </c>
    </row>
    <row r="28" spans="1:4">
      <c r="A28">
        <v>20160402</v>
      </c>
      <c r="B28" t="s">
        <v>128</v>
      </c>
      <c r="C28" t="s">
        <v>140</v>
      </c>
    </row>
    <row r="29" spans="1:4">
      <c r="A29">
        <v>20160403</v>
      </c>
      <c r="B29" t="s">
        <v>128</v>
      </c>
      <c r="C29" t="s">
        <v>140</v>
      </c>
    </row>
    <row r="30" spans="1:4">
      <c r="A30">
        <v>20160409</v>
      </c>
      <c r="B30" t="s">
        <v>141</v>
      </c>
      <c r="C30" t="s">
        <v>128</v>
      </c>
      <c r="D30" t="s">
        <v>140</v>
      </c>
    </row>
    <row r="31" spans="1:4">
      <c r="A31">
        <v>20160410</v>
      </c>
      <c r="B31" t="s">
        <v>141</v>
      </c>
      <c r="C31" t="s">
        <v>128</v>
      </c>
      <c r="D31" t="s">
        <v>140</v>
      </c>
    </row>
    <row r="32" spans="1:4">
      <c r="A32">
        <v>20160416</v>
      </c>
      <c r="B32" t="s">
        <v>141</v>
      </c>
      <c r="C32" t="s">
        <v>128</v>
      </c>
      <c r="D32" t="s">
        <v>140</v>
      </c>
    </row>
    <row r="33" spans="1:4">
      <c r="A33">
        <v>20160417</v>
      </c>
      <c r="B33" t="s">
        <v>141</v>
      </c>
      <c r="C33" t="s">
        <v>128</v>
      </c>
      <c r="D33" t="s">
        <v>140</v>
      </c>
    </row>
    <row r="34" spans="1:4">
      <c r="A34">
        <v>20160423</v>
      </c>
      <c r="B34" t="s">
        <v>141</v>
      </c>
      <c r="C34" t="s">
        <v>138</v>
      </c>
      <c r="D34" t="s">
        <v>136</v>
      </c>
    </row>
    <row r="35" spans="1:4">
      <c r="A35">
        <v>20160424</v>
      </c>
      <c r="B35" t="s">
        <v>141</v>
      </c>
      <c r="C35" t="s">
        <v>138</v>
      </c>
      <c r="D35" t="s">
        <v>136</v>
      </c>
    </row>
    <row r="36" spans="1:4">
      <c r="A36">
        <v>20160430</v>
      </c>
      <c r="B36" t="s">
        <v>142</v>
      </c>
      <c r="C36" t="s">
        <v>138</v>
      </c>
      <c r="D36" t="s">
        <v>136</v>
      </c>
    </row>
    <row r="37" spans="1:4">
      <c r="A37">
        <v>20160501</v>
      </c>
      <c r="B37" t="s">
        <v>142</v>
      </c>
      <c r="C37" t="s">
        <v>138</v>
      </c>
      <c r="D37" t="s">
        <v>136</v>
      </c>
    </row>
    <row r="38" spans="1:4">
      <c r="A38">
        <v>20160507</v>
      </c>
      <c r="B38" t="s">
        <v>142</v>
      </c>
      <c r="C38" t="s">
        <v>138</v>
      </c>
      <c r="D38" t="s">
        <v>136</v>
      </c>
    </row>
    <row r="39" spans="1:4">
      <c r="A39">
        <v>20160508</v>
      </c>
      <c r="B39" t="s">
        <v>142</v>
      </c>
      <c r="C39" t="s">
        <v>138</v>
      </c>
      <c r="D39" t="s">
        <v>136</v>
      </c>
    </row>
    <row r="40" spans="1:4">
      <c r="A40">
        <v>20160514</v>
      </c>
      <c r="B40" t="s">
        <v>142</v>
      </c>
      <c r="C40" t="s">
        <v>138</v>
      </c>
      <c r="D40" t="s">
        <v>136</v>
      </c>
    </row>
    <row r="41" spans="1:4">
      <c r="A41">
        <v>20160515</v>
      </c>
      <c r="B41" t="s">
        <v>142</v>
      </c>
      <c r="C41" t="s">
        <v>138</v>
      </c>
      <c r="D41" t="s">
        <v>136</v>
      </c>
    </row>
    <row r="42" spans="1:4">
      <c r="A42">
        <v>20160521</v>
      </c>
      <c r="B42" t="s">
        <v>142</v>
      </c>
      <c r="C42" t="s">
        <v>138</v>
      </c>
      <c r="D42" t="s">
        <v>136</v>
      </c>
    </row>
    <row r="43" spans="1:4">
      <c r="A43">
        <v>20160522</v>
      </c>
      <c r="B43" t="s">
        <v>142</v>
      </c>
      <c r="C43" t="s">
        <v>138</v>
      </c>
      <c r="D43" t="s">
        <v>136</v>
      </c>
    </row>
    <row r="44" spans="1:4">
      <c r="A44">
        <v>20160528</v>
      </c>
      <c r="B44" t="s">
        <v>138</v>
      </c>
      <c r="C44" t="s">
        <v>136</v>
      </c>
    </row>
    <row r="45" spans="1:4">
      <c r="A45">
        <v>20160529</v>
      </c>
      <c r="B45" t="s">
        <v>138</v>
      </c>
      <c r="C45" t="s">
        <v>136</v>
      </c>
    </row>
    <row r="46" spans="1:4">
      <c r="A46">
        <v>20160604</v>
      </c>
      <c r="B46" t="s">
        <v>138</v>
      </c>
      <c r="C46" t="s">
        <v>140</v>
      </c>
    </row>
    <row r="47" spans="1:4">
      <c r="A47">
        <v>20160605</v>
      </c>
      <c r="B47" t="s">
        <v>138</v>
      </c>
      <c r="C47" t="s">
        <v>140</v>
      </c>
    </row>
    <row r="48" spans="1:4">
      <c r="A48">
        <v>20160611</v>
      </c>
      <c r="B48" t="s">
        <v>138</v>
      </c>
      <c r="C48" t="s">
        <v>140</v>
      </c>
    </row>
    <row r="49" spans="1:4">
      <c r="A49">
        <v>20160612</v>
      </c>
      <c r="B49" t="s">
        <v>138</v>
      </c>
      <c r="C49" t="s">
        <v>140</v>
      </c>
    </row>
    <row r="50" spans="1:4">
      <c r="A50">
        <v>20160618</v>
      </c>
      <c r="B50" t="s">
        <v>143</v>
      </c>
      <c r="C50" t="s">
        <v>138</v>
      </c>
      <c r="D50" t="s">
        <v>140</v>
      </c>
    </row>
    <row r="51" spans="1:4">
      <c r="A51">
        <v>20160619</v>
      </c>
      <c r="B51" t="s">
        <v>143</v>
      </c>
      <c r="C51" t="s">
        <v>138</v>
      </c>
      <c r="D51" t="s">
        <v>140</v>
      </c>
    </row>
    <row r="52" spans="1:4">
      <c r="A52">
        <v>20160625</v>
      </c>
      <c r="B52" t="s">
        <v>143</v>
      </c>
      <c r="C52" t="s">
        <v>138</v>
      </c>
      <c r="D52" t="s">
        <v>140</v>
      </c>
    </row>
    <row r="53" spans="1:4">
      <c r="A53">
        <v>20160626</v>
      </c>
      <c r="B53" t="s">
        <v>143</v>
      </c>
      <c r="C53" t="s">
        <v>138</v>
      </c>
      <c r="D53" t="s">
        <v>140</v>
      </c>
    </row>
    <row r="54" spans="1:4">
      <c r="A54">
        <v>20160702</v>
      </c>
      <c r="B54" t="s">
        <v>143</v>
      </c>
      <c r="C54" t="s">
        <v>141</v>
      </c>
      <c r="D54" t="s">
        <v>137</v>
      </c>
    </row>
    <row r="55" spans="1:4">
      <c r="A55">
        <v>20160703</v>
      </c>
      <c r="B55" t="s">
        <v>143</v>
      </c>
      <c r="C55" t="s">
        <v>141</v>
      </c>
      <c r="D55" t="s">
        <v>137</v>
      </c>
    </row>
    <row r="56" spans="1:4">
      <c r="A56">
        <v>20160709</v>
      </c>
      <c r="B56" t="s">
        <v>143</v>
      </c>
      <c r="C56" t="s">
        <v>141</v>
      </c>
      <c r="D56" t="s">
        <v>137</v>
      </c>
    </row>
    <row r="57" spans="1:4">
      <c r="A57">
        <v>20160710</v>
      </c>
      <c r="B57" t="s">
        <v>143</v>
      </c>
      <c r="C57" t="s">
        <v>141</v>
      </c>
      <c r="D57" t="s">
        <v>137</v>
      </c>
    </row>
    <row r="58" spans="1:4">
      <c r="A58">
        <v>20160716</v>
      </c>
      <c r="B58" t="s">
        <v>143</v>
      </c>
      <c r="C58" t="s">
        <v>141</v>
      </c>
      <c r="D58" t="s">
        <v>137</v>
      </c>
    </row>
    <row r="59" spans="1:4">
      <c r="A59">
        <v>20160717</v>
      </c>
      <c r="B59" t="s">
        <v>143</v>
      </c>
      <c r="C59" t="s">
        <v>141</v>
      </c>
      <c r="D59" t="s">
        <v>137</v>
      </c>
    </row>
    <row r="60" spans="1:4">
      <c r="A60">
        <v>20160723</v>
      </c>
      <c r="B60" t="s">
        <v>143</v>
      </c>
      <c r="C60" t="s">
        <v>141</v>
      </c>
      <c r="D60" t="s">
        <v>137</v>
      </c>
    </row>
    <row r="61" spans="1:4">
      <c r="A61">
        <v>20160724</v>
      </c>
      <c r="B61" t="s">
        <v>143</v>
      </c>
      <c r="C61" t="s">
        <v>141</v>
      </c>
      <c r="D61" t="s">
        <v>137</v>
      </c>
    </row>
    <row r="62" spans="1:4">
      <c r="A62">
        <v>20160730</v>
      </c>
      <c r="B62" t="s">
        <v>144</v>
      </c>
      <c r="C62" t="s">
        <v>142</v>
      </c>
      <c r="D62" t="s">
        <v>139</v>
      </c>
    </row>
    <row r="63" spans="1:4">
      <c r="A63">
        <v>20160731</v>
      </c>
      <c r="B63" t="s">
        <v>144</v>
      </c>
      <c r="C63" t="s">
        <v>142</v>
      </c>
      <c r="D63" t="s">
        <v>139</v>
      </c>
    </row>
    <row r="64" spans="1:4">
      <c r="A64">
        <v>20160806</v>
      </c>
      <c r="B64" t="s">
        <v>144</v>
      </c>
      <c r="C64" t="s">
        <v>142</v>
      </c>
      <c r="D64" t="s">
        <v>139</v>
      </c>
    </row>
    <row r="65" spans="1:4">
      <c r="A65">
        <v>20160807</v>
      </c>
      <c r="B65" t="s">
        <v>144</v>
      </c>
      <c r="C65" t="s">
        <v>142</v>
      </c>
      <c r="D65" t="s">
        <v>139</v>
      </c>
    </row>
    <row r="66" spans="1:4">
      <c r="A66">
        <v>20160813</v>
      </c>
      <c r="B66" t="s">
        <v>144</v>
      </c>
      <c r="C66" t="s">
        <v>142</v>
      </c>
      <c r="D66" t="s">
        <v>139</v>
      </c>
    </row>
    <row r="67" spans="1:4">
      <c r="A67">
        <v>20160814</v>
      </c>
      <c r="B67" t="s">
        <v>144</v>
      </c>
      <c r="C67" t="s">
        <v>142</v>
      </c>
      <c r="D67" t="s">
        <v>139</v>
      </c>
    </row>
    <row r="68" spans="1:4">
      <c r="A68">
        <v>20160820</v>
      </c>
      <c r="B68" t="s">
        <v>144</v>
      </c>
      <c r="C68" t="s">
        <v>142</v>
      </c>
      <c r="D68" t="s">
        <v>139</v>
      </c>
    </row>
    <row r="69" spans="1:4">
      <c r="A69">
        <v>20160821</v>
      </c>
      <c r="B69" t="s">
        <v>144</v>
      </c>
      <c r="C69" t="s">
        <v>142</v>
      </c>
      <c r="D69" t="s">
        <v>139</v>
      </c>
    </row>
    <row r="70" spans="1:4">
      <c r="A70">
        <v>20160827</v>
      </c>
      <c r="B70" t="s">
        <v>144</v>
      </c>
      <c r="C70" t="s">
        <v>142</v>
      </c>
      <c r="D70" t="s">
        <v>139</v>
      </c>
    </row>
    <row r="71" spans="1:4">
      <c r="A71">
        <v>20160828</v>
      </c>
      <c r="B71" t="s">
        <v>144</v>
      </c>
      <c r="C71" t="s">
        <v>142</v>
      </c>
      <c r="D71" t="s">
        <v>139</v>
      </c>
    </row>
    <row r="72" spans="1:4">
      <c r="A72">
        <v>20160903</v>
      </c>
      <c r="B72" t="s">
        <v>144</v>
      </c>
      <c r="C72" t="s">
        <v>142</v>
      </c>
      <c r="D72" t="s">
        <v>139</v>
      </c>
    </row>
    <row r="73" spans="1:4">
      <c r="A73">
        <v>20160904</v>
      </c>
      <c r="B73" t="s">
        <v>144</v>
      </c>
      <c r="C73" t="s">
        <v>142</v>
      </c>
      <c r="D73" t="s">
        <v>139</v>
      </c>
    </row>
    <row r="74" spans="1:4">
      <c r="A74">
        <v>20160910</v>
      </c>
      <c r="B74" t="s">
        <v>128</v>
      </c>
      <c r="C74" t="s">
        <v>140</v>
      </c>
    </row>
    <row r="75" spans="1:4">
      <c r="A75">
        <v>20160911</v>
      </c>
      <c r="B75" t="s">
        <v>128</v>
      </c>
      <c r="C75" t="s">
        <v>140</v>
      </c>
    </row>
    <row r="76" spans="1:4">
      <c r="A76">
        <v>20160917</v>
      </c>
      <c r="B76" t="s">
        <v>128</v>
      </c>
      <c r="C76" t="s">
        <v>140</v>
      </c>
    </row>
    <row r="77" spans="1:4">
      <c r="A77">
        <v>20160918</v>
      </c>
      <c r="B77" t="s">
        <v>128</v>
      </c>
      <c r="C77" t="s">
        <v>140</v>
      </c>
    </row>
    <row r="78" spans="1:4">
      <c r="A78">
        <v>20160924</v>
      </c>
      <c r="B78" t="s">
        <v>128</v>
      </c>
      <c r="C78" t="s">
        <v>140</v>
      </c>
    </row>
    <row r="79" spans="1:4">
      <c r="A79">
        <v>20160925</v>
      </c>
      <c r="B79" t="s">
        <v>128</v>
      </c>
      <c r="C79" t="s">
        <v>140</v>
      </c>
    </row>
    <row r="80" spans="1:4">
      <c r="A80">
        <v>20161001</v>
      </c>
      <c r="B80" t="s">
        <v>128</v>
      </c>
      <c r="C80" t="s">
        <v>140</v>
      </c>
    </row>
    <row r="81" spans="1:4">
      <c r="A81">
        <v>20161002</v>
      </c>
      <c r="B81" t="s">
        <v>128</v>
      </c>
      <c r="C81" t="s">
        <v>140</v>
      </c>
    </row>
    <row r="82" spans="1:4">
      <c r="A82">
        <v>20161008</v>
      </c>
      <c r="B82" t="s">
        <v>138</v>
      </c>
      <c r="C82" t="s">
        <v>136</v>
      </c>
    </row>
    <row r="83" spans="1:4">
      <c r="A83">
        <v>20161009</v>
      </c>
      <c r="B83" t="s">
        <v>138</v>
      </c>
      <c r="C83" t="s">
        <v>136</v>
      </c>
    </row>
    <row r="84" spans="1:4">
      <c r="A84">
        <v>20161010</v>
      </c>
      <c r="B84" t="s">
        <v>138</v>
      </c>
      <c r="C84" t="s">
        <v>136</v>
      </c>
    </row>
    <row r="85" spans="1:4">
      <c r="A85">
        <v>20161015</v>
      </c>
      <c r="B85" t="s">
        <v>142</v>
      </c>
      <c r="C85" t="s">
        <v>138</v>
      </c>
      <c r="D85" t="s">
        <v>136</v>
      </c>
    </row>
    <row r="86" spans="1:4">
      <c r="A86">
        <v>20161016</v>
      </c>
      <c r="B86" t="s">
        <v>142</v>
      </c>
      <c r="C86" t="s">
        <v>138</v>
      </c>
      <c r="D86" t="s">
        <v>136</v>
      </c>
    </row>
    <row r="87" spans="1:4">
      <c r="A87">
        <v>20161022</v>
      </c>
      <c r="B87" t="s">
        <v>142</v>
      </c>
      <c r="C87" t="s">
        <v>138</v>
      </c>
      <c r="D87" t="s">
        <v>136</v>
      </c>
    </row>
    <row r="88" spans="1:4">
      <c r="A88">
        <v>20161023</v>
      </c>
      <c r="B88" t="s">
        <v>142</v>
      </c>
      <c r="C88" t="s">
        <v>138</v>
      </c>
      <c r="D88" t="s">
        <v>136</v>
      </c>
    </row>
    <row r="89" spans="1:4">
      <c r="A89">
        <v>20161029</v>
      </c>
      <c r="B89" t="s">
        <v>142</v>
      </c>
      <c r="C89" t="s">
        <v>138</v>
      </c>
      <c r="D89" t="s">
        <v>136</v>
      </c>
    </row>
    <row r="90" spans="1:4">
      <c r="A90">
        <v>20161030</v>
      </c>
      <c r="B90" t="s">
        <v>142</v>
      </c>
      <c r="C90" t="s">
        <v>138</v>
      </c>
      <c r="D90" t="s">
        <v>136</v>
      </c>
    </row>
    <row r="91" spans="1:4">
      <c r="A91">
        <v>20161105</v>
      </c>
      <c r="B91" t="s">
        <v>141</v>
      </c>
      <c r="C91" t="s">
        <v>138</v>
      </c>
      <c r="D91" t="s">
        <v>136</v>
      </c>
    </row>
    <row r="92" spans="1:4">
      <c r="A92">
        <v>20161106</v>
      </c>
      <c r="B92" t="s">
        <v>141</v>
      </c>
      <c r="C92" t="s">
        <v>138</v>
      </c>
      <c r="D92" t="s">
        <v>136</v>
      </c>
    </row>
    <row r="93" spans="1:4">
      <c r="A93">
        <v>20161112</v>
      </c>
      <c r="B93" t="s">
        <v>141</v>
      </c>
      <c r="C93" t="s">
        <v>138</v>
      </c>
      <c r="D93" t="s">
        <v>136</v>
      </c>
    </row>
    <row r="94" spans="1:4">
      <c r="A94">
        <v>20161113</v>
      </c>
      <c r="B94" t="s">
        <v>141</v>
      </c>
      <c r="C94" t="s">
        <v>138</v>
      </c>
      <c r="D94" t="s">
        <v>136</v>
      </c>
    </row>
    <row r="95" spans="1:4">
      <c r="A95">
        <v>20161119</v>
      </c>
      <c r="B95" t="s">
        <v>141</v>
      </c>
      <c r="C95" t="s">
        <v>138</v>
      </c>
      <c r="D95" t="s">
        <v>136</v>
      </c>
    </row>
    <row r="96" spans="1:4">
      <c r="A96">
        <v>20161120</v>
      </c>
      <c r="B96" t="s">
        <v>141</v>
      </c>
      <c r="C96" t="s">
        <v>138</v>
      </c>
      <c r="D96" t="s">
        <v>136</v>
      </c>
    </row>
    <row r="97" spans="1:4">
      <c r="A97">
        <v>20161126</v>
      </c>
      <c r="B97" t="s">
        <v>138</v>
      </c>
      <c r="C97" t="s">
        <v>136</v>
      </c>
    </row>
    <row r="98" spans="1:4">
      <c r="A98">
        <v>20161127</v>
      </c>
      <c r="B98" t="s">
        <v>138</v>
      </c>
      <c r="C98" t="s">
        <v>136</v>
      </c>
    </row>
    <row r="99" spans="1:4">
      <c r="A99">
        <v>20161203</v>
      </c>
      <c r="B99" t="s">
        <v>128</v>
      </c>
      <c r="C99" t="s">
        <v>137</v>
      </c>
      <c r="D99" t="s">
        <v>140</v>
      </c>
    </row>
    <row r="100" spans="1:4">
      <c r="A100">
        <v>20161204</v>
      </c>
      <c r="B100" t="s">
        <v>128</v>
      </c>
      <c r="C100" t="s">
        <v>137</v>
      </c>
      <c r="D100" t="s">
        <v>140</v>
      </c>
    </row>
    <row r="101" spans="1:4">
      <c r="A101">
        <v>20161210</v>
      </c>
      <c r="B101" t="s">
        <v>128</v>
      </c>
      <c r="C101" t="s">
        <v>137</v>
      </c>
      <c r="D101" t="s">
        <v>140</v>
      </c>
    </row>
    <row r="102" spans="1:4">
      <c r="A102">
        <v>20161211</v>
      </c>
      <c r="B102" t="s">
        <v>128</v>
      </c>
      <c r="C102" t="s">
        <v>137</v>
      </c>
      <c r="D102" t="s">
        <v>140</v>
      </c>
    </row>
    <row r="103" spans="1:4">
      <c r="A103">
        <v>20161217</v>
      </c>
      <c r="B103" t="s">
        <v>128</v>
      </c>
      <c r="C103" t="s">
        <v>137</v>
      </c>
      <c r="D103" t="s">
        <v>140</v>
      </c>
    </row>
    <row r="104" spans="1:4">
      <c r="A104">
        <v>20161218</v>
      </c>
      <c r="B104" t="s">
        <v>128</v>
      </c>
      <c r="C104" t="s">
        <v>137</v>
      </c>
      <c r="D104" t="s">
        <v>140</v>
      </c>
    </row>
    <row r="105" spans="1:4">
      <c r="A105">
        <v>20161223</v>
      </c>
      <c r="B105" t="s">
        <v>128</v>
      </c>
      <c r="C105" t="s">
        <v>140</v>
      </c>
    </row>
    <row r="106" spans="1:4">
      <c r="A106">
        <v>20161224</v>
      </c>
      <c r="B106" t="s">
        <v>128</v>
      </c>
      <c r="C106" t="s">
        <v>140</v>
      </c>
    </row>
    <row r="107" spans="1:4">
      <c r="A107">
        <v>20161225</v>
      </c>
      <c r="B107" t="s">
        <v>128</v>
      </c>
      <c r="C107" t="s">
        <v>140</v>
      </c>
    </row>
    <row r="108" spans="1:4">
      <c r="A108">
        <v>20170105</v>
      </c>
      <c r="B108" t="s">
        <v>128</v>
      </c>
      <c r="C108" t="s">
        <v>136</v>
      </c>
    </row>
    <row r="109" spans="1:4">
      <c r="A109">
        <v>20170107</v>
      </c>
      <c r="B109" t="s">
        <v>128</v>
      </c>
      <c r="C109" t="s">
        <v>136</v>
      </c>
    </row>
    <row r="110" spans="1:4">
      <c r="A110">
        <v>20170108</v>
      </c>
      <c r="B110" t="s">
        <v>128</v>
      </c>
      <c r="C110" t="s">
        <v>136</v>
      </c>
    </row>
    <row r="111" spans="1:4">
      <c r="A111">
        <v>20170114</v>
      </c>
      <c r="B111" t="s">
        <v>128</v>
      </c>
      <c r="C111" t="s">
        <v>137</v>
      </c>
      <c r="D111" t="s">
        <v>136</v>
      </c>
    </row>
    <row r="112" spans="1:4">
      <c r="A112">
        <v>20170115</v>
      </c>
      <c r="B112" t="s">
        <v>128</v>
      </c>
      <c r="C112" t="s">
        <v>137</v>
      </c>
      <c r="D112" t="s">
        <v>136</v>
      </c>
    </row>
    <row r="113" spans="1:4">
      <c r="A113">
        <v>20170116</v>
      </c>
      <c r="B113" t="s">
        <v>137</v>
      </c>
    </row>
    <row r="114" spans="1:4">
      <c r="A114">
        <v>20170117</v>
      </c>
      <c r="B114" t="s">
        <v>136</v>
      </c>
    </row>
    <row r="115" spans="1:4">
      <c r="A115">
        <v>20170121</v>
      </c>
      <c r="B115" t="s">
        <v>128</v>
      </c>
      <c r="C115" t="s">
        <v>137</v>
      </c>
      <c r="D115" t="s">
        <v>136</v>
      </c>
    </row>
    <row r="116" spans="1:4">
      <c r="A116">
        <v>20170122</v>
      </c>
      <c r="B116" t="s">
        <v>128</v>
      </c>
      <c r="C116" t="s">
        <v>137</v>
      </c>
      <c r="D116" t="s">
        <v>136</v>
      </c>
    </row>
    <row r="117" spans="1:4">
      <c r="A117">
        <v>20170128</v>
      </c>
      <c r="B117" t="s">
        <v>138</v>
      </c>
      <c r="C117" t="s">
        <v>137</v>
      </c>
      <c r="D117" t="s">
        <v>136</v>
      </c>
    </row>
    <row r="118" spans="1:4">
      <c r="A118">
        <v>20170129</v>
      </c>
      <c r="B118" t="s">
        <v>138</v>
      </c>
      <c r="C118" t="s">
        <v>137</v>
      </c>
      <c r="D118" t="s">
        <v>136</v>
      </c>
    </row>
    <row r="119" spans="1:4">
      <c r="A119">
        <v>20170204</v>
      </c>
      <c r="B119" t="s">
        <v>138</v>
      </c>
      <c r="C119" t="s">
        <v>136</v>
      </c>
    </row>
    <row r="120" spans="1:4">
      <c r="A120">
        <v>20170205</v>
      </c>
      <c r="B120" t="s">
        <v>138</v>
      </c>
      <c r="C120" t="s">
        <v>136</v>
      </c>
    </row>
    <row r="121" spans="1:4">
      <c r="A121">
        <v>20170211</v>
      </c>
      <c r="B121" t="s">
        <v>138</v>
      </c>
      <c r="C121" t="s">
        <v>136</v>
      </c>
      <c r="D121" t="s">
        <v>139</v>
      </c>
    </row>
    <row r="122" spans="1:4">
      <c r="A122">
        <v>20170212</v>
      </c>
      <c r="B122" t="s">
        <v>138</v>
      </c>
      <c r="C122" t="s">
        <v>136</v>
      </c>
      <c r="D122" t="s">
        <v>139</v>
      </c>
    </row>
    <row r="123" spans="1:4">
      <c r="A123">
        <v>20170213</v>
      </c>
      <c r="B123" t="s">
        <v>139</v>
      </c>
    </row>
    <row r="124" spans="1:4">
      <c r="A124">
        <v>20170218</v>
      </c>
      <c r="B124" t="s">
        <v>138</v>
      </c>
      <c r="C124" t="s">
        <v>136</v>
      </c>
      <c r="D124" t="s">
        <v>139</v>
      </c>
    </row>
    <row r="125" spans="1:4">
      <c r="A125">
        <v>20170219</v>
      </c>
      <c r="B125" t="s">
        <v>138</v>
      </c>
      <c r="C125" t="s">
        <v>136</v>
      </c>
      <c r="D125" t="s">
        <v>139</v>
      </c>
    </row>
    <row r="126" spans="1:4">
      <c r="A126">
        <v>20170225</v>
      </c>
      <c r="B126" t="s">
        <v>128</v>
      </c>
      <c r="C126" t="s">
        <v>140</v>
      </c>
      <c r="D126" t="s">
        <v>139</v>
      </c>
    </row>
    <row r="127" spans="1:4">
      <c r="A127">
        <v>20170226</v>
      </c>
      <c r="B127" t="s">
        <v>128</v>
      </c>
      <c r="C127" t="s">
        <v>140</v>
      </c>
      <c r="D127" t="s">
        <v>139</v>
      </c>
    </row>
    <row r="128" spans="1:4">
      <c r="A128">
        <v>20170304</v>
      </c>
      <c r="B128" t="s">
        <v>128</v>
      </c>
      <c r="C128" t="s">
        <v>140</v>
      </c>
      <c r="D128" t="s">
        <v>139</v>
      </c>
    </row>
    <row r="129" spans="1:4">
      <c r="A129">
        <v>20170305</v>
      </c>
      <c r="B129" t="s">
        <v>128</v>
      </c>
      <c r="C129" t="s">
        <v>140</v>
      </c>
      <c r="D129" t="s">
        <v>139</v>
      </c>
    </row>
    <row r="130" spans="1:4">
      <c r="A130">
        <v>20170311</v>
      </c>
      <c r="B130" t="s">
        <v>128</v>
      </c>
      <c r="C130" t="s">
        <v>137</v>
      </c>
      <c r="D130" t="s">
        <v>140</v>
      </c>
    </row>
    <row r="131" spans="1:4">
      <c r="A131">
        <v>20170312</v>
      </c>
      <c r="B131" t="s">
        <v>128</v>
      </c>
      <c r="C131" t="s">
        <v>137</v>
      </c>
      <c r="D131" t="s">
        <v>140</v>
      </c>
    </row>
    <row r="132" spans="1:4">
      <c r="A132">
        <v>20170318</v>
      </c>
      <c r="B132" t="s">
        <v>137</v>
      </c>
      <c r="C132" t="s">
        <v>140</v>
      </c>
    </row>
    <row r="133" spans="1:4">
      <c r="A133">
        <v>20170319</v>
      </c>
      <c r="B133" t="s">
        <v>128</v>
      </c>
      <c r="C133" t="s">
        <v>140</v>
      </c>
    </row>
    <row r="134" spans="1:4">
      <c r="A134">
        <v>20170320</v>
      </c>
      <c r="B134" t="s">
        <v>128</v>
      </c>
      <c r="C134" t="s">
        <v>137</v>
      </c>
    </row>
    <row r="135" spans="1:4">
      <c r="A135">
        <v>20170325</v>
      </c>
      <c r="B135" t="s">
        <v>128</v>
      </c>
      <c r="C135" t="s">
        <v>137</v>
      </c>
      <c r="D135" t="s">
        <v>140</v>
      </c>
    </row>
    <row r="136" spans="1:4">
      <c r="A136">
        <v>20170326</v>
      </c>
      <c r="B136" t="s">
        <v>128</v>
      </c>
      <c r="C136" t="s">
        <v>137</v>
      </c>
      <c r="D136" t="s">
        <v>140</v>
      </c>
    </row>
    <row r="137" spans="1:4">
      <c r="A137">
        <v>20170401</v>
      </c>
      <c r="B137" t="s">
        <v>128</v>
      </c>
      <c r="C137" t="s">
        <v>140</v>
      </c>
    </row>
    <row r="138" spans="1:4">
      <c r="A138">
        <v>20170402</v>
      </c>
      <c r="B138" t="s">
        <v>128</v>
      </c>
      <c r="C138" t="s">
        <v>140</v>
      </c>
    </row>
    <row r="139" spans="1:4">
      <c r="A139">
        <v>20170408</v>
      </c>
      <c r="B139" t="s">
        <v>141</v>
      </c>
      <c r="C139" t="s">
        <v>128</v>
      </c>
      <c r="D139" t="s">
        <v>140</v>
      </c>
    </row>
    <row r="140" spans="1:4">
      <c r="A140">
        <v>20170409</v>
      </c>
      <c r="B140" t="s">
        <v>141</v>
      </c>
      <c r="C140" t="s">
        <v>128</v>
      </c>
      <c r="D140" t="s">
        <v>140</v>
      </c>
    </row>
    <row r="141" spans="1:4">
      <c r="A141">
        <v>20170415</v>
      </c>
      <c r="B141" t="s">
        <v>141</v>
      </c>
      <c r="C141" t="s">
        <v>128</v>
      </c>
      <c r="D141" t="s">
        <v>140</v>
      </c>
    </row>
    <row r="142" spans="1:4">
      <c r="A142">
        <v>20170416</v>
      </c>
      <c r="B142" t="s">
        <v>141</v>
      </c>
      <c r="C142" t="s">
        <v>128</v>
      </c>
      <c r="D142" t="s">
        <v>140</v>
      </c>
    </row>
    <row r="143" spans="1:4">
      <c r="A143">
        <v>20170422</v>
      </c>
      <c r="B143" t="s">
        <v>141</v>
      </c>
      <c r="C143" t="s">
        <v>138</v>
      </c>
      <c r="D143" t="s">
        <v>136</v>
      </c>
    </row>
    <row r="144" spans="1:4">
      <c r="A144">
        <v>20170423</v>
      </c>
      <c r="B144" t="s">
        <v>141</v>
      </c>
      <c r="C144" t="s">
        <v>138</v>
      </c>
      <c r="D144" t="s">
        <v>136</v>
      </c>
    </row>
    <row r="145" spans="1:4">
      <c r="A145">
        <v>20170429</v>
      </c>
      <c r="B145" t="s">
        <v>142</v>
      </c>
      <c r="C145" t="s">
        <v>138</v>
      </c>
      <c r="D145" t="s">
        <v>136</v>
      </c>
    </row>
    <row r="146" spans="1:4">
      <c r="A146">
        <v>20170430</v>
      </c>
      <c r="B146" t="s">
        <v>142</v>
      </c>
      <c r="C146" t="s">
        <v>138</v>
      </c>
      <c r="D146" t="s">
        <v>136</v>
      </c>
    </row>
    <row r="147" spans="1:4">
      <c r="A147">
        <v>20170506</v>
      </c>
      <c r="B147" t="s">
        <v>142</v>
      </c>
      <c r="C147" t="s">
        <v>138</v>
      </c>
      <c r="D147" t="s">
        <v>136</v>
      </c>
    </row>
    <row r="148" spans="1:4">
      <c r="A148">
        <v>20170507</v>
      </c>
      <c r="B148" t="s">
        <v>142</v>
      </c>
      <c r="C148" t="s">
        <v>138</v>
      </c>
      <c r="D148" t="s">
        <v>136</v>
      </c>
    </row>
    <row r="149" spans="1:4">
      <c r="A149">
        <v>20170513</v>
      </c>
      <c r="B149" t="s">
        <v>142</v>
      </c>
      <c r="C149" t="s">
        <v>138</v>
      </c>
      <c r="D149" t="s">
        <v>136</v>
      </c>
    </row>
    <row r="150" spans="1:4">
      <c r="A150">
        <v>20170514</v>
      </c>
      <c r="B150" t="s">
        <v>142</v>
      </c>
      <c r="C150" t="s">
        <v>138</v>
      </c>
      <c r="D150" t="s">
        <v>136</v>
      </c>
    </row>
    <row r="151" spans="1:4">
      <c r="A151">
        <v>20170520</v>
      </c>
      <c r="B151" t="s">
        <v>142</v>
      </c>
      <c r="C151" t="s">
        <v>138</v>
      </c>
      <c r="D151" t="s">
        <v>136</v>
      </c>
    </row>
    <row r="152" spans="1:4">
      <c r="A152">
        <v>20170521</v>
      </c>
      <c r="B152" t="s">
        <v>142</v>
      </c>
      <c r="C152" t="s">
        <v>138</v>
      </c>
      <c r="D152" t="s">
        <v>136</v>
      </c>
    </row>
    <row r="153" spans="1:4">
      <c r="A153">
        <v>20170527</v>
      </c>
      <c r="B153" t="s">
        <v>138</v>
      </c>
      <c r="C153" t="s">
        <v>136</v>
      </c>
    </row>
    <row r="154" spans="1:4">
      <c r="A154">
        <v>20170528</v>
      </c>
      <c r="B154" t="s">
        <v>138</v>
      </c>
      <c r="C154" t="s">
        <v>136</v>
      </c>
    </row>
    <row r="155" spans="1:4">
      <c r="A155">
        <v>20170603</v>
      </c>
      <c r="B155" t="s">
        <v>138</v>
      </c>
      <c r="C155" t="s">
        <v>140</v>
      </c>
    </row>
    <row r="156" spans="1:4">
      <c r="A156">
        <v>20170604</v>
      </c>
      <c r="B156" t="s">
        <v>138</v>
      </c>
      <c r="C156" t="s">
        <v>140</v>
      </c>
    </row>
    <row r="157" spans="1:4">
      <c r="A157">
        <v>20170610</v>
      </c>
      <c r="B157" t="s">
        <v>138</v>
      </c>
      <c r="C157" t="s">
        <v>140</v>
      </c>
    </row>
    <row r="158" spans="1:4">
      <c r="A158">
        <v>20170611</v>
      </c>
      <c r="B158" t="s">
        <v>138</v>
      </c>
      <c r="C158" t="s">
        <v>140</v>
      </c>
    </row>
    <row r="159" spans="1:4">
      <c r="A159">
        <v>20170617</v>
      </c>
      <c r="B159" t="s">
        <v>143</v>
      </c>
      <c r="C159" t="s">
        <v>138</v>
      </c>
      <c r="D159" t="s">
        <v>140</v>
      </c>
    </row>
    <row r="160" spans="1:4">
      <c r="A160">
        <v>20170618</v>
      </c>
      <c r="B160" t="s">
        <v>143</v>
      </c>
      <c r="C160" t="s">
        <v>138</v>
      </c>
      <c r="D160" t="s">
        <v>140</v>
      </c>
    </row>
    <row r="161" spans="1:4">
      <c r="A161">
        <v>20170624</v>
      </c>
      <c r="B161" t="s">
        <v>143</v>
      </c>
      <c r="C161" t="s">
        <v>138</v>
      </c>
      <c r="D161" t="s">
        <v>140</v>
      </c>
    </row>
    <row r="162" spans="1:4">
      <c r="A162">
        <v>20170625</v>
      </c>
      <c r="B162" t="s">
        <v>143</v>
      </c>
      <c r="C162" t="s">
        <v>138</v>
      </c>
      <c r="D162" t="s">
        <v>140</v>
      </c>
    </row>
    <row r="163" spans="1:4">
      <c r="A163">
        <v>20170701</v>
      </c>
      <c r="B163" t="s">
        <v>143</v>
      </c>
      <c r="C163" t="s">
        <v>141</v>
      </c>
      <c r="D163" t="s">
        <v>137</v>
      </c>
    </row>
    <row r="164" spans="1:4">
      <c r="A164">
        <v>20170702</v>
      </c>
      <c r="B164" t="s">
        <v>143</v>
      </c>
      <c r="C164" t="s">
        <v>141</v>
      </c>
      <c r="D164" t="s">
        <v>137</v>
      </c>
    </row>
    <row r="165" spans="1:4">
      <c r="A165">
        <v>20170708</v>
      </c>
      <c r="B165" t="s">
        <v>143</v>
      </c>
      <c r="C165" t="s">
        <v>141</v>
      </c>
      <c r="D165" t="s">
        <v>137</v>
      </c>
    </row>
    <row r="166" spans="1:4">
      <c r="A166">
        <v>20170709</v>
      </c>
      <c r="B166" t="s">
        <v>143</v>
      </c>
      <c r="C166" t="s">
        <v>141</v>
      </c>
      <c r="D166" t="s">
        <v>137</v>
      </c>
    </row>
    <row r="167" spans="1:4">
      <c r="A167">
        <v>20170715</v>
      </c>
      <c r="B167" t="s">
        <v>143</v>
      </c>
      <c r="C167" t="s">
        <v>141</v>
      </c>
      <c r="D167" t="s">
        <v>137</v>
      </c>
    </row>
    <row r="168" spans="1:4">
      <c r="A168">
        <v>20170716</v>
      </c>
      <c r="B168" t="s">
        <v>143</v>
      </c>
      <c r="C168" t="s">
        <v>141</v>
      </c>
      <c r="D168" t="s">
        <v>137</v>
      </c>
    </row>
    <row r="169" spans="1:4">
      <c r="A169">
        <v>20170722</v>
      </c>
      <c r="B169" t="s">
        <v>143</v>
      </c>
      <c r="C169" t="s">
        <v>141</v>
      </c>
      <c r="D169" t="s">
        <v>137</v>
      </c>
    </row>
    <row r="170" spans="1:4">
      <c r="A170">
        <v>20170723</v>
      </c>
      <c r="B170" t="s">
        <v>143</v>
      </c>
      <c r="C170" t="s">
        <v>141</v>
      </c>
      <c r="D170" t="s">
        <v>137</v>
      </c>
    </row>
    <row r="171" spans="1:4">
      <c r="A171">
        <v>20170729</v>
      </c>
      <c r="B171" t="s">
        <v>144</v>
      </c>
      <c r="C171" t="s">
        <v>142</v>
      </c>
      <c r="D171" t="s">
        <v>139</v>
      </c>
    </row>
    <row r="172" spans="1:4">
      <c r="A172">
        <v>20170730</v>
      </c>
      <c r="B172" t="s">
        <v>144</v>
      </c>
      <c r="C172" t="s">
        <v>142</v>
      </c>
      <c r="D172" t="s">
        <v>139</v>
      </c>
    </row>
    <row r="173" spans="1:4">
      <c r="A173">
        <v>20170805</v>
      </c>
      <c r="B173" t="s">
        <v>144</v>
      </c>
      <c r="C173" t="s">
        <v>142</v>
      </c>
      <c r="D173" t="s">
        <v>139</v>
      </c>
    </row>
    <row r="174" spans="1:4">
      <c r="A174">
        <v>20170806</v>
      </c>
      <c r="B174" t="s">
        <v>144</v>
      </c>
      <c r="C174" t="s">
        <v>142</v>
      </c>
      <c r="D174" t="s">
        <v>139</v>
      </c>
    </row>
    <row r="175" spans="1:4">
      <c r="A175">
        <v>20170812</v>
      </c>
      <c r="B175" t="s">
        <v>144</v>
      </c>
      <c r="C175" t="s">
        <v>142</v>
      </c>
      <c r="D175" t="s">
        <v>139</v>
      </c>
    </row>
    <row r="176" spans="1:4">
      <c r="A176">
        <v>20170813</v>
      </c>
      <c r="B176" t="s">
        <v>144</v>
      </c>
      <c r="C176" t="s">
        <v>142</v>
      </c>
      <c r="D176" t="s">
        <v>139</v>
      </c>
    </row>
    <row r="177" spans="1:4">
      <c r="A177">
        <v>20170819</v>
      </c>
      <c r="B177" t="s">
        <v>144</v>
      </c>
      <c r="C177" t="s">
        <v>142</v>
      </c>
      <c r="D177" t="s">
        <v>139</v>
      </c>
    </row>
    <row r="178" spans="1:4">
      <c r="A178">
        <v>20170820</v>
      </c>
      <c r="B178" t="s">
        <v>144</v>
      </c>
      <c r="C178" t="s">
        <v>142</v>
      </c>
      <c r="D178" t="s">
        <v>139</v>
      </c>
    </row>
    <row r="179" spans="1:4">
      <c r="A179">
        <v>20170826</v>
      </c>
      <c r="B179" t="s">
        <v>144</v>
      </c>
      <c r="C179" t="s">
        <v>142</v>
      </c>
      <c r="D179" t="s">
        <v>139</v>
      </c>
    </row>
    <row r="180" spans="1:4">
      <c r="A180">
        <v>20170827</v>
      </c>
      <c r="B180" t="s">
        <v>144</v>
      </c>
      <c r="C180" t="s">
        <v>142</v>
      </c>
      <c r="D180" t="s">
        <v>139</v>
      </c>
    </row>
    <row r="181" spans="1:4">
      <c r="A181">
        <v>20170902</v>
      </c>
      <c r="B181" t="s">
        <v>144</v>
      </c>
      <c r="C181" t="s">
        <v>142</v>
      </c>
      <c r="D181" t="s">
        <v>139</v>
      </c>
    </row>
    <row r="182" spans="1:4">
      <c r="A182">
        <v>20170903</v>
      </c>
      <c r="B182" t="s">
        <v>144</v>
      </c>
      <c r="C182" t="s">
        <v>142</v>
      </c>
      <c r="D182" t="s">
        <v>139</v>
      </c>
    </row>
    <row r="183" spans="1:4">
      <c r="A183">
        <v>20170909</v>
      </c>
      <c r="B183" t="s">
        <v>128</v>
      </c>
      <c r="C183" t="s">
        <v>140</v>
      </c>
    </row>
    <row r="184" spans="1:4">
      <c r="A184">
        <v>20170910</v>
      </c>
      <c r="B184" t="s">
        <v>128</v>
      </c>
      <c r="C184" t="s">
        <v>140</v>
      </c>
    </row>
    <row r="185" spans="1:4">
      <c r="A185">
        <v>20170916</v>
      </c>
      <c r="B185" t="s">
        <v>128</v>
      </c>
      <c r="C185" t="s">
        <v>140</v>
      </c>
    </row>
    <row r="186" spans="1:4">
      <c r="A186">
        <v>20170917</v>
      </c>
      <c r="B186" t="s">
        <v>128</v>
      </c>
      <c r="C186" t="s">
        <v>140</v>
      </c>
    </row>
    <row r="187" spans="1:4">
      <c r="A187">
        <v>20170918</v>
      </c>
      <c r="B187" t="s">
        <v>128</v>
      </c>
      <c r="C187" t="s">
        <v>140</v>
      </c>
    </row>
    <row r="188" spans="1:4">
      <c r="A188">
        <v>20170923</v>
      </c>
      <c r="B188" t="s">
        <v>128</v>
      </c>
      <c r="C188" t="s">
        <v>140</v>
      </c>
    </row>
    <row r="189" spans="1:4">
      <c r="A189">
        <v>20170924</v>
      </c>
      <c r="B189" t="s">
        <v>128</v>
      </c>
      <c r="C189" t="s">
        <v>140</v>
      </c>
    </row>
    <row r="190" spans="1:4">
      <c r="A190">
        <v>20170930</v>
      </c>
      <c r="B190" t="s">
        <v>128</v>
      </c>
      <c r="C190" t="s">
        <v>140</v>
      </c>
    </row>
    <row r="191" spans="1:4">
      <c r="A191">
        <v>20171001</v>
      </c>
      <c r="B191" t="s">
        <v>128</v>
      </c>
      <c r="C191" t="s">
        <v>140</v>
      </c>
    </row>
    <row r="192" spans="1:4">
      <c r="A192">
        <v>20171007</v>
      </c>
      <c r="B192" t="s">
        <v>138</v>
      </c>
      <c r="C192" t="s">
        <v>136</v>
      </c>
    </row>
    <row r="193" spans="1:4">
      <c r="A193">
        <v>20171008</v>
      </c>
      <c r="B193" t="s">
        <v>138</v>
      </c>
      <c r="C193" t="s">
        <v>136</v>
      </c>
    </row>
    <row r="194" spans="1:4">
      <c r="A194">
        <v>20171009</v>
      </c>
      <c r="B194" t="s">
        <v>138</v>
      </c>
      <c r="C194" t="s">
        <v>136</v>
      </c>
    </row>
    <row r="195" spans="1:4">
      <c r="A195">
        <v>20171014</v>
      </c>
      <c r="B195" t="s">
        <v>142</v>
      </c>
      <c r="C195" t="s">
        <v>138</v>
      </c>
      <c r="D195" t="s">
        <v>136</v>
      </c>
    </row>
    <row r="196" spans="1:4">
      <c r="A196">
        <v>20171015</v>
      </c>
      <c r="B196" t="s">
        <v>142</v>
      </c>
      <c r="C196" t="s">
        <v>138</v>
      </c>
      <c r="D196" t="s">
        <v>136</v>
      </c>
    </row>
    <row r="197" spans="1:4">
      <c r="A197">
        <v>20171021</v>
      </c>
      <c r="B197" t="s">
        <v>142</v>
      </c>
      <c r="C197" t="s">
        <v>138</v>
      </c>
      <c r="D197" t="s">
        <v>136</v>
      </c>
    </row>
    <row r="198" spans="1:4">
      <c r="A198">
        <v>20171022</v>
      </c>
      <c r="B198" t="s">
        <v>142</v>
      </c>
      <c r="C198" t="s">
        <v>138</v>
      </c>
      <c r="D198" t="s">
        <v>136</v>
      </c>
    </row>
    <row r="199" spans="1:4">
      <c r="A199">
        <v>20171028</v>
      </c>
      <c r="B199" t="s">
        <v>142</v>
      </c>
      <c r="C199" t="s">
        <v>138</v>
      </c>
      <c r="D199" t="s">
        <v>136</v>
      </c>
    </row>
    <row r="200" spans="1:4">
      <c r="A200">
        <v>20171029</v>
      </c>
      <c r="B200" t="s">
        <v>142</v>
      </c>
      <c r="C200" t="s">
        <v>138</v>
      </c>
      <c r="D200" t="s">
        <v>136</v>
      </c>
    </row>
    <row r="201" spans="1:4">
      <c r="A201">
        <v>20171103</v>
      </c>
      <c r="B201" t="s">
        <v>141</v>
      </c>
      <c r="C201" t="s">
        <v>136</v>
      </c>
    </row>
    <row r="202" spans="1:4">
      <c r="A202">
        <v>20171104</v>
      </c>
      <c r="B202" t="s">
        <v>141</v>
      </c>
      <c r="C202" t="s">
        <v>138</v>
      </c>
    </row>
    <row r="203" spans="1:4">
      <c r="A203">
        <v>20171105</v>
      </c>
      <c r="B203" t="s">
        <v>138</v>
      </c>
      <c r="C203" t="s">
        <v>136</v>
      </c>
    </row>
    <row r="204" spans="1:4">
      <c r="A204">
        <v>20171111</v>
      </c>
      <c r="B204" t="s">
        <v>141</v>
      </c>
      <c r="C204" t="s">
        <v>138</v>
      </c>
      <c r="D204" t="s">
        <v>136</v>
      </c>
    </row>
    <row r="205" spans="1:4">
      <c r="A205">
        <v>20171112</v>
      </c>
      <c r="B205" t="s">
        <v>141</v>
      </c>
      <c r="C205" t="s">
        <v>138</v>
      </c>
      <c r="D205" t="s">
        <v>136</v>
      </c>
    </row>
    <row r="206" spans="1:4">
      <c r="A206">
        <v>20171118</v>
      </c>
      <c r="B206" t="s">
        <v>141</v>
      </c>
      <c r="C206" t="s">
        <v>138</v>
      </c>
      <c r="D206" t="s">
        <v>136</v>
      </c>
    </row>
    <row r="207" spans="1:4">
      <c r="A207">
        <v>20171119</v>
      </c>
      <c r="B207" t="s">
        <v>141</v>
      </c>
      <c r="C207" t="s">
        <v>138</v>
      </c>
      <c r="D207" t="s">
        <v>136</v>
      </c>
    </row>
    <row r="208" spans="1:4">
      <c r="A208">
        <v>20171125</v>
      </c>
      <c r="B208" t="s">
        <v>138</v>
      </c>
      <c r="C208" t="s">
        <v>136</v>
      </c>
    </row>
    <row r="209" spans="1:4">
      <c r="A209">
        <v>20171126</v>
      </c>
      <c r="B209" t="s">
        <v>138</v>
      </c>
      <c r="C209" t="s">
        <v>136</v>
      </c>
    </row>
    <row r="210" spans="1:4">
      <c r="A210">
        <v>20171202</v>
      </c>
      <c r="B210" t="s">
        <v>128</v>
      </c>
      <c r="C210" t="s">
        <v>137</v>
      </c>
      <c r="D210" t="s">
        <v>140</v>
      </c>
    </row>
    <row r="211" spans="1:4">
      <c r="A211">
        <v>20171203</v>
      </c>
      <c r="B211" t="s">
        <v>128</v>
      </c>
      <c r="C211" t="s">
        <v>137</v>
      </c>
      <c r="D211" t="s">
        <v>140</v>
      </c>
    </row>
    <row r="212" spans="1:4">
      <c r="A212">
        <v>20171209</v>
      </c>
      <c r="B212" t="s">
        <v>128</v>
      </c>
      <c r="C212" t="s">
        <v>137</v>
      </c>
      <c r="D212" t="s">
        <v>140</v>
      </c>
    </row>
    <row r="213" spans="1:4">
      <c r="A213">
        <v>20171210</v>
      </c>
      <c r="B213" t="s">
        <v>128</v>
      </c>
      <c r="C213" t="s">
        <v>137</v>
      </c>
      <c r="D213" t="s">
        <v>140</v>
      </c>
    </row>
    <row r="214" spans="1:4">
      <c r="A214">
        <v>20171216</v>
      </c>
      <c r="B214" t="s">
        <v>128</v>
      </c>
      <c r="C214" t="s">
        <v>137</v>
      </c>
      <c r="D214" t="s">
        <v>140</v>
      </c>
    </row>
    <row r="215" spans="1:4">
      <c r="A215">
        <v>20171217</v>
      </c>
      <c r="B215" t="s">
        <v>128</v>
      </c>
      <c r="C215" t="s">
        <v>137</v>
      </c>
      <c r="D215" t="s">
        <v>140</v>
      </c>
    </row>
    <row r="216" spans="1:4">
      <c r="A216">
        <v>20171223</v>
      </c>
      <c r="B216" t="s">
        <v>128</v>
      </c>
      <c r="C216" t="s">
        <v>140</v>
      </c>
    </row>
    <row r="217" spans="1:4">
      <c r="A217">
        <v>20171224</v>
      </c>
      <c r="B217" t="s">
        <v>128</v>
      </c>
      <c r="C217" t="s">
        <v>140</v>
      </c>
    </row>
    <row r="218" spans="1:4">
      <c r="A218">
        <v>20171228</v>
      </c>
      <c r="B218" t="s">
        <v>128</v>
      </c>
      <c r="C218" t="s">
        <v>140</v>
      </c>
    </row>
    <row r="219" spans="1:4">
      <c r="A219">
        <v>20180106</v>
      </c>
      <c r="B219" t="s">
        <v>128</v>
      </c>
      <c r="C219" t="s">
        <v>136</v>
      </c>
    </row>
    <row r="220" spans="1:4">
      <c r="A220">
        <v>20180107</v>
      </c>
      <c r="B220" t="s">
        <v>128</v>
      </c>
      <c r="C220" t="s">
        <v>136</v>
      </c>
    </row>
    <row r="221" spans="1:4">
      <c r="A221">
        <v>20180108</v>
      </c>
      <c r="B221" t="s">
        <v>128</v>
      </c>
      <c r="C221" t="s">
        <v>136</v>
      </c>
    </row>
    <row r="222" spans="1:4">
      <c r="A222">
        <v>20180113</v>
      </c>
      <c r="B222" t="s">
        <v>128</v>
      </c>
      <c r="C222" t="s">
        <v>137</v>
      </c>
      <c r="D222" t="s">
        <v>136</v>
      </c>
    </row>
    <row r="223" spans="1:4">
      <c r="A223">
        <v>20180114</v>
      </c>
      <c r="B223" t="s">
        <v>128</v>
      </c>
      <c r="C223" t="s">
        <v>137</v>
      </c>
      <c r="D223" t="s">
        <v>136</v>
      </c>
    </row>
    <row r="224" spans="1:4">
      <c r="A224">
        <v>20180120</v>
      </c>
      <c r="B224" t="s">
        <v>128</v>
      </c>
      <c r="C224" t="s">
        <v>137</v>
      </c>
      <c r="D224" t="s">
        <v>136</v>
      </c>
    </row>
    <row r="225" spans="1:4">
      <c r="A225">
        <v>20180121</v>
      </c>
      <c r="B225" t="s">
        <v>128</v>
      </c>
      <c r="C225" t="s">
        <v>137</v>
      </c>
      <c r="D225" t="s">
        <v>136</v>
      </c>
    </row>
    <row r="226" spans="1:4">
      <c r="A226">
        <v>20180127</v>
      </c>
      <c r="B226" t="s">
        <v>138</v>
      </c>
      <c r="C226" t="s">
        <v>137</v>
      </c>
      <c r="D226" t="s">
        <v>136</v>
      </c>
    </row>
    <row r="227" spans="1:4">
      <c r="A227">
        <v>20180128</v>
      </c>
      <c r="B227" t="s">
        <v>138</v>
      </c>
      <c r="C227" t="s">
        <v>137</v>
      </c>
      <c r="D227" t="s">
        <v>136</v>
      </c>
    </row>
    <row r="228" spans="1:4">
      <c r="A228">
        <v>20180203</v>
      </c>
      <c r="B228" t="s">
        <v>138</v>
      </c>
      <c r="C228" t="s">
        <v>136</v>
      </c>
    </row>
    <row r="229" spans="1:4">
      <c r="A229">
        <v>20180204</v>
      </c>
      <c r="B229" t="s">
        <v>138</v>
      </c>
      <c r="C229" t="s">
        <v>136</v>
      </c>
    </row>
    <row r="230" spans="1:4">
      <c r="A230">
        <v>20180210</v>
      </c>
      <c r="B230" t="s">
        <v>136</v>
      </c>
      <c r="C230" t="s">
        <v>139</v>
      </c>
    </row>
    <row r="231" spans="1:4">
      <c r="A231">
        <v>20180211</v>
      </c>
      <c r="B231" t="s">
        <v>138</v>
      </c>
      <c r="C231" t="s">
        <v>136</v>
      </c>
    </row>
    <row r="232" spans="1:4">
      <c r="A232">
        <v>20180212</v>
      </c>
      <c r="B232" t="s">
        <v>138</v>
      </c>
      <c r="C232" t="s">
        <v>139</v>
      </c>
    </row>
    <row r="233" spans="1:4">
      <c r="A233">
        <v>20180213</v>
      </c>
      <c r="B233" t="s">
        <v>139</v>
      </c>
    </row>
    <row r="234" spans="1:4">
      <c r="A234">
        <v>20180217</v>
      </c>
      <c r="B234" t="s">
        <v>138</v>
      </c>
      <c r="C234" t="s">
        <v>136</v>
      </c>
      <c r="D234" t="s">
        <v>139</v>
      </c>
    </row>
    <row r="235" spans="1:4">
      <c r="A235">
        <v>20180218</v>
      </c>
      <c r="B235" t="s">
        <v>138</v>
      </c>
      <c r="C235" t="s">
        <v>136</v>
      </c>
      <c r="D235" t="s">
        <v>139</v>
      </c>
    </row>
    <row r="236" spans="1:4">
      <c r="A236">
        <v>20180224</v>
      </c>
      <c r="B236" t="s">
        <v>128</v>
      </c>
      <c r="C236" t="s">
        <v>140</v>
      </c>
      <c r="D236" t="s">
        <v>139</v>
      </c>
    </row>
    <row r="237" spans="1:4">
      <c r="A237">
        <v>20180225</v>
      </c>
      <c r="B237" t="s">
        <v>128</v>
      </c>
      <c r="C237" t="s">
        <v>140</v>
      </c>
      <c r="D237" t="s">
        <v>139</v>
      </c>
    </row>
    <row r="238" spans="1:4">
      <c r="A238">
        <v>20180303</v>
      </c>
      <c r="B238" t="s">
        <v>128</v>
      </c>
      <c r="C238" t="s">
        <v>140</v>
      </c>
      <c r="D238" t="s">
        <v>139</v>
      </c>
    </row>
    <row r="239" spans="1:4">
      <c r="A239">
        <v>20180304</v>
      </c>
      <c r="B239" t="s">
        <v>128</v>
      </c>
      <c r="C239" t="s">
        <v>140</v>
      </c>
      <c r="D239" t="s">
        <v>139</v>
      </c>
    </row>
    <row r="240" spans="1:4">
      <c r="A240">
        <v>20180310</v>
      </c>
      <c r="B240" t="s">
        <v>128</v>
      </c>
      <c r="C240" t="s">
        <v>137</v>
      </c>
      <c r="D240" t="s">
        <v>140</v>
      </c>
    </row>
    <row r="241" spans="1:4">
      <c r="A241">
        <v>20180311</v>
      </c>
      <c r="B241" t="s">
        <v>128</v>
      </c>
      <c r="C241" t="s">
        <v>137</v>
      </c>
      <c r="D241" t="s">
        <v>140</v>
      </c>
    </row>
    <row r="242" spans="1:4">
      <c r="A242">
        <v>20180317</v>
      </c>
      <c r="B242" t="s">
        <v>128</v>
      </c>
      <c r="C242" t="s">
        <v>137</v>
      </c>
      <c r="D242" t="s">
        <v>140</v>
      </c>
    </row>
    <row r="243" spans="1:4">
      <c r="A243">
        <v>20180318</v>
      </c>
      <c r="B243" t="s">
        <v>128</v>
      </c>
      <c r="C243" t="s">
        <v>137</v>
      </c>
      <c r="D243" t="s">
        <v>140</v>
      </c>
    </row>
    <row r="244" spans="1:4">
      <c r="A244">
        <v>20180324</v>
      </c>
      <c r="B244" t="s">
        <v>128</v>
      </c>
      <c r="C244" t="s">
        <v>137</v>
      </c>
      <c r="D244" t="s">
        <v>140</v>
      </c>
    </row>
    <row r="245" spans="1:4">
      <c r="A245">
        <v>20180325</v>
      </c>
      <c r="B245" t="s">
        <v>128</v>
      </c>
      <c r="C245" t="s">
        <v>137</v>
      </c>
      <c r="D245" t="s">
        <v>140</v>
      </c>
    </row>
    <row r="246" spans="1:4">
      <c r="A246">
        <v>20180331</v>
      </c>
      <c r="B246" t="s">
        <v>128</v>
      </c>
      <c r="C246" t="s">
        <v>140</v>
      </c>
    </row>
    <row r="247" spans="1:4">
      <c r="A247">
        <v>20180401</v>
      </c>
      <c r="B247" t="s">
        <v>128</v>
      </c>
      <c r="C247" t="s">
        <v>140</v>
      </c>
    </row>
    <row r="248" spans="1:4">
      <c r="A248">
        <v>20180407</v>
      </c>
      <c r="B248" t="s">
        <v>141</v>
      </c>
      <c r="C248" t="s">
        <v>128</v>
      </c>
      <c r="D248" t="s">
        <v>140</v>
      </c>
    </row>
    <row r="249" spans="1:4">
      <c r="A249">
        <v>20180408</v>
      </c>
      <c r="B249" t="s">
        <v>141</v>
      </c>
      <c r="C249" t="s">
        <v>128</v>
      </c>
      <c r="D249" t="s">
        <v>140</v>
      </c>
    </row>
    <row r="250" spans="1:4">
      <c r="A250">
        <v>20180414</v>
      </c>
      <c r="B250" t="s">
        <v>141</v>
      </c>
      <c r="C250" t="s">
        <v>128</v>
      </c>
      <c r="D250" t="s">
        <v>140</v>
      </c>
    </row>
    <row r="251" spans="1:4">
      <c r="A251">
        <v>20180415</v>
      </c>
      <c r="B251" t="s">
        <v>141</v>
      </c>
      <c r="C251" t="s">
        <v>128</v>
      </c>
      <c r="D251" t="s">
        <v>140</v>
      </c>
    </row>
    <row r="252" spans="1:4">
      <c r="A252">
        <v>20180421</v>
      </c>
      <c r="B252" t="s">
        <v>141</v>
      </c>
      <c r="C252" t="s">
        <v>138</v>
      </c>
      <c r="D252" t="s">
        <v>136</v>
      </c>
    </row>
    <row r="253" spans="1:4">
      <c r="A253">
        <v>20180422</v>
      </c>
      <c r="B253" t="s">
        <v>141</v>
      </c>
      <c r="C253" t="s">
        <v>138</v>
      </c>
      <c r="D253" t="s">
        <v>136</v>
      </c>
    </row>
    <row r="254" spans="1:4">
      <c r="A254">
        <v>20180428</v>
      </c>
      <c r="B254" t="s">
        <v>142</v>
      </c>
      <c r="C254" t="s">
        <v>138</v>
      </c>
      <c r="D254" t="s">
        <v>136</v>
      </c>
    </row>
    <row r="255" spans="1:4">
      <c r="A255">
        <v>20180429</v>
      </c>
      <c r="B255" t="s">
        <v>142</v>
      </c>
      <c r="C255" t="s">
        <v>138</v>
      </c>
      <c r="D255" t="s">
        <v>136</v>
      </c>
    </row>
    <row r="256" spans="1:4">
      <c r="A256">
        <v>20180505</v>
      </c>
      <c r="B256" t="s">
        <v>142</v>
      </c>
      <c r="C256" t="s">
        <v>138</v>
      </c>
      <c r="D256" t="s">
        <v>136</v>
      </c>
    </row>
    <row r="257" spans="1:4">
      <c r="A257">
        <v>20180506</v>
      </c>
      <c r="B257" t="s">
        <v>142</v>
      </c>
      <c r="C257" t="s">
        <v>138</v>
      </c>
      <c r="D257" t="s">
        <v>136</v>
      </c>
    </row>
    <row r="258" spans="1:4">
      <c r="A258">
        <v>20180512</v>
      </c>
      <c r="B258" t="s">
        <v>142</v>
      </c>
      <c r="C258" t="s">
        <v>138</v>
      </c>
      <c r="D258" t="s">
        <v>136</v>
      </c>
    </row>
    <row r="259" spans="1:4">
      <c r="A259">
        <v>20180513</v>
      </c>
      <c r="B259" t="s">
        <v>142</v>
      </c>
      <c r="C259" t="s">
        <v>138</v>
      </c>
      <c r="D259" t="s">
        <v>136</v>
      </c>
    </row>
    <row r="260" spans="1:4">
      <c r="A260">
        <v>20180519</v>
      </c>
      <c r="B260" t="s">
        <v>142</v>
      </c>
      <c r="C260" t="s">
        <v>138</v>
      </c>
      <c r="D260" t="s">
        <v>136</v>
      </c>
    </row>
    <row r="261" spans="1:4">
      <c r="A261">
        <v>20180520</v>
      </c>
      <c r="B261" t="s">
        <v>142</v>
      </c>
      <c r="C261" t="s">
        <v>138</v>
      </c>
      <c r="D261" t="s">
        <v>136</v>
      </c>
    </row>
    <row r="262" spans="1:4">
      <c r="A262">
        <v>20180526</v>
      </c>
      <c r="B262" t="s">
        <v>138</v>
      </c>
      <c r="C262" t="s">
        <v>136</v>
      </c>
    </row>
    <row r="263" spans="1:4">
      <c r="A263">
        <v>20180527</v>
      </c>
      <c r="B263" t="s">
        <v>138</v>
      </c>
      <c r="C263" t="s">
        <v>136</v>
      </c>
    </row>
    <row r="264" spans="1:4">
      <c r="A264">
        <v>20180602</v>
      </c>
      <c r="B264" t="s">
        <v>138</v>
      </c>
      <c r="C264" t="s">
        <v>140</v>
      </c>
    </row>
    <row r="265" spans="1:4">
      <c r="A265">
        <v>20180603</v>
      </c>
      <c r="B265" t="s">
        <v>138</v>
      </c>
      <c r="C265" t="s">
        <v>140</v>
      </c>
    </row>
    <row r="266" spans="1:4">
      <c r="A266">
        <v>20180609</v>
      </c>
      <c r="B266" t="s">
        <v>138</v>
      </c>
      <c r="C266" t="s">
        <v>140</v>
      </c>
    </row>
    <row r="267" spans="1:4">
      <c r="A267">
        <v>20180610</v>
      </c>
      <c r="B267" t="s">
        <v>138</v>
      </c>
      <c r="C267" t="s">
        <v>140</v>
      </c>
    </row>
    <row r="268" spans="1:4">
      <c r="A268">
        <v>20180616</v>
      </c>
      <c r="B268" t="s">
        <v>143</v>
      </c>
      <c r="C268" t="s">
        <v>138</v>
      </c>
      <c r="D268" t="s">
        <v>140</v>
      </c>
    </row>
    <row r="269" spans="1:4">
      <c r="A269">
        <v>20180617</v>
      </c>
      <c r="B269" t="s">
        <v>143</v>
      </c>
      <c r="C269" t="s">
        <v>138</v>
      </c>
      <c r="D269" t="s">
        <v>140</v>
      </c>
    </row>
    <row r="270" spans="1:4">
      <c r="A270">
        <v>20180623</v>
      </c>
      <c r="B270" t="s">
        <v>143</v>
      </c>
      <c r="C270" t="s">
        <v>138</v>
      </c>
      <c r="D270" t="s">
        <v>140</v>
      </c>
    </row>
    <row r="271" spans="1:4">
      <c r="A271">
        <v>20180624</v>
      </c>
      <c r="B271" t="s">
        <v>143</v>
      </c>
      <c r="C271" t="s">
        <v>138</v>
      </c>
      <c r="D271" t="s">
        <v>140</v>
      </c>
    </row>
    <row r="272" spans="1:4">
      <c r="A272">
        <v>20180630</v>
      </c>
      <c r="B272" t="s">
        <v>143</v>
      </c>
      <c r="C272" t="s">
        <v>141</v>
      </c>
      <c r="D272" t="s">
        <v>137</v>
      </c>
    </row>
    <row r="273" spans="1:4">
      <c r="A273">
        <v>20180701</v>
      </c>
      <c r="B273" t="s">
        <v>143</v>
      </c>
      <c r="C273" t="s">
        <v>141</v>
      </c>
      <c r="D273" t="s">
        <v>137</v>
      </c>
    </row>
    <row r="274" spans="1:4">
      <c r="A274">
        <v>20180707</v>
      </c>
      <c r="B274" t="s">
        <v>143</v>
      </c>
      <c r="C274" t="s">
        <v>141</v>
      </c>
      <c r="D274" t="s">
        <v>137</v>
      </c>
    </row>
    <row r="275" spans="1:4">
      <c r="A275">
        <v>20180708</v>
      </c>
      <c r="B275" t="s">
        <v>143</v>
      </c>
      <c r="C275" t="s">
        <v>141</v>
      </c>
      <c r="D275" t="s">
        <v>137</v>
      </c>
    </row>
    <row r="276" spans="1:4">
      <c r="A276">
        <v>20180714</v>
      </c>
      <c r="B276" t="s">
        <v>143</v>
      </c>
      <c r="C276" t="s">
        <v>141</v>
      </c>
      <c r="D276" t="s">
        <v>137</v>
      </c>
    </row>
    <row r="277" spans="1:4">
      <c r="A277">
        <v>20180715</v>
      </c>
      <c r="B277" t="s">
        <v>143</v>
      </c>
      <c r="C277" t="s">
        <v>141</v>
      </c>
      <c r="D277" t="s">
        <v>137</v>
      </c>
    </row>
    <row r="278" spans="1:4">
      <c r="A278">
        <v>20180721</v>
      </c>
      <c r="B278" t="s">
        <v>143</v>
      </c>
      <c r="C278" t="s">
        <v>141</v>
      </c>
      <c r="D278" t="s">
        <v>137</v>
      </c>
    </row>
    <row r="279" spans="1:4">
      <c r="A279">
        <v>20180722</v>
      </c>
      <c r="B279" t="s">
        <v>143</v>
      </c>
      <c r="C279" t="s">
        <v>141</v>
      </c>
      <c r="D279" t="s">
        <v>137</v>
      </c>
    </row>
    <row r="280" spans="1:4">
      <c r="A280">
        <v>20180728</v>
      </c>
      <c r="B280" t="s">
        <v>144</v>
      </c>
      <c r="C280" t="s">
        <v>142</v>
      </c>
      <c r="D280" t="s">
        <v>139</v>
      </c>
    </row>
    <row r="281" spans="1:4">
      <c r="A281">
        <v>20180729</v>
      </c>
      <c r="B281" t="s">
        <v>144</v>
      </c>
      <c r="C281" t="s">
        <v>142</v>
      </c>
      <c r="D281" t="s">
        <v>139</v>
      </c>
    </row>
    <row r="282" spans="1:4">
      <c r="A282">
        <v>20180804</v>
      </c>
      <c r="B282" t="s">
        <v>144</v>
      </c>
      <c r="C282" t="s">
        <v>142</v>
      </c>
      <c r="D282" t="s">
        <v>139</v>
      </c>
    </row>
    <row r="283" spans="1:4">
      <c r="A283">
        <v>20180805</v>
      </c>
      <c r="B283" t="s">
        <v>144</v>
      </c>
      <c r="C283" t="s">
        <v>142</v>
      </c>
      <c r="D283" t="s">
        <v>139</v>
      </c>
    </row>
    <row r="284" spans="1:4">
      <c r="A284">
        <v>20180811</v>
      </c>
      <c r="B284" t="s">
        <v>144</v>
      </c>
      <c r="C284" t="s">
        <v>142</v>
      </c>
      <c r="D284" t="s">
        <v>139</v>
      </c>
    </row>
    <row r="285" spans="1:4">
      <c r="A285">
        <v>20180812</v>
      </c>
      <c r="B285" t="s">
        <v>144</v>
      </c>
      <c r="C285" t="s">
        <v>142</v>
      </c>
      <c r="D285" t="s">
        <v>139</v>
      </c>
    </row>
    <row r="286" spans="1:4">
      <c r="A286">
        <v>20180818</v>
      </c>
      <c r="B286" t="s">
        <v>144</v>
      </c>
      <c r="C286" t="s">
        <v>142</v>
      </c>
      <c r="D286" t="s">
        <v>139</v>
      </c>
    </row>
    <row r="287" spans="1:4">
      <c r="A287">
        <v>20180819</v>
      </c>
      <c r="B287" t="s">
        <v>144</v>
      </c>
      <c r="C287" t="s">
        <v>142</v>
      </c>
      <c r="D287" t="s">
        <v>139</v>
      </c>
    </row>
    <row r="288" spans="1:4">
      <c r="A288">
        <v>20180825</v>
      </c>
      <c r="B288" t="s">
        <v>144</v>
      </c>
      <c r="C288" t="s">
        <v>142</v>
      </c>
      <c r="D288" t="s">
        <v>139</v>
      </c>
    </row>
    <row r="289" spans="1:4">
      <c r="A289">
        <v>20180826</v>
      </c>
      <c r="B289" t="s">
        <v>144</v>
      </c>
      <c r="C289" t="s">
        <v>142</v>
      </c>
      <c r="D289" t="s">
        <v>139</v>
      </c>
    </row>
    <row r="290" spans="1:4">
      <c r="A290">
        <v>20180901</v>
      </c>
      <c r="B290" t="s">
        <v>144</v>
      </c>
      <c r="C290" t="s">
        <v>142</v>
      </c>
      <c r="D290" t="s">
        <v>139</v>
      </c>
    </row>
    <row r="291" spans="1:4">
      <c r="A291">
        <v>20180902</v>
      </c>
      <c r="B291" t="s">
        <v>144</v>
      </c>
      <c r="C291" t="s">
        <v>142</v>
      </c>
      <c r="D291" t="s">
        <v>139</v>
      </c>
    </row>
    <row r="292" spans="1:4">
      <c r="A292">
        <v>20180908</v>
      </c>
      <c r="B292" t="s">
        <v>128</v>
      </c>
      <c r="C292" t="s">
        <v>140</v>
      </c>
    </row>
    <row r="293" spans="1:4">
      <c r="A293">
        <v>20180909</v>
      </c>
      <c r="B293" t="s">
        <v>128</v>
      </c>
      <c r="C293" t="s">
        <v>140</v>
      </c>
    </row>
    <row r="294" spans="1:4">
      <c r="A294">
        <v>20180915</v>
      </c>
      <c r="B294" t="s">
        <v>128</v>
      </c>
      <c r="C294" t="s">
        <v>140</v>
      </c>
    </row>
    <row r="295" spans="1:4">
      <c r="A295">
        <v>20180916</v>
      </c>
      <c r="B295" t="s">
        <v>128</v>
      </c>
      <c r="C295" t="s">
        <v>140</v>
      </c>
    </row>
    <row r="296" spans="1:4">
      <c r="A296">
        <v>20180917</v>
      </c>
      <c r="B296" t="s">
        <v>128</v>
      </c>
      <c r="C296" t="s">
        <v>140</v>
      </c>
    </row>
    <row r="297" spans="1:4">
      <c r="A297">
        <v>20180922</v>
      </c>
      <c r="B297" t="s">
        <v>128</v>
      </c>
      <c r="C297" t="s">
        <v>140</v>
      </c>
    </row>
    <row r="298" spans="1:4">
      <c r="A298">
        <v>20180923</v>
      </c>
      <c r="B298" t="s">
        <v>128</v>
      </c>
      <c r="C298" t="s">
        <v>140</v>
      </c>
    </row>
    <row r="299" spans="1:4">
      <c r="A299">
        <v>20180929</v>
      </c>
      <c r="B299" t="s">
        <v>128</v>
      </c>
      <c r="C299" t="s">
        <v>140</v>
      </c>
    </row>
    <row r="300" spans="1:4">
      <c r="A300">
        <v>20180930</v>
      </c>
      <c r="B300" t="s">
        <v>128</v>
      </c>
      <c r="C300" t="s">
        <v>140</v>
      </c>
    </row>
    <row r="301" spans="1:4">
      <c r="A301">
        <v>20181001</v>
      </c>
      <c r="B301" t="s">
        <v>140</v>
      </c>
    </row>
    <row r="302" spans="1:4">
      <c r="A302">
        <v>20181002</v>
      </c>
      <c r="B302" t="s">
        <v>140</v>
      </c>
    </row>
    <row r="303" spans="1:4">
      <c r="A303">
        <v>20181006</v>
      </c>
      <c r="B303" t="s">
        <v>138</v>
      </c>
      <c r="C303" t="s">
        <v>136</v>
      </c>
    </row>
    <row r="304" spans="1:4">
      <c r="A304">
        <v>20181007</v>
      </c>
      <c r="B304" t="s">
        <v>138</v>
      </c>
      <c r="C304" t="s">
        <v>136</v>
      </c>
    </row>
    <row r="305" spans="1:4">
      <c r="A305">
        <v>20181008</v>
      </c>
      <c r="B305" t="s">
        <v>138</v>
      </c>
      <c r="C305" t="s">
        <v>136</v>
      </c>
    </row>
    <row r="306" spans="1:4">
      <c r="A306">
        <v>20181013</v>
      </c>
      <c r="B306" t="s">
        <v>142</v>
      </c>
      <c r="C306" t="s">
        <v>138</v>
      </c>
      <c r="D306" t="s">
        <v>136</v>
      </c>
    </row>
    <row r="307" spans="1:4">
      <c r="A307">
        <v>20181014</v>
      </c>
      <c r="B307" t="s">
        <v>142</v>
      </c>
      <c r="C307" t="s">
        <v>138</v>
      </c>
      <c r="D307" t="s">
        <v>136</v>
      </c>
    </row>
    <row r="308" spans="1:4">
      <c r="A308">
        <v>20181020</v>
      </c>
      <c r="B308" t="s">
        <v>142</v>
      </c>
      <c r="C308" t="s">
        <v>138</v>
      </c>
      <c r="D308" t="s">
        <v>136</v>
      </c>
    </row>
    <row r="309" spans="1:4">
      <c r="A309">
        <v>20181021</v>
      </c>
      <c r="B309" t="s">
        <v>142</v>
      </c>
      <c r="C309" t="s">
        <v>138</v>
      </c>
      <c r="D309" t="s">
        <v>136</v>
      </c>
    </row>
    <row r="310" spans="1:4">
      <c r="A310">
        <v>20181027</v>
      </c>
      <c r="B310" t="s">
        <v>142</v>
      </c>
      <c r="C310" t="s">
        <v>138</v>
      </c>
      <c r="D310" t="s">
        <v>136</v>
      </c>
    </row>
    <row r="311" spans="1:4">
      <c r="A311">
        <v>20181028</v>
      </c>
      <c r="B311" t="s">
        <v>142</v>
      </c>
      <c r="C311" t="s">
        <v>138</v>
      </c>
      <c r="D311" t="s">
        <v>136</v>
      </c>
    </row>
    <row r="312" spans="1:4">
      <c r="A312">
        <v>20181103</v>
      </c>
      <c r="B312" t="s">
        <v>141</v>
      </c>
      <c r="C312" t="s">
        <v>138</v>
      </c>
      <c r="D312" t="s">
        <v>136</v>
      </c>
    </row>
    <row r="313" spans="1:4">
      <c r="A313">
        <v>20181104</v>
      </c>
      <c r="B313" t="s">
        <v>141</v>
      </c>
      <c r="C313" t="s">
        <v>138</v>
      </c>
      <c r="D313" t="s">
        <v>136</v>
      </c>
    </row>
    <row r="314" spans="1:4">
      <c r="A314">
        <v>20181110</v>
      </c>
      <c r="B314" t="s">
        <v>141</v>
      </c>
      <c r="C314" t="s">
        <v>138</v>
      </c>
      <c r="D314" t="s">
        <v>136</v>
      </c>
    </row>
    <row r="315" spans="1:4">
      <c r="A315">
        <v>20181111</v>
      </c>
      <c r="B315" t="s">
        <v>141</v>
      </c>
      <c r="C315" t="s">
        <v>138</v>
      </c>
      <c r="D315" t="s">
        <v>136</v>
      </c>
    </row>
    <row r="316" spans="1:4">
      <c r="A316">
        <v>20181117</v>
      </c>
      <c r="B316" t="s">
        <v>141</v>
      </c>
      <c r="C316" t="s">
        <v>138</v>
      </c>
      <c r="D316" t="s">
        <v>136</v>
      </c>
    </row>
    <row r="317" spans="1:4">
      <c r="A317">
        <v>20181118</v>
      </c>
      <c r="B317" t="s">
        <v>141</v>
      </c>
      <c r="C317" t="s">
        <v>138</v>
      </c>
      <c r="D317" t="s">
        <v>136</v>
      </c>
    </row>
    <row r="318" spans="1:4">
      <c r="A318">
        <v>20181124</v>
      </c>
      <c r="B318" t="s">
        <v>138</v>
      </c>
      <c r="C318" t="s">
        <v>136</v>
      </c>
    </row>
    <row r="319" spans="1:4">
      <c r="A319">
        <v>20181125</v>
      </c>
      <c r="B319" t="s">
        <v>138</v>
      </c>
      <c r="C319" t="s">
        <v>136</v>
      </c>
    </row>
    <row r="320" spans="1:4">
      <c r="A320">
        <v>20181201</v>
      </c>
      <c r="B320" t="s">
        <v>128</v>
      </c>
      <c r="C320" t="s">
        <v>137</v>
      </c>
      <c r="D320" t="s">
        <v>140</v>
      </c>
    </row>
    <row r="321" spans="1:4">
      <c r="A321">
        <v>20181202</v>
      </c>
      <c r="B321" t="s">
        <v>128</v>
      </c>
      <c r="C321" t="s">
        <v>137</v>
      </c>
      <c r="D321" t="s">
        <v>140</v>
      </c>
    </row>
    <row r="322" spans="1:4">
      <c r="A322">
        <v>20181208</v>
      </c>
      <c r="B322" t="s">
        <v>128</v>
      </c>
      <c r="C322" t="s">
        <v>137</v>
      </c>
      <c r="D322" t="s">
        <v>140</v>
      </c>
    </row>
    <row r="323" spans="1:4">
      <c r="A323">
        <v>20181209</v>
      </c>
      <c r="B323" t="s">
        <v>128</v>
      </c>
      <c r="C323" t="s">
        <v>137</v>
      </c>
      <c r="D323" t="s">
        <v>140</v>
      </c>
    </row>
    <row r="324" spans="1:4">
      <c r="A324">
        <v>20181215</v>
      </c>
      <c r="B324" t="s">
        <v>128</v>
      </c>
      <c r="C324" t="s">
        <v>137</v>
      </c>
      <c r="D324" t="s">
        <v>140</v>
      </c>
    </row>
    <row r="325" spans="1:4">
      <c r="A325">
        <v>20181216</v>
      </c>
      <c r="B325" t="s">
        <v>128</v>
      </c>
      <c r="C325" t="s">
        <v>137</v>
      </c>
      <c r="D325" t="s">
        <v>140</v>
      </c>
    </row>
    <row r="326" spans="1:4">
      <c r="A326">
        <v>20181222</v>
      </c>
      <c r="B326" t="s">
        <v>128</v>
      </c>
      <c r="C326" t="s">
        <v>140</v>
      </c>
    </row>
    <row r="327" spans="1:4">
      <c r="A327">
        <v>20181223</v>
      </c>
      <c r="B327" t="s">
        <v>128</v>
      </c>
      <c r="C327" t="s">
        <v>140</v>
      </c>
    </row>
    <row r="328" spans="1:4">
      <c r="A328">
        <v>20181228</v>
      </c>
      <c r="B328" t="s">
        <v>128</v>
      </c>
      <c r="C328" t="s">
        <v>140</v>
      </c>
    </row>
    <row r="329" spans="1:4">
      <c r="A329">
        <v>20190105</v>
      </c>
      <c r="B329" t="s">
        <v>128</v>
      </c>
      <c r="C329" t="s">
        <v>136</v>
      </c>
    </row>
    <row r="330" spans="1:4">
      <c r="A330">
        <v>20190106</v>
      </c>
      <c r="B330" t="s">
        <v>128</v>
      </c>
      <c r="C330" t="s">
        <v>136</v>
      </c>
    </row>
    <row r="331" spans="1:4">
      <c r="A331">
        <v>20190112</v>
      </c>
      <c r="B331" t="s">
        <v>128</v>
      </c>
      <c r="C331" t="s">
        <v>136</v>
      </c>
    </row>
    <row r="332" spans="1:4">
      <c r="A332">
        <v>20190113</v>
      </c>
      <c r="B332" t="s">
        <v>128</v>
      </c>
      <c r="C332" t="s">
        <v>136</v>
      </c>
    </row>
    <row r="333" spans="1:4">
      <c r="A333">
        <v>20190114</v>
      </c>
      <c r="B333" t="s">
        <v>128</v>
      </c>
      <c r="C333" t="s">
        <v>136</v>
      </c>
    </row>
    <row r="334" spans="1:4">
      <c r="A334">
        <v>20190119</v>
      </c>
      <c r="B334" t="s">
        <v>128</v>
      </c>
      <c r="C334" t="s">
        <v>137</v>
      </c>
      <c r="D334" t="s">
        <v>136</v>
      </c>
    </row>
    <row r="335" spans="1:4">
      <c r="A335">
        <v>20190120</v>
      </c>
      <c r="B335" t="s">
        <v>128</v>
      </c>
      <c r="C335" t="s">
        <v>137</v>
      </c>
      <c r="D335" t="s">
        <v>136</v>
      </c>
    </row>
    <row r="336" spans="1:4">
      <c r="A336">
        <v>20190126</v>
      </c>
      <c r="B336" t="s">
        <v>138</v>
      </c>
      <c r="C336" t="s">
        <v>137</v>
      </c>
      <c r="D336" t="s">
        <v>136</v>
      </c>
    </row>
    <row r="337" spans="1:4">
      <c r="A337">
        <v>20190127</v>
      </c>
      <c r="B337" t="s">
        <v>138</v>
      </c>
      <c r="C337" t="s">
        <v>137</v>
      </c>
      <c r="D337" t="s">
        <v>136</v>
      </c>
    </row>
    <row r="338" spans="1:4">
      <c r="A338">
        <v>20190202</v>
      </c>
      <c r="B338" t="s">
        <v>138</v>
      </c>
      <c r="C338" t="s">
        <v>137</v>
      </c>
      <c r="D338" t="s">
        <v>136</v>
      </c>
    </row>
    <row r="339" spans="1:4">
      <c r="A339">
        <v>20190203</v>
      </c>
      <c r="B339" t="s">
        <v>138</v>
      </c>
      <c r="C339" t="s">
        <v>137</v>
      </c>
      <c r="D339" t="s">
        <v>136</v>
      </c>
    </row>
    <row r="340" spans="1:4">
      <c r="A340">
        <v>20190209</v>
      </c>
      <c r="B340" t="s">
        <v>138</v>
      </c>
      <c r="C340" t="s">
        <v>136</v>
      </c>
      <c r="D340" t="s">
        <v>139</v>
      </c>
    </row>
    <row r="341" spans="1:4">
      <c r="A341">
        <v>20190210</v>
      </c>
      <c r="B341" t="s">
        <v>138</v>
      </c>
      <c r="C341" t="s">
        <v>136</v>
      </c>
      <c r="D341" t="s">
        <v>139</v>
      </c>
    </row>
    <row r="342" spans="1:4">
      <c r="A342">
        <v>20190211</v>
      </c>
      <c r="B342" t="s">
        <v>138</v>
      </c>
    </row>
    <row r="343" spans="1:4">
      <c r="A343">
        <v>20190216</v>
      </c>
      <c r="B343" t="s">
        <v>138</v>
      </c>
      <c r="C343" t="s">
        <v>136</v>
      </c>
      <c r="D343" t="s">
        <v>139</v>
      </c>
    </row>
    <row r="344" spans="1:4">
      <c r="A344">
        <v>20190217</v>
      </c>
      <c r="B344" t="s">
        <v>138</v>
      </c>
      <c r="C344" t="s">
        <v>136</v>
      </c>
      <c r="D344" t="s">
        <v>139</v>
      </c>
    </row>
    <row r="345" spans="1:4">
      <c r="A345">
        <v>20190223</v>
      </c>
      <c r="B345" t="s">
        <v>128</v>
      </c>
      <c r="C345" t="s">
        <v>140</v>
      </c>
      <c r="D345" t="s">
        <v>139</v>
      </c>
    </row>
    <row r="346" spans="1:4">
      <c r="A346">
        <v>20190224</v>
      </c>
      <c r="B346" t="s">
        <v>128</v>
      </c>
      <c r="C346" t="s">
        <v>140</v>
      </c>
      <c r="D346" t="s">
        <v>139</v>
      </c>
    </row>
    <row r="347" spans="1:4">
      <c r="A347">
        <v>20190302</v>
      </c>
      <c r="B347" t="s">
        <v>128</v>
      </c>
      <c r="C347" t="s">
        <v>140</v>
      </c>
      <c r="D347" t="s">
        <v>139</v>
      </c>
    </row>
    <row r="348" spans="1:4">
      <c r="A348">
        <v>20190303</v>
      </c>
      <c r="B348" t="s">
        <v>128</v>
      </c>
      <c r="C348" t="s">
        <v>140</v>
      </c>
      <c r="D348" t="s">
        <v>139</v>
      </c>
    </row>
    <row r="349" spans="1:4">
      <c r="A349">
        <v>20190309</v>
      </c>
      <c r="B349" t="s">
        <v>128</v>
      </c>
      <c r="C349" t="s">
        <v>137</v>
      </c>
      <c r="D349" t="s">
        <v>140</v>
      </c>
    </row>
    <row r="350" spans="1:4">
      <c r="A350">
        <v>20190310</v>
      </c>
      <c r="B350" t="s">
        <v>128</v>
      </c>
      <c r="C350" t="s">
        <v>137</v>
      </c>
      <c r="D350" t="s">
        <v>140</v>
      </c>
    </row>
    <row r="351" spans="1:4">
      <c r="A351">
        <v>20190316</v>
      </c>
      <c r="B351" t="s">
        <v>128</v>
      </c>
      <c r="C351" t="s">
        <v>137</v>
      </c>
      <c r="D351" t="s">
        <v>140</v>
      </c>
    </row>
    <row r="352" spans="1:4">
      <c r="A352">
        <v>20190317</v>
      </c>
      <c r="B352" t="s">
        <v>128</v>
      </c>
      <c r="C352" t="s">
        <v>137</v>
      </c>
      <c r="D352" t="s">
        <v>140</v>
      </c>
    </row>
    <row r="353" spans="1:4">
      <c r="A353">
        <v>20190323</v>
      </c>
      <c r="B353" t="s">
        <v>128</v>
      </c>
      <c r="C353" t="s">
        <v>137</v>
      </c>
      <c r="D353" t="s">
        <v>140</v>
      </c>
    </row>
    <row r="354" spans="1:4">
      <c r="A354">
        <v>20190324</v>
      </c>
      <c r="B354" t="s">
        <v>128</v>
      </c>
      <c r="C354" t="s">
        <v>137</v>
      </c>
      <c r="D354" t="s">
        <v>140</v>
      </c>
    </row>
    <row r="355" spans="1:4">
      <c r="A355">
        <v>20190330</v>
      </c>
      <c r="B355" t="s">
        <v>128</v>
      </c>
      <c r="C355" t="s">
        <v>140</v>
      </c>
    </row>
    <row r="356" spans="1:4">
      <c r="A356">
        <v>20190331</v>
      </c>
      <c r="B356" t="s">
        <v>128</v>
      </c>
      <c r="C356" t="s">
        <v>140</v>
      </c>
    </row>
    <row r="357" spans="1:4">
      <c r="A357">
        <v>20190406</v>
      </c>
      <c r="B357" t="s">
        <v>141</v>
      </c>
      <c r="C357" t="s">
        <v>128</v>
      </c>
      <c r="D357" t="s">
        <v>140</v>
      </c>
    </row>
    <row r="358" spans="1:4">
      <c r="A358">
        <v>20190407</v>
      </c>
      <c r="B358" t="s">
        <v>141</v>
      </c>
      <c r="C358" t="s">
        <v>128</v>
      </c>
      <c r="D358" t="s">
        <v>140</v>
      </c>
    </row>
    <row r="359" spans="1:4">
      <c r="A359">
        <v>20190413</v>
      </c>
      <c r="B359" t="s">
        <v>141</v>
      </c>
      <c r="C359" t="s">
        <v>128</v>
      </c>
      <c r="D359" t="s">
        <v>140</v>
      </c>
    </row>
    <row r="360" spans="1:4">
      <c r="A360">
        <v>20190414</v>
      </c>
      <c r="B360" t="s">
        <v>141</v>
      </c>
      <c r="C360" t="s">
        <v>128</v>
      </c>
      <c r="D360" t="s">
        <v>140</v>
      </c>
    </row>
    <row r="361" spans="1:4">
      <c r="A361">
        <v>20190420</v>
      </c>
      <c r="B361" t="s">
        <v>141</v>
      </c>
      <c r="C361" t="s">
        <v>138</v>
      </c>
      <c r="D361" t="s">
        <v>136</v>
      </c>
    </row>
    <row r="362" spans="1:4">
      <c r="A362">
        <v>20190421</v>
      </c>
      <c r="B362" t="s">
        <v>141</v>
      </c>
      <c r="C362" t="s">
        <v>138</v>
      </c>
      <c r="D362" t="s">
        <v>136</v>
      </c>
    </row>
    <row r="363" spans="1:4">
      <c r="A363">
        <v>20190427</v>
      </c>
      <c r="B363" t="s">
        <v>142</v>
      </c>
      <c r="C363" t="s">
        <v>138</v>
      </c>
    </row>
    <row r="364" spans="1:4">
      <c r="A364">
        <v>20190428</v>
      </c>
      <c r="B364" t="s">
        <v>138</v>
      </c>
      <c r="C364" t="s">
        <v>136</v>
      </c>
    </row>
    <row r="365" spans="1:4">
      <c r="A365">
        <v>20190429</v>
      </c>
      <c r="B365" t="s">
        <v>142</v>
      </c>
      <c r="C365" t="s">
        <v>136</v>
      </c>
    </row>
    <row r="366" spans="1:4">
      <c r="A366">
        <v>20190504</v>
      </c>
      <c r="B366" t="s">
        <v>142</v>
      </c>
      <c r="C366" t="s">
        <v>138</v>
      </c>
      <c r="D366" t="s">
        <v>136</v>
      </c>
    </row>
    <row r="367" spans="1:4">
      <c r="A367">
        <v>20190505</v>
      </c>
      <c r="B367" t="s">
        <v>142</v>
      </c>
      <c r="C367" t="s">
        <v>138</v>
      </c>
      <c r="D367" t="s">
        <v>136</v>
      </c>
    </row>
    <row r="368" spans="1:4">
      <c r="A368">
        <v>20190511</v>
      </c>
      <c r="B368" t="s">
        <v>142</v>
      </c>
      <c r="C368" t="s">
        <v>138</v>
      </c>
      <c r="D368" t="s">
        <v>136</v>
      </c>
    </row>
    <row r="369" spans="1:4">
      <c r="A369">
        <v>20190512</v>
      </c>
      <c r="B369" t="s">
        <v>142</v>
      </c>
      <c r="C369" t="s">
        <v>138</v>
      </c>
      <c r="D369" t="s">
        <v>136</v>
      </c>
    </row>
    <row r="370" spans="1:4">
      <c r="A370">
        <v>20190518</v>
      </c>
      <c r="B370" t="s">
        <v>142</v>
      </c>
      <c r="C370" t="s">
        <v>138</v>
      </c>
      <c r="D370" t="s">
        <v>136</v>
      </c>
    </row>
    <row r="371" spans="1:4">
      <c r="A371">
        <v>20190519</v>
      </c>
      <c r="B371" t="s">
        <v>142</v>
      </c>
      <c r="C371" t="s">
        <v>138</v>
      </c>
      <c r="D371" t="s">
        <v>136</v>
      </c>
    </row>
    <row r="372" spans="1:4">
      <c r="A372">
        <v>20190525</v>
      </c>
      <c r="B372" t="s">
        <v>138</v>
      </c>
      <c r="C372" t="s">
        <v>136</v>
      </c>
    </row>
    <row r="373" spans="1:4">
      <c r="A373">
        <v>20190526</v>
      </c>
      <c r="B373" t="s">
        <v>138</v>
      </c>
      <c r="C373" t="s">
        <v>136</v>
      </c>
    </row>
    <row r="374" spans="1:4">
      <c r="A374">
        <v>20190601</v>
      </c>
      <c r="B374" t="s">
        <v>138</v>
      </c>
      <c r="C374" t="s">
        <v>140</v>
      </c>
    </row>
    <row r="375" spans="1:4">
      <c r="A375">
        <v>20190602</v>
      </c>
      <c r="B375" t="s">
        <v>138</v>
      </c>
      <c r="C375" t="s">
        <v>140</v>
      </c>
    </row>
    <row r="376" spans="1:4">
      <c r="A376">
        <v>20190608</v>
      </c>
      <c r="B376" t="s">
        <v>138</v>
      </c>
      <c r="C376" t="s">
        <v>140</v>
      </c>
    </row>
    <row r="377" spans="1:4">
      <c r="A377">
        <v>20190609</v>
      </c>
      <c r="B377" t="s">
        <v>138</v>
      </c>
      <c r="C377" t="s">
        <v>140</v>
      </c>
    </row>
    <row r="378" spans="1:4">
      <c r="A378">
        <v>20190615</v>
      </c>
      <c r="B378" t="s">
        <v>143</v>
      </c>
      <c r="C378" t="s">
        <v>138</v>
      </c>
      <c r="D378" t="s">
        <v>140</v>
      </c>
    </row>
    <row r="379" spans="1:4">
      <c r="A379">
        <v>20190616</v>
      </c>
      <c r="B379" t="s">
        <v>143</v>
      </c>
      <c r="C379" t="s">
        <v>138</v>
      </c>
      <c r="D379" t="s">
        <v>140</v>
      </c>
    </row>
    <row r="380" spans="1:4">
      <c r="A380">
        <v>20190622</v>
      </c>
      <c r="B380" t="s">
        <v>143</v>
      </c>
      <c r="C380" t="s">
        <v>138</v>
      </c>
      <c r="D380" t="s">
        <v>140</v>
      </c>
    </row>
    <row r="381" spans="1:4">
      <c r="A381">
        <v>20190623</v>
      </c>
      <c r="B381" t="s">
        <v>143</v>
      </c>
      <c r="C381" t="s">
        <v>138</v>
      </c>
      <c r="D381" t="s">
        <v>140</v>
      </c>
    </row>
    <row r="382" spans="1:4">
      <c r="A382">
        <v>20190629</v>
      </c>
      <c r="B382" t="s">
        <v>143</v>
      </c>
      <c r="C382" t="s">
        <v>141</v>
      </c>
      <c r="D382" t="s">
        <v>137</v>
      </c>
    </row>
    <row r="383" spans="1:4">
      <c r="A383">
        <v>20190630</v>
      </c>
      <c r="B383" t="s">
        <v>143</v>
      </c>
      <c r="C383" t="s">
        <v>141</v>
      </c>
      <c r="D383" t="s">
        <v>137</v>
      </c>
    </row>
    <row r="384" spans="1:4">
      <c r="A384">
        <v>20190706</v>
      </c>
      <c r="B384" t="s">
        <v>143</v>
      </c>
      <c r="C384" t="s">
        <v>141</v>
      </c>
      <c r="D384" t="s">
        <v>137</v>
      </c>
    </row>
    <row r="385" spans="1:4">
      <c r="A385">
        <v>20190707</v>
      </c>
      <c r="B385" t="s">
        <v>143</v>
      </c>
      <c r="C385" t="s">
        <v>141</v>
      </c>
      <c r="D385" t="s">
        <v>137</v>
      </c>
    </row>
    <row r="386" spans="1:4">
      <c r="A386">
        <v>20190713</v>
      </c>
      <c r="B386" t="s">
        <v>143</v>
      </c>
      <c r="C386" t="s">
        <v>141</v>
      </c>
      <c r="D386" t="s">
        <v>137</v>
      </c>
    </row>
    <row r="387" spans="1:4">
      <c r="A387">
        <v>20190714</v>
      </c>
      <c r="B387" t="s">
        <v>143</v>
      </c>
      <c r="C387" t="s">
        <v>141</v>
      </c>
      <c r="D387" t="s">
        <v>137</v>
      </c>
    </row>
    <row r="388" spans="1:4">
      <c r="A388">
        <v>20190720</v>
      </c>
      <c r="B388" t="s">
        <v>143</v>
      </c>
      <c r="C388" t="s">
        <v>141</v>
      </c>
      <c r="D388" t="s">
        <v>137</v>
      </c>
    </row>
    <row r="389" spans="1:4">
      <c r="A389">
        <v>20190721</v>
      </c>
      <c r="B389" t="s">
        <v>143</v>
      </c>
      <c r="C389" t="s">
        <v>141</v>
      </c>
      <c r="D389" t="s">
        <v>137</v>
      </c>
    </row>
    <row r="390" spans="1:4">
      <c r="A390">
        <v>20190727</v>
      </c>
      <c r="B390" t="s">
        <v>144</v>
      </c>
      <c r="C390" t="s">
        <v>142</v>
      </c>
      <c r="D390" t="s">
        <v>139</v>
      </c>
    </row>
    <row r="391" spans="1:4">
      <c r="A391">
        <v>20190728</v>
      </c>
      <c r="B391" t="s">
        <v>144</v>
      </c>
      <c r="C391" t="s">
        <v>142</v>
      </c>
      <c r="D391" t="s">
        <v>139</v>
      </c>
    </row>
    <row r="392" spans="1:4">
      <c r="A392">
        <v>20190803</v>
      </c>
      <c r="B392" t="s">
        <v>144</v>
      </c>
      <c r="C392" t="s">
        <v>142</v>
      </c>
      <c r="D392" t="s">
        <v>139</v>
      </c>
    </row>
    <row r="393" spans="1:4">
      <c r="A393">
        <v>20190804</v>
      </c>
      <c r="B393" t="s">
        <v>144</v>
      </c>
      <c r="C393" t="s">
        <v>142</v>
      </c>
      <c r="D393" t="s">
        <v>139</v>
      </c>
    </row>
    <row r="394" spans="1:4">
      <c r="A394">
        <v>20190810</v>
      </c>
      <c r="B394" t="s">
        <v>144</v>
      </c>
      <c r="C394" t="s">
        <v>142</v>
      </c>
      <c r="D394" t="s">
        <v>139</v>
      </c>
    </row>
    <row r="395" spans="1:4">
      <c r="A395">
        <v>20190811</v>
      </c>
      <c r="B395" t="s">
        <v>144</v>
      </c>
      <c r="C395" t="s">
        <v>142</v>
      </c>
      <c r="D395" t="s">
        <v>139</v>
      </c>
    </row>
    <row r="396" spans="1:4">
      <c r="A396">
        <v>20190817</v>
      </c>
      <c r="B396" t="s">
        <v>144</v>
      </c>
      <c r="C396" t="s">
        <v>142</v>
      </c>
      <c r="D396" t="s">
        <v>139</v>
      </c>
    </row>
    <row r="397" spans="1:4">
      <c r="A397">
        <v>20190818</v>
      </c>
      <c r="B397" t="s">
        <v>144</v>
      </c>
      <c r="C397" t="s">
        <v>142</v>
      </c>
      <c r="D397" t="s">
        <v>139</v>
      </c>
    </row>
    <row r="398" spans="1:4">
      <c r="A398">
        <v>20190824</v>
      </c>
      <c r="B398" t="s">
        <v>144</v>
      </c>
      <c r="C398" t="s">
        <v>142</v>
      </c>
      <c r="D398" t="s">
        <v>139</v>
      </c>
    </row>
    <row r="399" spans="1:4">
      <c r="A399">
        <v>20190825</v>
      </c>
      <c r="B399" t="s">
        <v>144</v>
      </c>
      <c r="C399" t="s">
        <v>142</v>
      </c>
      <c r="D399" t="s">
        <v>139</v>
      </c>
    </row>
    <row r="400" spans="1:4">
      <c r="A400">
        <v>20190831</v>
      </c>
      <c r="B400" t="s">
        <v>144</v>
      </c>
      <c r="C400" t="s">
        <v>142</v>
      </c>
      <c r="D400" t="s">
        <v>139</v>
      </c>
    </row>
    <row r="401" spans="1:4">
      <c r="A401">
        <v>20190901</v>
      </c>
      <c r="B401" t="s">
        <v>144</v>
      </c>
      <c r="C401" t="s">
        <v>142</v>
      </c>
      <c r="D401" t="s">
        <v>139</v>
      </c>
    </row>
    <row r="402" spans="1:4">
      <c r="A402">
        <v>20190907</v>
      </c>
      <c r="B402" t="s">
        <v>128</v>
      </c>
      <c r="C402" t="s">
        <v>140</v>
      </c>
    </row>
    <row r="403" spans="1:4">
      <c r="A403">
        <v>20190908</v>
      </c>
      <c r="B403" t="s">
        <v>128</v>
      </c>
      <c r="C403" t="s">
        <v>140</v>
      </c>
    </row>
    <row r="404" spans="1:4">
      <c r="A404">
        <v>20190914</v>
      </c>
      <c r="B404" t="s">
        <v>128</v>
      </c>
      <c r="C404" t="s">
        <v>140</v>
      </c>
    </row>
    <row r="405" spans="1:4">
      <c r="A405">
        <v>20190915</v>
      </c>
      <c r="B405" t="s">
        <v>128</v>
      </c>
      <c r="C405" t="s">
        <v>140</v>
      </c>
    </row>
    <row r="406" spans="1:4">
      <c r="A406">
        <v>20190916</v>
      </c>
      <c r="B406" t="s">
        <v>128</v>
      </c>
      <c r="C406" t="s">
        <v>140</v>
      </c>
    </row>
    <row r="407" spans="1:4">
      <c r="A407">
        <v>20190921</v>
      </c>
      <c r="B407" t="s">
        <v>128</v>
      </c>
      <c r="C407" t="s">
        <v>140</v>
      </c>
    </row>
    <row r="408" spans="1:4">
      <c r="A408">
        <v>20190922</v>
      </c>
      <c r="B408" t="s">
        <v>128</v>
      </c>
      <c r="C408" t="s">
        <v>140</v>
      </c>
    </row>
    <row r="409" spans="1:4">
      <c r="A409">
        <v>20190928</v>
      </c>
      <c r="B409" t="s">
        <v>128</v>
      </c>
      <c r="C409" t="s">
        <v>140</v>
      </c>
    </row>
    <row r="410" spans="1:4">
      <c r="A410">
        <v>20190929</v>
      </c>
      <c r="B410" t="s">
        <v>128</v>
      </c>
      <c r="C410" t="s">
        <v>140</v>
      </c>
    </row>
    <row r="411" spans="1:4">
      <c r="A411">
        <v>20191005</v>
      </c>
      <c r="B411" t="s">
        <v>142</v>
      </c>
      <c r="C411" t="s">
        <v>138</v>
      </c>
      <c r="D411" t="s">
        <v>136</v>
      </c>
    </row>
    <row r="412" spans="1:4">
      <c r="A412">
        <v>20191006</v>
      </c>
      <c r="B412" t="s">
        <v>142</v>
      </c>
      <c r="C412" t="s">
        <v>138</v>
      </c>
      <c r="D412" t="s">
        <v>136</v>
      </c>
    </row>
    <row r="413" spans="1:4">
      <c r="A413">
        <v>20191012</v>
      </c>
      <c r="B413" t="s">
        <v>138</v>
      </c>
      <c r="C413" t="s">
        <v>136</v>
      </c>
    </row>
    <row r="414" spans="1:4">
      <c r="A414">
        <v>20191013</v>
      </c>
      <c r="B414" t="s">
        <v>138</v>
      </c>
      <c r="C414" t="s">
        <v>136</v>
      </c>
    </row>
    <row r="415" spans="1:4">
      <c r="A415">
        <v>20191014</v>
      </c>
      <c r="B415" t="s">
        <v>138</v>
      </c>
      <c r="C415" t="s">
        <v>136</v>
      </c>
    </row>
    <row r="416" spans="1:4">
      <c r="A416">
        <v>20191015</v>
      </c>
      <c r="B416" t="s">
        <v>138</v>
      </c>
    </row>
    <row r="417" spans="1:4">
      <c r="A417">
        <v>20191019</v>
      </c>
      <c r="B417" t="s">
        <v>142</v>
      </c>
      <c r="C417" t="s">
        <v>138</v>
      </c>
      <c r="D417" t="s">
        <v>136</v>
      </c>
    </row>
    <row r="418" spans="1:4">
      <c r="A418">
        <v>20191020</v>
      </c>
      <c r="B418" t="s">
        <v>142</v>
      </c>
      <c r="C418" t="s">
        <v>138</v>
      </c>
      <c r="D418" t="s">
        <v>136</v>
      </c>
    </row>
    <row r="419" spans="1:4">
      <c r="A419">
        <v>20191021</v>
      </c>
      <c r="B419" t="s">
        <v>138</v>
      </c>
    </row>
    <row r="420" spans="1:4">
      <c r="A420">
        <v>20191026</v>
      </c>
      <c r="B420" t="s">
        <v>142</v>
      </c>
      <c r="C420" t="s">
        <v>138</v>
      </c>
      <c r="D420" t="s">
        <v>136</v>
      </c>
    </row>
    <row r="421" spans="1:4">
      <c r="A421">
        <v>20191027</v>
      </c>
      <c r="B421" t="s">
        <v>142</v>
      </c>
      <c r="C421" t="s">
        <v>138</v>
      </c>
      <c r="D421" t="s">
        <v>136</v>
      </c>
    </row>
    <row r="422" spans="1:4">
      <c r="A422">
        <v>20191102</v>
      </c>
      <c r="B422" t="s">
        <v>141</v>
      </c>
      <c r="C422" t="s">
        <v>138</v>
      </c>
      <c r="D422" t="s">
        <v>136</v>
      </c>
    </row>
    <row r="423" spans="1:4">
      <c r="A423">
        <v>20191103</v>
      </c>
      <c r="B423" t="s">
        <v>141</v>
      </c>
      <c r="C423" t="s">
        <v>138</v>
      </c>
      <c r="D423" t="s">
        <v>136</v>
      </c>
    </row>
    <row r="424" spans="1:4">
      <c r="A424">
        <v>20191109</v>
      </c>
      <c r="B424" t="s">
        <v>141</v>
      </c>
      <c r="C424" t="s">
        <v>138</v>
      </c>
      <c r="D424" t="s">
        <v>136</v>
      </c>
    </row>
    <row r="425" spans="1:4">
      <c r="A425">
        <v>20191110</v>
      </c>
      <c r="B425" t="s">
        <v>141</v>
      </c>
      <c r="C425" t="s">
        <v>138</v>
      </c>
      <c r="D425" t="s">
        <v>136</v>
      </c>
    </row>
    <row r="426" spans="1:4">
      <c r="A426">
        <v>20191116</v>
      </c>
      <c r="B426" t="s">
        <v>141</v>
      </c>
      <c r="C426" t="s">
        <v>138</v>
      </c>
      <c r="D426" t="s">
        <v>136</v>
      </c>
    </row>
    <row r="427" spans="1:4">
      <c r="A427">
        <v>20191117</v>
      </c>
      <c r="B427" t="s">
        <v>141</v>
      </c>
      <c r="C427" t="s">
        <v>138</v>
      </c>
      <c r="D427" t="s">
        <v>136</v>
      </c>
    </row>
    <row r="428" spans="1:4">
      <c r="A428">
        <v>20191123</v>
      </c>
      <c r="B428" t="s">
        <v>138</v>
      </c>
      <c r="C428" t="s">
        <v>136</v>
      </c>
    </row>
    <row r="429" spans="1:4">
      <c r="A429">
        <v>20191124</v>
      </c>
      <c r="B429" t="s">
        <v>138</v>
      </c>
      <c r="C429" t="s">
        <v>136</v>
      </c>
    </row>
    <row r="430" spans="1:4">
      <c r="A430">
        <v>20191130</v>
      </c>
      <c r="B430" t="s">
        <v>128</v>
      </c>
      <c r="C430" t="s">
        <v>137</v>
      </c>
      <c r="D430" t="s">
        <v>140</v>
      </c>
    </row>
    <row r="431" spans="1:4">
      <c r="A431">
        <v>20191201</v>
      </c>
      <c r="B431" t="s">
        <v>128</v>
      </c>
      <c r="C431" t="s">
        <v>137</v>
      </c>
      <c r="D431" t="s">
        <v>140</v>
      </c>
    </row>
    <row r="432" spans="1:4">
      <c r="A432">
        <v>20191207</v>
      </c>
      <c r="B432" t="s">
        <v>128</v>
      </c>
      <c r="C432" t="s">
        <v>137</v>
      </c>
      <c r="D432" t="s">
        <v>140</v>
      </c>
    </row>
    <row r="433" spans="1:4">
      <c r="A433">
        <v>20191208</v>
      </c>
      <c r="B433" t="s">
        <v>128</v>
      </c>
      <c r="C433" t="s">
        <v>137</v>
      </c>
      <c r="D433" t="s">
        <v>140</v>
      </c>
    </row>
    <row r="434" spans="1:4">
      <c r="A434">
        <v>20191214</v>
      </c>
      <c r="B434" t="s">
        <v>128</v>
      </c>
      <c r="C434" t="s">
        <v>137</v>
      </c>
      <c r="D434" t="s">
        <v>140</v>
      </c>
    </row>
    <row r="435" spans="1:4">
      <c r="A435">
        <v>20191215</v>
      </c>
      <c r="B435" t="s">
        <v>128</v>
      </c>
      <c r="C435" t="s">
        <v>137</v>
      </c>
      <c r="D435" t="s">
        <v>140</v>
      </c>
    </row>
    <row r="436" spans="1:4">
      <c r="A436">
        <v>20191221</v>
      </c>
      <c r="B436" t="s">
        <v>128</v>
      </c>
      <c r="C436" t="s">
        <v>140</v>
      </c>
    </row>
    <row r="437" spans="1:4">
      <c r="A437">
        <v>20191222</v>
      </c>
      <c r="B437" t="s">
        <v>128</v>
      </c>
      <c r="C437" t="s">
        <v>140</v>
      </c>
    </row>
    <row r="438" spans="1:4">
      <c r="A438">
        <v>20191228</v>
      </c>
      <c r="B438" t="s">
        <v>128</v>
      </c>
      <c r="C438" t="s">
        <v>140</v>
      </c>
    </row>
    <row r="439" spans="1:4">
      <c r="A439">
        <v>20200105</v>
      </c>
      <c r="B439" t="s">
        <v>147</v>
      </c>
      <c r="C439" t="s">
        <v>163</v>
      </c>
    </row>
    <row r="440" spans="1:4">
      <c r="A440">
        <v>20200106</v>
      </c>
      <c r="B440" t="s">
        <v>149</v>
      </c>
      <c r="C440" t="s">
        <v>163</v>
      </c>
    </row>
    <row r="441" spans="1:4">
      <c r="A441">
        <v>20200111</v>
      </c>
      <c r="B441" t="s">
        <v>149</v>
      </c>
      <c r="C441" t="s">
        <v>164</v>
      </c>
    </row>
    <row r="442" spans="1:4">
      <c r="A442">
        <v>20200112</v>
      </c>
      <c r="B442" t="s">
        <v>147</v>
      </c>
      <c r="C442" t="s">
        <v>163</v>
      </c>
    </row>
    <row r="443" spans="1:4">
      <c r="A443">
        <v>20200113</v>
      </c>
      <c r="B443" t="s">
        <v>147</v>
      </c>
      <c r="C443" t="s">
        <v>164</v>
      </c>
    </row>
    <row r="444" spans="1:4">
      <c r="A444">
        <v>20200118</v>
      </c>
      <c r="B444" t="s">
        <v>147</v>
      </c>
      <c r="C444" t="s">
        <v>163</v>
      </c>
      <c r="D444" t="s">
        <v>151</v>
      </c>
    </row>
    <row r="445" spans="1:4">
      <c r="A445">
        <v>20200119</v>
      </c>
      <c r="B445" t="s">
        <v>147</v>
      </c>
      <c r="C445" t="s">
        <v>163</v>
      </c>
      <c r="D445" t="s">
        <v>151</v>
      </c>
    </row>
    <row r="446" spans="1:4">
      <c r="A446">
        <v>20200125</v>
      </c>
      <c r="B446" t="s">
        <v>147</v>
      </c>
      <c r="C446" t="s">
        <v>163</v>
      </c>
      <c r="D446" t="s">
        <v>151</v>
      </c>
    </row>
    <row r="447" spans="1:4">
      <c r="A447">
        <v>20200126</v>
      </c>
      <c r="B447" t="s">
        <v>149</v>
      </c>
      <c r="C447" t="s">
        <v>163</v>
      </c>
      <c r="D447" t="s">
        <v>151</v>
      </c>
    </row>
    <row r="448" spans="1:4">
      <c r="A448">
        <v>20200201</v>
      </c>
      <c r="B448" t="s">
        <v>153</v>
      </c>
      <c r="C448" t="s">
        <v>163</v>
      </c>
      <c r="D448" t="s">
        <v>152</v>
      </c>
    </row>
    <row r="449" spans="1:4">
      <c r="A449">
        <v>20200202</v>
      </c>
      <c r="B449" t="s">
        <v>153</v>
      </c>
      <c r="C449" t="s">
        <v>163</v>
      </c>
      <c r="D449" t="s">
        <v>151</v>
      </c>
    </row>
    <row r="450" spans="1:4">
      <c r="A450">
        <v>20200208</v>
      </c>
      <c r="B450" t="s">
        <v>153</v>
      </c>
      <c r="C450" t="s">
        <v>163</v>
      </c>
      <c r="D450" t="s">
        <v>151</v>
      </c>
    </row>
    <row r="451" spans="1:4">
      <c r="A451">
        <v>20200209</v>
      </c>
      <c r="B451" t="s">
        <v>145</v>
      </c>
      <c r="C451" t="s">
        <v>163</v>
      </c>
      <c r="D451" t="s">
        <v>151</v>
      </c>
    </row>
    <row r="452" spans="1:4">
      <c r="A452">
        <v>20200215</v>
      </c>
      <c r="B452" t="s">
        <v>153</v>
      </c>
      <c r="C452" t="s">
        <v>163</v>
      </c>
      <c r="D452" t="s">
        <v>152</v>
      </c>
    </row>
    <row r="453" spans="1:4">
      <c r="A453">
        <v>20200216</v>
      </c>
      <c r="B453" t="s">
        <v>153</v>
      </c>
      <c r="C453" t="s">
        <v>164</v>
      </c>
      <c r="D453" t="s">
        <v>152</v>
      </c>
    </row>
    <row r="454" spans="1:4">
      <c r="A454">
        <v>20200222</v>
      </c>
      <c r="B454" t="s">
        <v>145</v>
      </c>
      <c r="C454" t="s">
        <v>163</v>
      </c>
      <c r="D454" t="s">
        <v>152</v>
      </c>
    </row>
    <row r="455" spans="1:4">
      <c r="A455">
        <v>20200223</v>
      </c>
      <c r="B455" t="s">
        <v>153</v>
      </c>
      <c r="C455" t="s">
        <v>163</v>
      </c>
      <c r="D455" t="s">
        <v>151</v>
      </c>
    </row>
    <row r="456" spans="1:4">
      <c r="A456">
        <v>20200229</v>
      </c>
      <c r="B456" t="s">
        <v>147</v>
      </c>
      <c r="C456" t="s">
        <v>150</v>
      </c>
      <c r="D456" t="s">
        <v>155</v>
      </c>
    </row>
    <row r="457" spans="1:4">
      <c r="A457">
        <v>20200301</v>
      </c>
      <c r="B457" t="s">
        <v>149</v>
      </c>
      <c r="C457" t="s">
        <v>148</v>
      </c>
      <c r="D457" t="s">
        <v>155</v>
      </c>
    </row>
    <row r="458" spans="1:4">
      <c r="A458">
        <v>20200307</v>
      </c>
      <c r="B458" t="s">
        <v>149</v>
      </c>
      <c r="C458" t="s">
        <v>148</v>
      </c>
      <c r="D458" t="s">
        <v>154</v>
      </c>
    </row>
    <row r="459" spans="1:4">
      <c r="A459">
        <v>20200308</v>
      </c>
      <c r="B459" t="s">
        <v>149</v>
      </c>
      <c r="C459" t="s">
        <v>150</v>
      </c>
      <c r="D459" t="s">
        <v>155</v>
      </c>
    </row>
    <row r="460" spans="1:4">
      <c r="A460">
        <v>20200314</v>
      </c>
      <c r="B460" t="s">
        <v>147</v>
      </c>
      <c r="C460" t="s">
        <v>148</v>
      </c>
      <c r="D460" t="s">
        <v>155</v>
      </c>
    </row>
    <row r="461" spans="1:4">
      <c r="A461">
        <v>20200315</v>
      </c>
      <c r="B461" t="s">
        <v>149</v>
      </c>
      <c r="C461" t="s">
        <v>148</v>
      </c>
      <c r="D461" t="s">
        <v>155</v>
      </c>
    </row>
    <row r="462" spans="1:4">
      <c r="A462">
        <v>20200320</v>
      </c>
      <c r="B462" t="s">
        <v>149</v>
      </c>
      <c r="C462" t="s">
        <v>155</v>
      </c>
    </row>
    <row r="463" spans="1:4">
      <c r="A463">
        <v>20200321</v>
      </c>
      <c r="B463" t="s">
        <v>149</v>
      </c>
      <c r="C463" t="s">
        <v>155</v>
      </c>
    </row>
    <row r="464" spans="1:4">
      <c r="A464">
        <v>20200322</v>
      </c>
      <c r="B464" t="s">
        <v>147</v>
      </c>
      <c r="C464" t="s">
        <v>155</v>
      </c>
    </row>
    <row r="465" spans="1:4">
      <c r="A465">
        <v>20200328</v>
      </c>
      <c r="B465" t="s">
        <v>147</v>
      </c>
      <c r="C465" t="s">
        <v>150</v>
      </c>
      <c r="D465" t="s">
        <v>154</v>
      </c>
    </row>
    <row r="466" spans="1:4">
      <c r="A466">
        <v>20200329</v>
      </c>
      <c r="B466" t="s">
        <v>147</v>
      </c>
      <c r="C466" t="s">
        <v>148</v>
      </c>
      <c r="D466" t="s">
        <v>155</v>
      </c>
    </row>
    <row r="467" spans="1:4">
      <c r="A467">
        <v>20200331</v>
      </c>
      <c r="B467" t="s">
        <v>128</v>
      </c>
    </row>
    <row r="468" spans="1:4">
      <c r="A468">
        <v>20200404</v>
      </c>
      <c r="B468" t="s">
        <v>147</v>
      </c>
      <c r="C468" t="s">
        <v>155</v>
      </c>
    </row>
    <row r="469" spans="1:4">
      <c r="A469">
        <v>20200405</v>
      </c>
      <c r="B469" t="s">
        <v>147</v>
      </c>
      <c r="C469" t="s">
        <v>154</v>
      </c>
    </row>
    <row r="470" spans="1:4">
      <c r="A470">
        <v>20200411</v>
      </c>
      <c r="B470" t="s">
        <v>157</v>
      </c>
      <c r="C470" t="s">
        <v>147</v>
      </c>
      <c r="D470" t="s">
        <v>155</v>
      </c>
    </row>
    <row r="471" spans="1:4">
      <c r="A471">
        <v>20200412</v>
      </c>
      <c r="B471" t="s">
        <v>156</v>
      </c>
      <c r="C471" t="s">
        <v>147</v>
      </c>
      <c r="D471" t="s">
        <v>155</v>
      </c>
    </row>
    <row r="472" spans="1:4">
      <c r="A472">
        <v>20200418</v>
      </c>
      <c r="B472" t="s">
        <v>156</v>
      </c>
      <c r="C472" t="s">
        <v>149</v>
      </c>
      <c r="D472" t="s">
        <v>154</v>
      </c>
    </row>
    <row r="473" spans="1:4">
      <c r="A473">
        <v>20200419</v>
      </c>
      <c r="B473" t="s">
        <v>157</v>
      </c>
      <c r="C473" t="s">
        <v>147</v>
      </c>
      <c r="D473" t="s">
        <v>155</v>
      </c>
    </row>
    <row r="474" spans="1:4">
      <c r="A474">
        <v>20200425</v>
      </c>
      <c r="B474" t="s">
        <v>157</v>
      </c>
      <c r="C474" t="s">
        <v>153</v>
      </c>
      <c r="D474" t="s">
        <v>163</v>
      </c>
    </row>
    <row r="475" spans="1:4">
      <c r="A475">
        <v>20200426</v>
      </c>
      <c r="B475" t="s">
        <v>157</v>
      </c>
      <c r="C475" t="s">
        <v>153</v>
      </c>
      <c r="D475" t="s">
        <v>164</v>
      </c>
    </row>
    <row r="476" spans="1:4">
      <c r="A476">
        <v>20200502</v>
      </c>
      <c r="B476" t="s">
        <v>156</v>
      </c>
      <c r="C476" t="s">
        <v>145</v>
      </c>
      <c r="D476" t="s">
        <v>163</v>
      </c>
    </row>
    <row r="477" spans="1:4">
      <c r="A477">
        <v>20200503</v>
      </c>
      <c r="B477" t="s">
        <v>157</v>
      </c>
      <c r="C477" t="s">
        <v>153</v>
      </c>
      <c r="D477" t="s">
        <v>163</v>
      </c>
    </row>
    <row r="478" spans="1:4">
      <c r="A478">
        <v>20200509</v>
      </c>
      <c r="B478" t="s">
        <v>146</v>
      </c>
      <c r="C478" t="s">
        <v>153</v>
      </c>
      <c r="D478" t="s">
        <v>164</v>
      </c>
    </row>
    <row r="479" spans="1:4">
      <c r="A479">
        <v>20200510</v>
      </c>
      <c r="B479" t="s">
        <v>146</v>
      </c>
      <c r="C479" t="s">
        <v>153</v>
      </c>
      <c r="D479" t="s">
        <v>163</v>
      </c>
    </row>
    <row r="480" spans="1:4">
      <c r="A480">
        <v>20200516</v>
      </c>
      <c r="B480" t="s">
        <v>146</v>
      </c>
      <c r="C480" t="s">
        <v>153</v>
      </c>
      <c r="D480" t="s">
        <v>163</v>
      </c>
    </row>
    <row r="481" spans="1:4">
      <c r="A481">
        <v>20200517</v>
      </c>
      <c r="B481" t="s">
        <v>146</v>
      </c>
      <c r="C481" t="s">
        <v>153</v>
      </c>
      <c r="D481" t="s">
        <v>163</v>
      </c>
    </row>
    <row r="482" spans="1:4">
      <c r="A482">
        <v>20200523</v>
      </c>
      <c r="B482" t="s">
        <v>146</v>
      </c>
      <c r="C482" t="s">
        <v>145</v>
      </c>
      <c r="D482" t="s">
        <v>164</v>
      </c>
    </row>
    <row r="483" spans="1:4">
      <c r="A483">
        <v>20200524</v>
      </c>
      <c r="B483" t="s">
        <v>158</v>
      </c>
      <c r="C483" t="s">
        <v>153</v>
      </c>
      <c r="D483" t="s">
        <v>164</v>
      </c>
    </row>
    <row r="484" spans="1:4">
      <c r="A484">
        <v>20200530</v>
      </c>
      <c r="B484" t="s">
        <v>153</v>
      </c>
      <c r="C484" t="s">
        <v>164</v>
      </c>
    </row>
    <row r="485" spans="1:4">
      <c r="A485">
        <v>20200531</v>
      </c>
      <c r="B485" t="s">
        <v>145</v>
      </c>
      <c r="C485" t="s">
        <v>163</v>
      </c>
    </row>
    <row r="486" spans="1:4">
      <c r="A486">
        <v>20200606</v>
      </c>
      <c r="B486" t="s">
        <v>145</v>
      </c>
      <c r="C486" t="s">
        <v>155</v>
      </c>
    </row>
    <row r="487" spans="1:4">
      <c r="A487">
        <v>20200607</v>
      </c>
      <c r="B487" t="s">
        <v>145</v>
      </c>
      <c r="C487" t="s">
        <v>154</v>
      </c>
    </row>
    <row r="488" spans="1:4">
      <c r="A488">
        <v>20200613</v>
      </c>
      <c r="B488" t="s">
        <v>161</v>
      </c>
      <c r="C488" t="s">
        <v>145</v>
      </c>
      <c r="D488" t="s">
        <v>154</v>
      </c>
    </row>
    <row r="489" spans="1:4">
      <c r="A489">
        <v>20200614</v>
      </c>
      <c r="B489" t="s">
        <v>161</v>
      </c>
      <c r="C489" t="s">
        <v>153</v>
      </c>
      <c r="D489" t="s">
        <v>155</v>
      </c>
    </row>
    <row r="490" spans="1:4">
      <c r="A490">
        <v>20200620</v>
      </c>
      <c r="B490" t="s">
        <v>161</v>
      </c>
      <c r="C490" t="s">
        <v>153</v>
      </c>
      <c r="D490" t="s">
        <v>155</v>
      </c>
    </row>
    <row r="491" spans="1:4">
      <c r="A491">
        <v>20200621</v>
      </c>
      <c r="B491" t="s">
        <v>162</v>
      </c>
      <c r="C491" t="s">
        <v>153</v>
      </c>
      <c r="D491" t="s">
        <v>154</v>
      </c>
    </row>
    <row r="492" spans="1:4">
      <c r="A492">
        <v>20200627</v>
      </c>
      <c r="B492" t="s">
        <v>161</v>
      </c>
      <c r="C492" t="s">
        <v>145</v>
      </c>
      <c r="D492" t="s">
        <v>154</v>
      </c>
    </row>
    <row r="493" spans="1:4">
      <c r="A493">
        <v>20200628</v>
      </c>
      <c r="B493" t="s">
        <v>162</v>
      </c>
      <c r="C493" t="s">
        <v>145</v>
      </c>
      <c r="D493" t="s">
        <v>154</v>
      </c>
    </row>
    <row r="494" spans="1:4">
      <c r="A494">
        <v>20200704</v>
      </c>
      <c r="B494" t="s">
        <v>161</v>
      </c>
      <c r="C494" t="s">
        <v>157</v>
      </c>
      <c r="D494" t="s">
        <v>155</v>
      </c>
    </row>
    <row r="495" spans="1:4">
      <c r="A495">
        <v>20200705</v>
      </c>
      <c r="B495" t="s">
        <v>162</v>
      </c>
      <c r="C495" t="s">
        <v>157</v>
      </c>
      <c r="D495" t="s">
        <v>155</v>
      </c>
    </row>
    <row r="496" spans="1:4">
      <c r="A496">
        <v>20200711</v>
      </c>
      <c r="B496" t="s">
        <v>161</v>
      </c>
      <c r="C496" t="s">
        <v>156</v>
      </c>
      <c r="D496" t="s">
        <v>155</v>
      </c>
    </row>
    <row r="497" spans="1:4">
      <c r="A497">
        <v>20200712</v>
      </c>
      <c r="B497" t="s">
        <v>161</v>
      </c>
      <c r="C497" t="s">
        <v>157</v>
      </c>
      <c r="D497" t="s">
        <v>154</v>
      </c>
    </row>
    <row r="498" spans="1:4">
      <c r="A498">
        <v>20200718</v>
      </c>
      <c r="B498" t="s">
        <v>161</v>
      </c>
      <c r="C498" t="s">
        <v>157</v>
      </c>
      <c r="D498" t="s">
        <v>155</v>
      </c>
    </row>
    <row r="499" spans="1:4">
      <c r="A499">
        <v>20200719</v>
      </c>
      <c r="B499" t="s">
        <v>162</v>
      </c>
      <c r="C499" t="s">
        <v>156</v>
      </c>
      <c r="D499" t="s">
        <v>154</v>
      </c>
    </row>
    <row r="500" spans="1:4">
      <c r="A500">
        <v>20200725</v>
      </c>
      <c r="B500" t="s">
        <v>160</v>
      </c>
      <c r="C500" t="s">
        <v>146</v>
      </c>
    </row>
    <row r="501" spans="1:4">
      <c r="A501">
        <v>20200726</v>
      </c>
      <c r="B501" t="s">
        <v>159</v>
      </c>
      <c r="C501" t="s">
        <v>146</v>
      </c>
    </row>
    <row r="502" spans="1:4">
      <c r="A502">
        <v>20200801</v>
      </c>
      <c r="B502" t="s">
        <v>160</v>
      </c>
      <c r="C502" t="s">
        <v>146</v>
      </c>
    </row>
    <row r="503" spans="1:4">
      <c r="A503">
        <v>20200802</v>
      </c>
      <c r="B503" t="s">
        <v>159</v>
      </c>
      <c r="C503" t="s">
        <v>146</v>
      </c>
    </row>
    <row r="504" spans="1:4">
      <c r="A504">
        <v>20200808</v>
      </c>
      <c r="B504" t="s">
        <v>160</v>
      </c>
      <c r="C504" t="s">
        <v>146</v>
      </c>
    </row>
    <row r="505" spans="1:4">
      <c r="A505">
        <v>20200809</v>
      </c>
      <c r="B505" t="s">
        <v>160</v>
      </c>
      <c r="C505" t="s">
        <v>146</v>
      </c>
    </row>
    <row r="506" spans="1:4">
      <c r="A506">
        <v>20200815</v>
      </c>
      <c r="B506" t="s">
        <v>160</v>
      </c>
      <c r="C506" t="s">
        <v>158</v>
      </c>
      <c r="D506" t="s">
        <v>151</v>
      </c>
    </row>
    <row r="507" spans="1:4">
      <c r="A507">
        <v>20200816</v>
      </c>
      <c r="B507" t="s">
        <v>160</v>
      </c>
      <c r="C507" t="s">
        <v>158</v>
      </c>
      <c r="D507" t="s">
        <v>151</v>
      </c>
    </row>
    <row r="508" spans="1:4">
      <c r="A508">
        <v>20200822</v>
      </c>
      <c r="B508" t="s">
        <v>160</v>
      </c>
      <c r="C508" t="s">
        <v>158</v>
      </c>
      <c r="D508" t="s">
        <v>151</v>
      </c>
    </row>
    <row r="509" spans="1:4">
      <c r="A509">
        <v>20200823</v>
      </c>
      <c r="B509" t="s">
        <v>159</v>
      </c>
      <c r="C509" t="s">
        <v>158</v>
      </c>
      <c r="D509" t="s">
        <v>151</v>
      </c>
    </row>
    <row r="510" spans="1:4">
      <c r="A510">
        <v>20200829</v>
      </c>
      <c r="B510" t="s">
        <v>159</v>
      </c>
      <c r="C510" t="s">
        <v>158</v>
      </c>
      <c r="D510" t="s">
        <v>151</v>
      </c>
    </row>
    <row r="511" spans="1:4">
      <c r="A511">
        <v>20200830</v>
      </c>
      <c r="B511" t="s">
        <v>160</v>
      </c>
      <c r="C511" t="s">
        <v>146</v>
      </c>
      <c r="D511" t="s">
        <v>151</v>
      </c>
    </row>
    <row r="512" spans="1:4">
      <c r="A512">
        <v>20200905</v>
      </c>
      <c r="B512" t="s">
        <v>160</v>
      </c>
      <c r="C512" t="s">
        <v>146</v>
      </c>
      <c r="D512" t="s">
        <v>151</v>
      </c>
    </row>
    <row r="513" spans="1:4">
      <c r="A513">
        <v>20200906</v>
      </c>
      <c r="B513" t="s">
        <v>160</v>
      </c>
      <c r="C513" t="s">
        <v>158</v>
      </c>
      <c r="D513" t="s">
        <v>151</v>
      </c>
    </row>
    <row r="514" spans="1:4">
      <c r="A514">
        <v>20200912</v>
      </c>
      <c r="B514" t="s">
        <v>147</v>
      </c>
      <c r="C514" t="s">
        <v>148</v>
      </c>
    </row>
    <row r="515" spans="1:4">
      <c r="A515">
        <v>20200913</v>
      </c>
      <c r="B515" t="s">
        <v>149</v>
      </c>
      <c r="C515" t="s">
        <v>150</v>
      </c>
    </row>
    <row r="516" spans="1:4">
      <c r="A516">
        <v>20200919</v>
      </c>
      <c r="B516" t="s">
        <v>147</v>
      </c>
      <c r="C516" t="s">
        <v>150</v>
      </c>
    </row>
    <row r="517" spans="1:4">
      <c r="A517">
        <v>20200920</v>
      </c>
      <c r="B517" t="s">
        <v>147</v>
      </c>
      <c r="C517" t="s">
        <v>150</v>
      </c>
    </row>
    <row r="518" spans="1:4">
      <c r="A518">
        <v>20200921</v>
      </c>
      <c r="B518" t="s">
        <v>147</v>
      </c>
      <c r="C518" t="s">
        <v>148</v>
      </c>
    </row>
    <row r="519" spans="1:4">
      <c r="A519">
        <v>20200926</v>
      </c>
      <c r="B519" t="s">
        <v>147</v>
      </c>
      <c r="C519" t="s">
        <v>150</v>
      </c>
    </row>
    <row r="520" spans="1:4">
      <c r="A520">
        <v>20200927</v>
      </c>
      <c r="B520" t="s">
        <v>147</v>
      </c>
      <c r="C520" t="s">
        <v>150</v>
      </c>
    </row>
    <row r="521" spans="1:4">
      <c r="A521">
        <v>20201003</v>
      </c>
      <c r="B521" t="s">
        <v>147</v>
      </c>
      <c r="C521" t="s">
        <v>150</v>
      </c>
    </row>
    <row r="522" spans="1:4">
      <c r="A522">
        <v>20201004</v>
      </c>
      <c r="B522" t="s">
        <v>147</v>
      </c>
      <c r="C522" t="s">
        <v>148</v>
      </c>
    </row>
    <row r="523" spans="1:4">
      <c r="A523">
        <v>20201010</v>
      </c>
      <c r="B523" t="s">
        <v>158</v>
      </c>
      <c r="C523" t="s">
        <v>153</v>
      </c>
      <c r="D523" t="s">
        <v>163</v>
      </c>
    </row>
    <row r="524" spans="1:4">
      <c r="A524">
        <v>20201011</v>
      </c>
      <c r="B524" t="s">
        <v>146</v>
      </c>
      <c r="C524" t="s">
        <v>145</v>
      </c>
      <c r="D524" t="s">
        <v>163</v>
      </c>
    </row>
    <row r="525" spans="1:4">
      <c r="A525">
        <v>20201017</v>
      </c>
      <c r="B525" t="s">
        <v>158</v>
      </c>
      <c r="C525" t="s">
        <v>153</v>
      </c>
      <c r="D525" t="s">
        <v>164</v>
      </c>
    </row>
    <row r="526" spans="1:4">
      <c r="A526">
        <v>20201018</v>
      </c>
      <c r="B526" t="s">
        <v>158</v>
      </c>
      <c r="C526" t="s">
        <v>153</v>
      </c>
      <c r="D526" t="s">
        <v>163</v>
      </c>
    </row>
    <row r="527" spans="1:4">
      <c r="A527">
        <v>20201024</v>
      </c>
      <c r="B527" t="s">
        <v>146</v>
      </c>
      <c r="C527" t="s">
        <v>145</v>
      </c>
      <c r="D527" t="s">
        <v>163</v>
      </c>
    </row>
    <row r="528" spans="1:4">
      <c r="A528">
        <v>20201025</v>
      </c>
      <c r="B528" t="s">
        <v>146</v>
      </c>
      <c r="C528" t="s">
        <v>153</v>
      </c>
      <c r="D528" t="s">
        <v>163</v>
      </c>
    </row>
    <row r="529" spans="1:18">
      <c r="A529">
        <v>20201031</v>
      </c>
      <c r="B529" t="s">
        <v>156</v>
      </c>
      <c r="C529" t="s">
        <v>145</v>
      </c>
      <c r="D529" t="s">
        <v>164</v>
      </c>
    </row>
    <row r="530" spans="1:18">
      <c r="A530">
        <v>20201101</v>
      </c>
      <c r="B530" t="s">
        <v>156</v>
      </c>
      <c r="C530" t="s">
        <v>153</v>
      </c>
      <c r="D530" t="s">
        <v>163</v>
      </c>
    </row>
    <row r="531" spans="1:18">
      <c r="A531">
        <v>20201107</v>
      </c>
      <c r="B531" t="s">
        <v>157</v>
      </c>
      <c r="C531" t="s">
        <v>145</v>
      </c>
      <c r="D531" t="s">
        <v>155</v>
      </c>
    </row>
    <row r="532" spans="1:18">
      <c r="A532">
        <v>20201108</v>
      </c>
      <c r="B532" t="s">
        <v>157</v>
      </c>
      <c r="C532" t="s">
        <v>145</v>
      </c>
      <c r="D532" t="s">
        <v>155</v>
      </c>
    </row>
    <row r="533" spans="1:18">
      <c r="A533">
        <v>20201114</v>
      </c>
      <c r="B533" t="s">
        <v>157</v>
      </c>
      <c r="C533" t="s">
        <v>153</v>
      </c>
      <c r="D533" t="s">
        <v>155</v>
      </c>
    </row>
    <row r="534" spans="1:18">
      <c r="A534">
        <v>20201115</v>
      </c>
      <c r="B534" t="s">
        <v>157</v>
      </c>
      <c r="C534" t="s">
        <v>153</v>
      </c>
      <c r="D534" t="s">
        <v>155</v>
      </c>
    </row>
    <row r="535" spans="1:18">
      <c r="A535">
        <v>20201121</v>
      </c>
      <c r="B535" t="s">
        <v>145</v>
      </c>
      <c r="C535" t="s">
        <v>155</v>
      </c>
    </row>
    <row r="536" spans="1:18">
      <c r="A536">
        <v>20201122</v>
      </c>
      <c r="B536" t="s">
        <v>145</v>
      </c>
      <c r="C536" t="s">
        <v>154</v>
      </c>
    </row>
    <row r="537" spans="1:18">
      <c r="A537">
        <v>20201123</v>
      </c>
      <c r="B537" t="s">
        <v>153</v>
      </c>
      <c r="C537" t="s">
        <v>154</v>
      </c>
    </row>
    <row r="538" spans="1:18">
      <c r="A538">
        <v>20201128</v>
      </c>
      <c r="B538" t="s">
        <v>153</v>
      </c>
      <c r="C538" t="s">
        <v>154</v>
      </c>
    </row>
    <row r="539" spans="1:18">
      <c r="A539">
        <v>20201129</v>
      </c>
      <c r="B539" t="s">
        <v>153</v>
      </c>
      <c r="C539" t="s">
        <v>154</v>
      </c>
    </row>
    <row r="540" spans="1:18">
      <c r="A540">
        <v>20201205</v>
      </c>
      <c r="B540" t="s">
        <v>149</v>
      </c>
      <c r="C540" t="s">
        <v>150</v>
      </c>
      <c r="D540" t="s">
        <v>155</v>
      </c>
    </row>
    <row r="541" spans="1:18">
      <c r="A541">
        <v>20201206</v>
      </c>
      <c r="B541" t="s">
        <v>147</v>
      </c>
      <c r="C541" t="s">
        <v>148</v>
      </c>
      <c r="D541" t="s">
        <v>154</v>
      </c>
    </row>
    <row r="542" spans="1:18">
      <c r="A542">
        <v>20201212</v>
      </c>
      <c r="B542" t="s">
        <v>147</v>
      </c>
      <c r="C542" t="s">
        <v>150</v>
      </c>
      <c r="D542" t="s">
        <v>155</v>
      </c>
    </row>
    <row r="543" spans="1:18">
      <c r="A543">
        <v>20201213</v>
      </c>
      <c r="B543" t="s">
        <v>147</v>
      </c>
      <c r="C543" t="s">
        <v>150</v>
      </c>
      <c r="D543" t="s">
        <v>155</v>
      </c>
      <c r="E543" t="b">
        <v>1</v>
      </c>
      <c r="F543" t="s">
        <v>140</v>
      </c>
      <c r="G543">
        <v>1</v>
      </c>
      <c r="H543">
        <v>2</v>
      </c>
      <c r="I543">
        <v>3</v>
      </c>
      <c r="J543">
        <v>4</v>
      </c>
      <c r="K543">
        <v>5</v>
      </c>
      <c r="L543">
        <v>6</v>
      </c>
      <c r="M543">
        <v>7</v>
      </c>
      <c r="N543">
        <v>8</v>
      </c>
      <c r="O543">
        <v>9</v>
      </c>
      <c r="P543">
        <v>10</v>
      </c>
      <c r="Q543">
        <v>11</v>
      </c>
      <c r="R543">
        <v>12</v>
      </c>
    </row>
    <row r="544" spans="1:18">
      <c r="A544">
        <v>20201219</v>
      </c>
      <c r="B544" t="s">
        <v>147</v>
      </c>
      <c r="C544" t="s">
        <v>150</v>
      </c>
      <c r="D544" t="s">
        <v>155</v>
      </c>
    </row>
    <row r="545" spans="1:4">
      <c r="A545">
        <v>20201220</v>
      </c>
      <c r="B545" t="s">
        <v>147</v>
      </c>
      <c r="C545" t="s">
        <v>148</v>
      </c>
      <c r="D545" t="s">
        <v>155</v>
      </c>
    </row>
  </sheetData>
  <sortState ref="A1:D654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20201213</v>
      </c>
      <c r="B1" s="1" t="s">
        <v>165</v>
      </c>
      <c r="C1" s="1">
        <v>1</v>
      </c>
      <c r="D1" s="1">
        <v>1</v>
      </c>
      <c r="E1" s="1" t="s">
        <v>166</v>
      </c>
      <c r="F1" s="1">
        <v>2018100313</v>
      </c>
    </row>
    <row r="2" spans="1:6">
      <c r="A2" s="1">
        <v>20201213</v>
      </c>
      <c r="B2" s="1" t="s">
        <v>140</v>
      </c>
      <c r="C2" s="1">
        <v>1</v>
      </c>
      <c r="D2" s="1">
        <v>2</v>
      </c>
      <c r="E2" s="1" t="s">
        <v>167</v>
      </c>
      <c r="F2" s="1">
        <v>2018103574</v>
      </c>
    </row>
    <row r="3" spans="1:6">
      <c r="A3" s="1">
        <v>20201213</v>
      </c>
      <c r="B3" s="1" t="s">
        <v>140</v>
      </c>
      <c r="C3" s="1">
        <v>1</v>
      </c>
      <c r="D3" s="1">
        <v>3</v>
      </c>
      <c r="E3" s="1" t="s">
        <v>168</v>
      </c>
      <c r="F3" s="1">
        <v>2018100392</v>
      </c>
    </row>
    <row r="4" spans="1:6">
      <c r="A4" s="1">
        <v>20201213</v>
      </c>
      <c r="B4" s="1" t="s">
        <v>140</v>
      </c>
      <c r="C4" s="1">
        <v>1</v>
      </c>
      <c r="D4" s="1">
        <v>4</v>
      </c>
      <c r="E4" s="1" t="s">
        <v>169</v>
      </c>
      <c r="F4" s="1">
        <v>2018105822</v>
      </c>
    </row>
    <row r="5" spans="1:6">
      <c r="A5" s="1">
        <v>20201213</v>
      </c>
      <c r="B5" s="1" t="s">
        <v>140</v>
      </c>
      <c r="C5" s="1">
        <v>1</v>
      </c>
      <c r="D5" s="1">
        <v>5</v>
      </c>
      <c r="E5" s="1" t="s">
        <v>170</v>
      </c>
      <c r="F5" s="1">
        <v>2018102371</v>
      </c>
    </row>
    <row r="6" spans="1:6">
      <c r="A6" s="1">
        <v>20201213</v>
      </c>
      <c r="B6" s="1" t="s">
        <v>140</v>
      </c>
      <c r="C6" s="1">
        <v>1</v>
      </c>
      <c r="D6" s="1">
        <v>6</v>
      </c>
      <c r="E6" s="1" t="s">
        <v>171</v>
      </c>
      <c r="F6" s="1">
        <v>2018105023</v>
      </c>
    </row>
    <row r="7" spans="1:6">
      <c r="A7" s="1">
        <v>20201213</v>
      </c>
      <c r="B7" s="1" t="s">
        <v>140</v>
      </c>
      <c r="C7" s="1">
        <v>1</v>
      </c>
      <c r="D7" s="1">
        <v>7</v>
      </c>
      <c r="E7" s="1" t="s">
        <v>172</v>
      </c>
      <c r="F7" s="1">
        <v>2018101677</v>
      </c>
    </row>
    <row r="8" spans="1:6">
      <c r="A8" s="1">
        <v>20201213</v>
      </c>
      <c r="B8" s="1" t="s">
        <v>140</v>
      </c>
      <c r="C8" s="1">
        <v>1</v>
      </c>
      <c r="D8" s="1">
        <v>8</v>
      </c>
      <c r="E8" s="1" t="s">
        <v>173</v>
      </c>
      <c r="F8" s="1">
        <v>2018103275</v>
      </c>
    </row>
    <row r="9" spans="1:6">
      <c r="A9" s="1">
        <v>20201213</v>
      </c>
      <c r="B9" s="1" t="s">
        <v>140</v>
      </c>
      <c r="C9" s="1">
        <v>1</v>
      </c>
      <c r="D9" s="1">
        <v>9</v>
      </c>
      <c r="E9" s="1" t="s">
        <v>174</v>
      </c>
      <c r="F9" s="1">
        <v>2018105585</v>
      </c>
    </row>
    <row r="10" spans="1:6">
      <c r="A10" s="1">
        <v>20201213</v>
      </c>
      <c r="B10" s="1" t="s">
        <v>140</v>
      </c>
      <c r="C10" s="1">
        <v>1</v>
      </c>
      <c r="D10" s="1">
        <v>10</v>
      </c>
      <c r="E10" s="1" t="s">
        <v>175</v>
      </c>
      <c r="F10" s="1">
        <v>2018110145</v>
      </c>
    </row>
    <row r="11" spans="1:6">
      <c r="A11" s="1">
        <v>20201213</v>
      </c>
      <c r="B11" s="1" t="s">
        <v>140</v>
      </c>
      <c r="C11" s="1">
        <v>1</v>
      </c>
      <c r="D11" s="1">
        <v>11</v>
      </c>
      <c r="E11" s="1" t="s">
        <v>176</v>
      </c>
      <c r="F11" s="1">
        <v>2018100442</v>
      </c>
    </row>
    <row r="12" spans="1:6">
      <c r="A12" s="1">
        <v>20201213</v>
      </c>
      <c r="B12" s="1" t="s">
        <v>140</v>
      </c>
      <c r="C12" s="1">
        <v>1</v>
      </c>
      <c r="D12" s="1">
        <v>12</v>
      </c>
      <c r="E12" s="1" t="s">
        <v>177</v>
      </c>
      <c r="F12" s="1">
        <v>2018104129</v>
      </c>
    </row>
    <row r="13" spans="1:6">
      <c r="A13" s="1">
        <v>20201213</v>
      </c>
      <c r="B13" s="1" t="s">
        <v>140</v>
      </c>
      <c r="C13" s="1">
        <v>1</v>
      </c>
      <c r="D13" s="1">
        <v>13</v>
      </c>
      <c r="E13" s="1" t="s">
        <v>178</v>
      </c>
      <c r="F13" s="1">
        <v>2018102028</v>
      </c>
    </row>
    <row r="14" spans="1:6">
      <c r="A14" s="1">
        <v>20201213</v>
      </c>
      <c r="B14" s="1" t="s">
        <v>140</v>
      </c>
      <c r="C14" s="1">
        <v>1</v>
      </c>
      <c r="D14" s="1">
        <v>14</v>
      </c>
      <c r="E14" s="1" t="s">
        <v>179</v>
      </c>
      <c r="F14" s="1">
        <v>2018101205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yslius</cp:lastModifiedBy>
  <dcterms:created xsi:type="dcterms:W3CDTF">2018-04-14T05:05:39Z</dcterms:created>
  <dcterms:modified xsi:type="dcterms:W3CDTF">2020-12-15T22:00:59Z</dcterms:modified>
</cp:coreProperties>
</file>