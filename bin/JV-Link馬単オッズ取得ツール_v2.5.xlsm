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Lancers\2019年\190721_馬単オッズの全出力_kurokawa1184\01_制作\"/>
    </mc:Choice>
  </mc:AlternateContent>
  <xr:revisionPtr revIDLastSave="0" documentId="13_ncr:1_{277B2894-C288-43C3-A4E6-E8BF5C5089EC}" xr6:coauthVersionLast="45" xr6:coauthVersionMax="45" xr10:uidLastSave="{00000000-0000-0000-0000-000000000000}"/>
  <bookViews>
    <workbookView xWindow="7950" yWindow="1245" windowWidth="20520" windowHeight="13845" xr2:uid="{00000000-000D-0000-FFFF-FFFF00000000}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9"/>
  <definedNames>
    <definedName name="_xlnm._FilterDatabase" localSheetId="5" hidden="1">レース!$A$1:$G$1</definedName>
  </definedNames>
  <calcPr calcId="181029"/>
  <fileRecoveryPr repairLoad="1"/>
</workbook>
</file>

<file path=xl/calcChain.xml><?xml version="1.0" encoding="utf-8"?>
<calcChain xmlns="http://schemas.openxmlformats.org/spreadsheetml/2006/main">
  <c r="P30" i="7" l="1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5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AR36" i="7" l="1"/>
  <c r="AS36" i="7" s="1"/>
  <c r="AT36" i="7"/>
  <c r="AU36" i="7" s="1"/>
  <c r="AR37" i="7"/>
  <c r="AS37" i="7" s="1"/>
  <c r="AT37" i="7"/>
  <c r="AU37" i="7" s="1"/>
  <c r="AR38" i="7"/>
  <c r="AS38" i="7" s="1"/>
  <c r="AT38" i="7"/>
  <c r="AU38" i="7" s="1"/>
  <c r="AR39" i="7"/>
  <c r="AS39" i="7" s="1"/>
  <c r="AT39" i="7"/>
  <c r="AU39" i="7" s="1"/>
  <c r="AR40" i="7"/>
  <c r="AS40" i="7" s="1"/>
  <c r="AT40" i="7"/>
  <c r="AU40" i="7" s="1"/>
  <c r="AR41" i="7"/>
  <c r="AS41" i="7" s="1"/>
  <c r="AT41" i="7"/>
  <c r="AU41" i="7" s="1"/>
  <c r="AR42" i="7"/>
  <c r="AS42" i="7" s="1"/>
  <c r="AT42" i="7"/>
  <c r="AU42" i="7" s="1"/>
  <c r="AR43" i="7"/>
  <c r="AS43" i="7" s="1"/>
  <c r="AT43" i="7"/>
  <c r="AU43" i="7" s="1"/>
  <c r="AR44" i="7"/>
  <c r="AS44" i="7" s="1"/>
  <c r="AT44" i="7"/>
  <c r="AU44" i="7" s="1"/>
  <c r="AR45" i="7"/>
  <c r="AS45" i="7" s="1"/>
  <c r="AT45" i="7"/>
  <c r="AU45" i="7" s="1"/>
  <c r="AR46" i="7"/>
  <c r="AS46" i="7" s="1"/>
  <c r="AT46" i="7"/>
  <c r="AU46" i="7" s="1"/>
  <c r="AR47" i="7"/>
  <c r="AS47" i="7" s="1"/>
  <c r="AT47" i="7"/>
  <c r="AU47" i="7" s="1"/>
  <c r="AR48" i="7"/>
  <c r="AS48" i="7" s="1"/>
  <c r="AT48" i="7"/>
  <c r="AU48" i="7" s="1"/>
  <c r="AR49" i="7"/>
  <c r="AS49" i="7" s="1"/>
  <c r="AT49" i="7"/>
  <c r="AU49" i="7" s="1"/>
  <c r="AR50" i="7"/>
  <c r="AS50" i="7" s="1"/>
  <c r="AT50" i="7"/>
  <c r="AU50" i="7" s="1"/>
  <c r="AR51" i="7"/>
  <c r="AS51" i="7" s="1"/>
  <c r="AT51" i="7"/>
  <c r="AU51" i="7" s="1"/>
  <c r="AR52" i="7"/>
  <c r="AS52" i="7" s="1"/>
  <c r="AT52" i="7"/>
  <c r="AU52" i="7" s="1"/>
  <c r="AR53" i="7"/>
  <c r="AS53" i="7" s="1"/>
  <c r="AT53" i="7"/>
  <c r="AU53" i="7" s="1"/>
  <c r="AR54" i="7"/>
  <c r="AS54" i="7" s="1"/>
  <c r="AT54" i="7"/>
  <c r="AU54" i="7" s="1"/>
  <c r="AR55" i="7"/>
  <c r="AS55" i="7" s="1"/>
  <c r="AT55" i="7"/>
  <c r="AU55" i="7" s="1"/>
  <c r="AR56" i="7"/>
  <c r="AS56" i="7" s="1"/>
  <c r="AT56" i="7"/>
  <c r="AU56" i="7" s="1"/>
  <c r="AR57" i="7"/>
  <c r="AS57" i="7" s="1"/>
  <c r="AT57" i="7"/>
  <c r="AU57" i="7" s="1"/>
  <c r="AR58" i="7"/>
  <c r="AS58" i="7" s="1"/>
  <c r="AT58" i="7"/>
  <c r="AU58" i="7" s="1"/>
  <c r="AR59" i="7"/>
  <c r="AS59" i="7" s="1"/>
  <c r="AT59" i="7"/>
  <c r="AU59" i="7" s="1"/>
  <c r="AR60" i="7"/>
  <c r="AS60" i="7" s="1"/>
  <c r="AT60" i="7"/>
  <c r="AU60" i="7" s="1"/>
  <c r="AR61" i="7"/>
  <c r="AS61" i="7" s="1"/>
  <c r="AT61" i="7"/>
  <c r="AU61" i="7" s="1"/>
  <c r="AR62" i="7"/>
  <c r="AS62" i="7" s="1"/>
  <c r="AT62" i="7"/>
  <c r="AU62" i="7" s="1"/>
  <c r="AR63" i="7"/>
  <c r="AS63" i="7" s="1"/>
  <c r="AT63" i="7"/>
  <c r="AU63" i="7" s="1"/>
  <c r="AR64" i="7"/>
  <c r="AS64" i="7" s="1"/>
  <c r="AT64" i="7"/>
  <c r="AU64" i="7" s="1"/>
  <c r="AR65" i="7"/>
  <c r="AS65" i="7" s="1"/>
  <c r="AT65" i="7"/>
  <c r="AU65" i="7" s="1"/>
  <c r="AR66" i="7"/>
  <c r="AS66" i="7" s="1"/>
  <c r="AT66" i="7"/>
  <c r="AU66" i="7" s="1"/>
  <c r="AR67" i="7"/>
  <c r="AS67" i="7" s="1"/>
  <c r="AT67" i="7"/>
  <c r="AU67" i="7" s="1"/>
  <c r="AR5" i="7" l="1"/>
  <c r="AS5" i="7" s="1"/>
  <c r="AT5" i="7"/>
  <c r="AU5" i="7" s="1"/>
  <c r="AV5" i="7"/>
  <c r="AW5" i="7" s="1"/>
  <c r="AX5" i="7"/>
  <c r="AY5" i="7" s="1"/>
  <c r="AZ5" i="7"/>
  <c r="BA5" i="7" s="1"/>
  <c r="BB5" i="7"/>
  <c r="AK8" i="7" l="1"/>
  <c r="AK7" i="7"/>
  <c r="AK15" i="7"/>
  <c r="AK19" i="7"/>
  <c r="AK16" i="7"/>
  <c r="AK12" i="7"/>
  <c r="AK5" i="7"/>
  <c r="AK13" i="7"/>
  <c r="AK21" i="7"/>
  <c r="AK6" i="7"/>
  <c r="AK20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AK18" i="7" l="1"/>
  <c r="AK17" i="7"/>
  <c r="AK22" i="7"/>
  <c r="AK14" i="7"/>
  <c r="DL33" i="7"/>
  <c r="DP33" i="7"/>
  <c r="DT33" i="7"/>
  <c r="DX33" i="7"/>
  <c r="CX33" i="7"/>
  <c r="DB33" i="7"/>
  <c r="DJ33" i="7"/>
  <c r="DL35" i="7"/>
  <c r="EC35" i="7" s="1"/>
  <c r="DL39" i="7"/>
  <c r="EC39" i="7" s="1"/>
  <c r="DL43" i="7"/>
  <c r="EC43" i="7" s="1"/>
  <c r="DL47" i="7"/>
  <c r="EC47" i="7" s="1"/>
  <c r="CW43" i="7"/>
  <c r="EB43" i="7" s="1"/>
  <c r="DN33" i="7"/>
  <c r="DR33" i="7"/>
  <c r="DV33" i="7"/>
  <c r="DO33" i="7"/>
  <c r="DS33" i="7"/>
  <c r="DW33" i="7"/>
  <c r="DM33" i="7"/>
  <c r="DQ33" i="7"/>
  <c r="DU33" i="7"/>
  <c r="DY33" i="7"/>
  <c r="CY33" i="7"/>
  <c r="DC33" i="7"/>
  <c r="DG33" i="7"/>
  <c r="DL36" i="7"/>
  <c r="EC36" i="7" s="1"/>
  <c r="DL40" i="7"/>
  <c r="EC40" i="7" s="1"/>
  <c r="DL44" i="7"/>
  <c r="EC44" i="7" s="1"/>
  <c r="DD33" i="7"/>
  <c r="CW33" i="7"/>
  <c r="DA33" i="7"/>
  <c r="DE33" i="7"/>
  <c r="DI33" i="7"/>
  <c r="DL34" i="7"/>
  <c r="EC34" i="7" s="1"/>
  <c r="DL38" i="7"/>
  <c r="EC38" i="7" s="1"/>
  <c r="DL42" i="7"/>
  <c r="EC42" i="7" s="1"/>
  <c r="DL46" i="7"/>
  <c r="EC46" i="7" s="1"/>
  <c r="CZ33" i="7"/>
  <c r="DH33" i="7"/>
  <c r="DL37" i="7"/>
  <c r="EC37" i="7" s="1"/>
  <c r="DL41" i="7"/>
  <c r="EC41" i="7" s="1"/>
  <c r="DL45" i="7"/>
  <c r="EC45" i="7" s="1"/>
  <c r="DF33" i="7"/>
  <c r="CW42" i="7"/>
  <c r="EB42" i="7" s="1"/>
  <c r="CW46" i="7"/>
  <c r="EB46" i="7" s="1"/>
  <c r="CW36" i="7"/>
  <c r="EB36" i="7" s="1"/>
  <c r="CW40" i="7"/>
  <c r="EB40" i="7" s="1"/>
  <c r="CW47" i="7"/>
  <c r="EB47" i="7" s="1"/>
  <c r="CW37" i="7"/>
  <c r="EB37" i="7" s="1"/>
  <c r="CW34" i="7"/>
  <c r="EB34" i="7" s="1"/>
  <c r="CW38" i="7"/>
  <c r="EB38" i="7" s="1"/>
  <c r="CW44" i="7"/>
  <c r="EB44" i="7" s="1"/>
  <c r="CW41" i="7"/>
  <c r="EB41" i="7" s="1"/>
  <c r="CW35" i="7"/>
  <c r="EB35" i="7" s="1"/>
  <c r="CW39" i="7"/>
  <c r="EB39" i="7" s="1"/>
  <c r="CW45" i="7"/>
  <c r="EB45" i="7" s="1"/>
  <c r="AK9" i="7" l="1"/>
  <c r="AK10" i="7"/>
  <c r="AK11" i="7"/>
  <c r="ED39" i="7"/>
  <c r="ED47" i="7"/>
  <c r="ED43" i="7"/>
  <c r="ED35" i="7"/>
  <c r="ED45" i="7"/>
  <c r="ED34" i="7"/>
  <c r="ED36" i="7"/>
  <c r="ED41" i="7"/>
  <c r="ED46" i="7"/>
  <c r="ED37" i="7"/>
  <c r="ED42" i="7"/>
  <c r="ED44" i="7"/>
  <c r="ED38" i="7"/>
  <c r="ED40" i="7"/>
  <c r="AL17" i="7" l="1"/>
  <c r="AL8" i="7"/>
  <c r="AL10" i="7"/>
  <c r="AL22" i="7"/>
  <c r="AL18" i="7"/>
  <c r="AL7" i="7"/>
  <c r="AL16" i="7"/>
  <c r="AL20" i="7"/>
  <c r="AL19" i="7"/>
  <c r="AL21" i="7"/>
  <c r="AL12" i="7"/>
  <c r="AL15" i="7"/>
  <c r="AL9" i="7"/>
  <c r="AL6" i="7"/>
  <c r="AL5" i="7"/>
  <c r="AL14" i="7"/>
  <c r="AL11" i="7"/>
  <c r="AL13" i="7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BJ5" i="7"/>
  <c r="BK5" i="7" s="1"/>
  <c r="BH5" i="7"/>
  <c r="BI5" i="7" s="1"/>
  <c r="BF5" i="7"/>
  <c r="BG5" i="7" s="1"/>
  <c r="BD5" i="7"/>
  <c r="BE5" i="7" s="1"/>
  <c r="BC5" i="7"/>
  <c r="BU11" i="7" l="1" a="1"/>
  <c r="BU1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T153" i="3"/>
  <c r="CS153" i="3"/>
  <c r="CP153" i="3"/>
  <c r="CK153" i="3"/>
  <c r="CJ153" i="3"/>
  <c r="CI153" i="3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T151" i="3"/>
  <c r="CS151" i="3"/>
  <c r="CP151" i="3"/>
  <c r="CK151" i="3"/>
  <c r="CJ151" i="3"/>
  <c r="CI151" i="3"/>
  <c r="CF151" i="3"/>
  <c r="BS151" i="3"/>
  <c r="BR151" i="3"/>
  <c r="BO151" i="3"/>
  <c r="BM151" i="3"/>
  <c r="BJ151" i="3"/>
  <c r="BE151" i="3"/>
  <c r="AV151" i="3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J148" i="3"/>
  <c r="CI148" i="3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T146" i="3"/>
  <c r="CS146" i="3"/>
  <c r="CP146" i="3"/>
  <c r="CK146" i="3"/>
  <c r="CJ146" i="3"/>
  <c r="CI146" i="3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BC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W138" i="3"/>
  <c r="AV138" i="3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X131" i="3"/>
  <c r="AV131" i="3"/>
  <c r="AU131" i="3"/>
  <c r="BC131" i="3" s="1"/>
  <c r="AT131" i="3"/>
  <c r="AW131" i="3" s="1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T130" i="3"/>
  <c r="CS130" i="3"/>
  <c r="CP130" i="3"/>
  <c r="CK130" i="3"/>
  <c r="CJ130" i="3"/>
  <c r="CI130" i="3"/>
  <c r="CF130" i="3"/>
  <c r="BS130" i="3"/>
  <c r="BR130" i="3"/>
  <c r="BO130" i="3"/>
  <c r="BM130" i="3"/>
  <c r="BJ130" i="3"/>
  <c r="BE130" i="3"/>
  <c r="AV130" i="3"/>
  <c r="AX130" i="3" s="1"/>
  <c r="AU130" i="3"/>
  <c r="BC130" i="3" s="1"/>
  <c r="AT130" i="3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X129" i="3"/>
  <c r="AW129" i="3"/>
  <c r="AV129" i="3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X128" i="3" s="1"/>
  <c r="AU128" i="3"/>
  <c r="BC128" i="3" s="1"/>
  <c r="AT128" i="3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X127" i="3"/>
  <c r="AW127" i="3"/>
  <c r="AV127" i="3"/>
  <c r="AU127" i="3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BC126" i="3"/>
  <c r="AV126" i="3"/>
  <c r="AX126" i="3" s="1"/>
  <c r="AU126" i="3"/>
  <c r="AT126" i="3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X125" i="3"/>
  <c r="AV125" i="3"/>
  <c r="AU125" i="3"/>
  <c r="AT125" i="3"/>
  <c r="AW125" i="3" s="1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T124" i="3"/>
  <c r="CS124" i="3"/>
  <c r="CP124" i="3"/>
  <c r="CK124" i="3"/>
  <c r="CJ124" i="3"/>
  <c r="CI124" i="3"/>
  <c r="CF124" i="3"/>
  <c r="BS124" i="3"/>
  <c r="BR124" i="3"/>
  <c r="BO124" i="3"/>
  <c r="BM124" i="3"/>
  <c r="BJ124" i="3"/>
  <c r="BE124" i="3"/>
  <c r="BC124" i="3"/>
  <c r="AV124" i="3"/>
  <c r="AX124" i="3" s="1"/>
  <c r="AU124" i="3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V123" i="3"/>
  <c r="AU123" i="3"/>
  <c r="BC123" i="3" s="1"/>
  <c r="AT123" i="3"/>
  <c r="AW123" i="3" s="1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T122" i="3"/>
  <c r="CS122" i="3"/>
  <c r="CP122" i="3"/>
  <c r="CK122" i="3"/>
  <c r="CJ122" i="3"/>
  <c r="CI122" i="3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U121" i="3"/>
  <c r="AT121" i="3"/>
  <c r="AX121" i="3" s="1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V119" i="3"/>
  <c r="AU119" i="3"/>
  <c r="BC119" i="3" s="1"/>
  <c r="AT119" i="3"/>
  <c r="AW119" i="3" s="1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T118" i="3"/>
  <c r="CS118" i="3"/>
  <c r="CP118" i="3"/>
  <c r="CK118" i="3"/>
  <c r="CJ118" i="3"/>
  <c r="CI118" i="3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W117" i="3"/>
  <c r="AV117" i="3"/>
  <c r="AX117" i="3" s="1"/>
  <c r="AU117" i="3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BC115" i="3"/>
  <c r="AV115" i="3"/>
  <c r="AX115" i="3" s="1"/>
  <c r="AU115" i="3"/>
  <c r="AT115" i="3"/>
  <c r="AW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S113" i="3"/>
  <c r="CT113" i="3" s="1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W111" i="3"/>
  <c r="AV111" i="3"/>
  <c r="AU111" i="3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V110" i="3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W109" i="3"/>
  <c r="AV109" i="3"/>
  <c r="AU109" i="3"/>
  <c r="BC109" i="3" s="1"/>
  <c r="AT109" i="3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S108" i="3"/>
  <c r="CT108" i="3" s="1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S104" i="3"/>
  <c r="CT104" i="3" s="1"/>
  <c r="CP104" i="3"/>
  <c r="CK104" i="3"/>
  <c r="CI104" i="3"/>
  <c r="CJ104" i="3" s="1"/>
  <c r="CF104" i="3"/>
  <c r="BS104" i="3"/>
  <c r="BR104" i="3"/>
  <c r="BO104" i="3"/>
  <c r="BM104" i="3"/>
  <c r="BJ104" i="3"/>
  <c r="BE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T103" i="3"/>
  <c r="CS103" i="3"/>
  <c r="CP103" i="3"/>
  <c r="CK103" i="3"/>
  <c r="CJ103" i="3"/>
  <c r="CI103" i="3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U102" i="3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W101" i="3" s="1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BC100" i="3"/>
  <c r="AV100" i="3"/>
  <c r="AX100" i="3" s="1"/>
  <c r="AU100" i="3"/>
  <c r="AW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V98" i="3"/>
  <c r="AX98" i="3" s="1"/>
  <c r="AU98" i="3"/>
  <c r="BC98" i="3" s="1"/>
  <c r="AT98" i="3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X96" i="3"/>
  <c r="AV96" i="3"/>
  <c r="AU96" i="3"/>
  <c r="BC96" i="3" s="1"/>
  <c r="AT96" i="3"/>
  <c r="AW96" i="3" s="1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T95" i="3"/>
  <c r="CS95" i="3"/>
  <c r="CP95" i="3"/>
  <c r="CK95" i="3"/>
  <c r="CI95" i="3"/>
  <c r="CJ95" i="3" s="1"/>
  <c r="CF95" i="3"/>
  <c r="BS95" i="3"/>
  <c r="BR95" i="3"/>
  <c r="BO95" i="3"/>
  <c r="BM95" i="3"/>
  <c r="BJ95" i="3"/>
  <c r="BE95" i="3"/>
  <c r="AV95" i="3"/>
  <c r="AU95" i="3"/>
  <c r="AW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V94" i="3"/>
  <c r="AX94" i="3" s="1"/>
  <c r="AU94" i="3"/>
  <c r="BC94" i="3" s="1"/>
  <c r="AT94" i="3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W91" i="3"/>
  <c r="AV91" i="3"/>
  <c r="AU91" i="3"/>
  <c r="AT91" i="3"/>
  <c r="BC91" i="3" s="1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W90" i="3"/>
  <c r="AV90" i="3"/>
  <c r="AU90" i="3"/>
  <c r="AT90" i="3"/>
  <c r="BC90" i="3" s="1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X89" i="3"/>
  <c r="AW89" i="3"/>
  <c r="AV89" i="3"/>
  <c r="AU89" i="3"/>
  <c r="AT89" i="3"/>
  <c r="BC89" i="3" s="1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V88" i="3"/>
  <c r="AU88" i="3"/>
  <c r="AT88" i="3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T87" i="3"/>
  <c r="CS87" i="3"/>
  <c r="CP87" i="3"/>
  <c r="CK87" i="3"/>
  <c r="CJ87" i="3"/>
  <c r="CI87" i="3"/>
  <c r="CF87" i="3"/>
  <c r="BS87" i="3"/>
  <c r="BR87" i="3"/>
  <c r="BO87" i="3"/>
  <c r="BM87" i="3"/>
  <c r="BJ87" i="3"/>
  <c r="BE87" i="3"/>
  <c r="AV87" i="3"/>
  <c r="AU87" i="3"/>
  <c r="AT87" i="3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X86" i="3"/>
  <c r="AV86" i="3"/>
  <c r="AU86" i="3"/>
  <c r="AT86" i="3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V85" i="3"/>
  <c r="AX85" i="3" s="1"/>
  <c r="AU85" i="3"/>
  <c r="AT85" i="3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V83" i="3"/>
  <c r="AX83" i="3" s="1"/>
  <c r="AU83" i="3"/>
  <c r="AT83" i="3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X82" i="3"/>
  <c r="AV82" i="3"/>
  <c r="AU82" i="3"/>
  <c r="AT82" i="3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V81" i="3"/>
  <c r="AX81" i="3" s="1"/>
  <c r="AU81" i="3"/>
  <c r="AT81" i="3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T78" i="3"/>
  <c r="CS78" i="3"/>
  <c r="CP78" i="3"/>
  <c r="CK78" i="3"/>
  <c r="CJ78" i="3"/>
  <c r="CI78" i="3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T77" i="3"/>
  <c r="CS77" i="3"/>
  <c r="CP77" i="3"/>
  <c r="CK77" i="3"/>
  <c r="CI77" i="3"/>
  <c r="CJ77" i="3" s="1"/>
  <c r="CF77" i="3"/>
  <c r="BS77" i="3"/>
  <c r="BR77" i="3"/>
  <c r="BO77" i="3"/>
  <c r="BM77" i="3"/>
  <c r="BJ77" i="3"/>
  <c r="BE77" i="3"/>
  <c r="BC77" i="3"/>
  <c r="AV77" i="3"/>
  <c r="AU77" i="3"/>
  <c r="AW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W76" i="3" s="1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T75" i="3"/>
  <c r="CS75" i="3"/>
  <c r="CP75" i="3"/>
  <c r="CK75" i="3"/>
  <c r="CI75" i="3"/>
  <c r="CJ75" i="3" s="1"/>
  <c r="CF75" i="3"/>
  <c r="BS75" i="3"/>
  <c r="BR75" i="3"/>
  <c r="BO75" i="3"/>
  <c r="BM75" i="3"/>
  <c r="BJ75" i="3"/>
  <c r="BE75" i="3"/>
  <c r="BC75" i="3"/>
  <c r="AV75" i="3"/>
  <c r="AU75" i="3"/>
  <c r="AT75" i="3"/>
  <c r="AW75" i="3" s="1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T74" i="3"/>
  <c r="CS74" i="3"/>
  <c r="CP74" i="3"/>
  <c r="CK74" i="3"/>
  <c r="CJ74" i="3"/>
  <c r="CI74" i="3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W73" i="3"/>
  <c r="AV73" i="3"/>
  <c r="AU73" i="3"/>
  <c r="AT73" i="3"/>
  <c r="AX73" i="3" s="1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X61" i="3" s="1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BC58" i="3" s="1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AV57" i="3"/>
  <c r="AU57" i="3"/>
  <c r="BC57" i="3" s="1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X56" i="3" s="1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T54" i="3"/>
  <c r="CS54" i="3"/>
  <c r="CP54" i="3"/>
  <c r="CK54" i="3"/>
  <c r="CJ54" i="3"/>
  <c r="CI54" i="3"/>
  <c r="CF54" i="3"/>
  <c r="BS54" i="3"/>
  <c r="BR54" i="3"/>
  <c r="BO54" i="3"/>
  <c r="BM54" i="3"/>
  <c r="BJ54" i="3"/>
  <c r="BE54" i="3"/>
  <c r="AX54" i="3"/>
  <c r="AV54" i="3"/>
  <c r="AU54" i="3"/>
  <c r="AT54" i="3"/>
  <c r="AW54" i="3" s="1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T53" i="3"/>
  <c r="CS53" i="3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V52" i="3"/>
  <c r="AX52" i="3" s="1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V51" i="3"/>
  <c r="AX51" i="3" s="1"/>
  <c r="AU51" i="3"/>
  <c r="BC51" i="3" s="1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X50" i="3"/>
  <c r="AV50" i="3"/>
  <c r="AU50" i="3"/>
  <c r="BC50" i="3" s="1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AT47" i="3"/>
  <c r="AW47" i="3" s="1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I46" i="3"/>
  <c r="CJ46" i="3" s="1"/>
  <c r="CF46" i="3"/>
  <c r="BS46" i="3"/>
  <c r="BR46" i="3"/>
  <c r="BO46" i="3"/>
  <c r="BM46" i="3"/>
  <c r="BJ46" i="3"/>
  <c r="BE46" i="3"/>
  <c r="BC46" i="3"/>
  <c r="AV46" i="3"/>
  <c r="AU46" i="3"/>
  <c r="AT46" i="3"/>
  <c r="AW46" i="3" s="1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BC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BC44" i="3" s="1"/>
  <c r="AT44" i="3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J43" i="3"/>
  <c r="CI43" i="3"/>
  <c r="CF43" i="3"/>
  <c r="BS43" i="3"/>
  <c r="BR43" i="3"/>
  <c r="BO43" i="3"/>
  <c r="BM43" i="3"/>
  <c r="BJ43" i="3"/>
  <c r="BE43" i="3"/>
  <c r="AV43" i="3"/>
  <c r="AX43" i="3" s="1"/>
  <c r="AU43" i="3"/>
  <c r="BC43" i="3" s="1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X35" i="3"/>
  <c r="AV35" i="3"/>
  <c r="AU35" i="3"/>
  <c r="AT35" i="3"/>
  <c r="AW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V33" i="3"/>
  <c r="AX33" i="3" s="1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X29" i="3" s="1"/>
  <c r="AU29" i="3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T27" i="3"/>
  <c r="CS27" i="3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T26" i="3"/>
  <c r="CS26" i="3"/>
  <c r="CP26" i="3"/>
  <c r="CK26" i="3"/>
  <c r="CJ26" i="3"/>
  <c r="CI26" i="3"/>
  <c r="CF26" i="3"/>
  <c r="BS26" i="3"/>
  <c r="BR26" i="3"/>
  <c r="BO26" i="3"/>
  <c r="BM26" i="3"/>
  <c r="BJ26" i="3"/>
  <c r="BE26" i="3"/>
  <c r="AZ26" i="3"/>
  <c r="AV26" i="3"/>
  <c r="AX26" i="3" s="1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X22" i="3" s="1"/>
  <c r="AU22" i="3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T20" i="3"/>
  <c r="CS20" i="3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BC18" i="3" s="1"/>
  <c r="AT18" i="3"/>
  <c r="AQ18" i="3"/>
  <c r="AO18" i="3"/>
  <c r="AL18" i="3"/>
  <c r="AG18" i="3"/>
  <c r="AE18" i="3"/>
  <c r="AB18" i="3"/>
  <c r="W18" i="3"/>
  <c r="U18" i="3"/>
  <c r="R18" i="3"/>
  <c r="M18" i="3"/>
  <c r="EY17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T16" i="3"/>
  <c r="CS16" i="3"/>
  <c r="CP16" i="3"/>
  <c r="CK16" i="3"/>
  <c r="CJ16" i="3"/>
  <c r="CI16" i="3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T15" i="3"/>
  <c r="CS15" i="3"/>
  <c r="CP15" i="3"/>
  <c r="CK15" i="3"/>
  <c r="CJ15" i="3"/>
  <c r="CI15" i="3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BC13" i="3"/>
  <c r="AZ13" i="3"/>
  <c r="AV13" i="3"/>
  <c r="AU13" i="3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W12" i="3"/>
  <c r="AV12" i="3"/>
  <c r="AU12" i="3"/>
  <c r="AT12" i="3"/>
  <c r="AQ12" i="3"/>
  <c r="AO12" i="3"/>
  <c r="AL12" i="3"/>
  <c r="AG12" i="3"/>
  <c r="AE12" i="3"/>
  <c r="AB12" i="3"/>
  <c r="W12" i="3"/>
  <c r="U12" i="3"/>
  <c r="R12" i="3"/>
  <c r="M12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T11" i="3"/>
  <c r="CS11" i="3"/>
  <c r="CP11" i="3"/>
  <c r="CK11" i="3"/>
  <c r="CJ11" i="3"/>
  <c r="CI11" i="3"/>
  <c r="CF11" i="3"/>
  <c r="BY11" i="3"/>
  <c r="EY11" i="3" s="1"/>
  <c r="BS11" i="3"/>
  <c r="BR11" i="3"/>
  <c r="BO11" i="3"/>
  <c r="BM11" i="3"/>
  <c r="BJ11" i="3"/>
  <c r="BE11" i="3"/>
  <c r="AZ11" i="3"/>
  <c r="AX11" i="3"/>
  <c r="AV11" i="3"/>
  <c r="AU11" i="3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W10" i="3"/>
  <c r="AV10" i="3"/>
  <c r="AU10" i="3"/>
  <c r="AT10" i="3"/>
  <c r="AQ10" i="3"/>
  <c r="AO10" i="3"/>
  <c r="AL10" i="3"/>
  <c r="AG10" i="3"/>
  <c r="AE10" i="3"/>
  <c r="AB10" i="3"/>
  <c r="W10" i="3"/>
  <c r="U10" i="3"/>
  <c r="R10" i="3"/>
  <c r="M10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T8" i="3"/>
  <c r="CS8" i="3"/>
  <c r="CP8" i="3"/>
  <c r="CK8" i="3"/>
  <c r="CJ8" i="3"/>
  <c r="CI8" i="3"/>
  <c r="CF8" i="3"/>
  <c r="BY8" i="3"/>
  <c r="BZ8" i="3" s="1"/>
  <c r="BS8" i="3"/>
  <c r="BR8" i="3"/>
  <c r="BO8" i="3"/>
  <c r="BM8" i="3"/>
  <c r="BJ8" i="3"/>
  <c r="BE8" i="3"/>
  <c r="AZ8" i="3"/>
  <c r="AV8" i="3"/>
  <c r="AU8" i="3"/>
  <c r="AW8" i="3" s="1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J7" i="3"/>
  <c r="BE7" i="3"/>
  <c r="AZ7" i="3"/>
  <c r="AV7" i="3"/>
  <c r="AU7" i="3"/>
  <c r="AT7" i="3"/>
  <c r="AW7" i="3" s="1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X6" i="3" s="1"/>
  <c r="AU6" i="3"/>
  <c r="AT6" i="3"/>
  <c r="AQ6" i="3"/>
  <c r="AO6" i="3"/>
  <c r="AL6" i="3"/>
  <c r="AG6" i="3"/>
  <c r="AE6" i="3"/>
  <c r="AB6" i="3"/>
  <c r="W6" i="3"/>
  <c r="U6" i="3"/>
  <c r="R6" i="3"/>
  <c r="N6" i="3"/>
  <c r="DM6" i="3" s="1"/>
  <c r="DN6" i="3" s="1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Y5" i="3"/>
  <c r="EY5" i="3" s="1"/>
  <c r="BU5" i="3"/>
  <c r="EV5" i="3" s="1"/>
  <c r="BS5" i="3"/>
  <c r="BR5" i="3"/>
  <c r="BO5" i="3"/>
  <c r="BM5" i="3"/>
  <c r="BJ5" i="3"/>
  <c r="BE5" i="3"/>
  <c r="AZ5" i="3"/>
  <c r="AV5" i="3"/>
  <c r="AU5" i="3"/>
  <c r="AT5" i="3"/>
  <c r="AQ5" i="3"/>
  <c r="AO5" i="3"/>
  <c r="AP5" i="3" s="1"/>
  <c r="AL5" i="3"/>
  <c r="AG5" i="3"/>
  <c r="AE5" i="3"/>
  <c r="AB5" i="3"/>
  <c r="W5" i="3"/>
  <c r="U5" i="3"/>
  <c r="R5" i="3"/>
  <c r="M5" i="3"/>
  <c r="N5" i="3" s="1"/>
  <c r="EI4" i="3"/>
  <c r="EG4" i="3"/>
  <c r="ED4" i="3"/>
  <c r="EB4" i="3"/>
  <c r="DY4" i="3"/>
  <c r="DW4" i="3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U4" i="3"/>
  <c r="EV4" i="3" s="1"/>
  <c r="BS4" i="3"/>
  <c r="BR4" i="3"/>
  <c r="BO4" i="3"/>
  <c r="BM4" i="3"/>
  <c r="BN4" i="3" s="1"/>
  <c r="BJ4" i="3"/>
  <c r="BE4" i="3"/>
  <c r="AZ4" i="3"/>
  <c r="AV4" i="3"/>
  <c r="AU4" i="3"/>
  <c r="AT4" i="3"/>
  <c r="AQ4" i="3"/>
  <c r="AP4" i="3"/>
  <c r="AO4" i="3"/>
  <c r="AL4" i="3"/>
  <c r="AG4" i="3"/>
  <c r="AF4" i="3"/>
  <c r="AE4" i="3"/>
  <c r="AB4" i="3"/>
  <c r="W4" i="3"/>
  <c r="V4" i="3"/>
  <c r="U4" i="3"/>
  <c r="R4" i="3"/>
  <c r="M4" i="3"/>
  <c r="N4" i="3" s="1"/>
  <c r="EI3" i="3"/>
  <c r="EG3" i="3"/>
  <c r="EH3" i="3" s="1"/>
  <c r="EK3" i="3" s="1"/>
  <c r="FI14" i="3" s="1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O3" i="3"/>
  <c r="BM3" i="3"/>
  <c r="BJ3" i="3"/>
  <c r="BE3" i="3"/>
  <c r="AZ3" i="3"/>
  <c r="AV3" i="3"/>
  <c r="AU3" i="3"/>
  <c r="AT3" i="3"/>
  <c r="AW3" i="3" s="1"/>
  <c r="AQ3" i="3"/>
  <c r="AO3" i="3"/>
  <c r="AP3" i="3" s="1"/>
  <c r="AL3" i="3"/>
  <c r="AG3" i="3"/>
  <c r="AE3" i="3"/>
  <c r="AB3" i="3"/>
  <c r="W3" i="3"/>
  <c r="U3" i="3"/>
  <c r="V3" i="3" s="1"/>
  <c r="R3" i="3"/>
  <c r="M3" i="3"/>
  <c r="N3" i="3" s="1"/>
  <c r="EU2" i="3"/>
  <c r="N2" i="3"/>
  <c r="N18" i="3" s="1"/>
  <c r="BX15" i="7" l="1"/>
  <c r="BX13" i="7"/>
  <c r="BX18" i="7"/>
  <c r="BX10" i="7"/>
  <c r="BX6" i="7"/>
  <c r="BX17" i="7"/>
  <c r="BX19" i="7"/>
  <c r="BX11" i="7"/>
  <c r="BX8" i="7"/>
  <c r="BX7" i="7"/>
  <c r="BX5" i="7"/>
  <c r="BX12" i="7"/>
  <c r="BX16" i="7"/>
  <c r="BX9" i="7"/>
  <c r="BX14" i="7"/>
  <c r="CM9" i="3"/>
  <c r="CM3" i="3"/>
  <c r="FJ14" i="3" s="1"/>
  <c r="DX9" i="3"/>
  <c r="EH9" i="3"/>
  <c r="AF10" i="3"/>
  <c r="BN12" i="3"/>
  <c r="BC87" i="3"/>
  <c r="AW87" i="3"/>
  <c r="BU10" i="3"/>
  <c r="EV10" i="3" s="1"/>
  <c r="AF5" i="3"/>
  <c r="V10" i="3"/>
  <c r="EH10" i="3"/>
  <c r="BC14" i="3"/>
  <c r="BZ19" i="3"/>
  <c r="EY19" i="3"/>
  <c r="BC25" i="3"/>
  <c r="BC54" i="3"/>
  <c r="AW84" i="3"/>
  <c r="BC86" i="3"/>
  <c r="AW86" i="3"/>
  <c r="AX102" i="3"/>
  <c r="BC102" i="3"/>
  <c r="AF9" i="3"/>
  <c r="AF3" i="3"/>
  <c r="AX3" i="3"/>
  <c r="BN10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P13" i="3" s="1"/>
  <c r="Q13" i="3" s="1"/>
  <c r="AP13" i="3"/>
  <c r="AW13" i="3"/>
  <c r="AX13" i="3"/>
  <c r="BC22" i="3"/>
  <c r="BC26" i="3"/>
  <c r="BC29" i="3"/>
  <c r="BC39" i="3"/>
  <c r="AW39" i="3"/>
  <c r="AW44" i="3"/>
  <c r="AX46" i="3"/>
  <c r="BC48" i="3"/>
  <c r="AW63" i="3"/>
  <c r="BC63" i="3"/>
  <c r="AW72" i="3"/>
  <c r="BC72" i="3"/>
  <c r="AX75" i="3"/>
  <c r="BC88" i="3"/>
  <c r="AW88" i="3"/>
  <c r="AX90" i="3"/>
  <c r="AX91" i="3"/>
  <c r="AX93" i="3"/>
  <c r="BC95" i="3"/>
  <c r="AX111" i="3"/>
  <c r="BC111" i="3"/>
  <c r="BC113" i="3"/>
  <c r="BN6" i="3"/>
  <c r="AF11" i="3"/>
  <c r="DS7" i="3"/>
  <c r="EC6" i="3"/>
  <c r="EY6" i="3"/>
  <c r="AP8" i="3"/>
  <c r="AX8" i="3"/>
  <c r="DX10" i="3"/>
  <c r="V11" i="3"/>
  <c r="BZ11" i="3"/>
  <c r="BC38" i="3"/>
  <c r="BC47" i="3"/>
  <c r="BC83" i="3"/>
  <c r="AW83" i="3"/>
  <c r="BC93" i="3"/>
  <c r="AW93" i="3"/>
  <c r="V9" i="3"/>
  <c r="AP9" i="3"/>
  <c r="BC4" i="3"/>
  <c r="DX4" i="3"/>
  <c r="EH4" i="3"/>
  <c r="V5" i="3"/>
  <c r="AX5" i="3"/>
  <c r="BZ5" i="3"/>
  <c r="AW6" i="3"/>
  <c r="N7" i="3"/>
  <c r="AX7" i="3"/>
  <c r="BN7" i="3"/>
  <c r="AF8" i="3"/>
  <c r="DS8" i="3"/>
  <c r="EC8" i="3"/>
  <c r="EY8" i="3"/>
  <c r="EY9" i="3"/>
  <c r="BC10" i="3"/>
  <c r="BC11" i="3"/>
  <c r="DS11" i="3"/>
  <c r="EC11" i="3"/>
  <c r="BC23" i="3"/>
  <c r="AW31" i="3"/>
  <c r="BC35" i="3"/>
  <c r="AW41" i="3"/>
  <c r="AW65" i="3"/>
  <c r="BC65" i="3"/>
  <c r="BC82" i="3"/>
  <c r="AW82" i="3"/>
  <c r="AX87" i="3"/>
  <c r="BC97" i="3"/>
  <c r="AW97" i="3"/>
  <c r="AW102" i="3"/>
  <c r="BC105" i="3"/>
  <c r="AW105" i="3"/>
  <c r="AX110" i="3"/>
  <c r="AW110" i="3"/>
  <c r="AX119" i="3"/>
  <c r="AX123" i="3"/>
  <c r="AW130" i="3"/>
  <c r="AF13" i="3"/>
  <c r="AX14" i="3"/>
  <c r="AX25" i="3"/>
  <c r="AW27" i="3"/>
  <c r="BC31" i="3"/>
  <c r="AW42" i="3"/>
  <c r="AX65" i="3"/>
  <c r="BC67" i="3"/>
  <c r="AX69" i="3"/>
  <c r="AW71" i="3"/>
  <c r="BC81" i="3"/>
  <c r="AW81" i="3"/>
  <c r="BC85" i="3"/>
  <c r="AW85" i="3"/>
  <c r="AX92" i="3"/>
  <c r="AW99" i="3"/>
  <c r="AW106" i="3"/>
  <c r="BC117" i="3"/>
  <c r="BC125" i="3"/>
  <c r="AW126" i="3"/>
  <c r="AX152" i="3"/>
  <c r="BC12" i="3"/>
  <c r="DX12" i="3"/>
  <c r="EH12" i="3"/>
  <c r="BN13" i="3"/>
  <c r="AX15" i="3"/>
  <c r="BC21" i="3"/>
  <c r="BC27" i="3"/>
  <c r="BC28" i="3"/>
  <c r="AW29" i="3"/>
  <c r="AW30" i="3"/>
  <c r="BC30" i="3"/>
  <c r="AX31" i="3"/>
  <c r="BC33" i="3"/>
  <c r="AX37" i="3"/>
  <c r="BC42" i="3"/>
  <c r="BC49" i="3"/>
  <c r="BC53" i="3"/>
  <c r="AX60" i="3"/>
  <c r="AW61" i="3"/>
  <c r="BC61" i="3"/>
  <c r="AW64" i="3"/>
  <c r="BC66" i="3"/>
  <c r="BC68" i="3"/>
  <c r="BC73" i="3"/>
  <c r="BC80" i="3"/>
  <c r="AW94" i="3"/>
  <c r="AW98" i="3"/>
  <c r="BC99" i="3"/>
  <c r="BC104" i="3"/>
  <c r="BC121" i="3"/>
  <c r="BC127" i="3"/>
  <c r="AW128" i="3"/>
  <c r="AW146" i="3"/>
  <c r="AX149" i="3"/>
  <c r="AX151" i="3"/>
  <c r="AW48" i="3"/>
  <c r="AW49" i="3"/>
  <c r="AW50" i="3"/>
  <c r="AW51" i="3"/>
  <c r="AW52" i="3"/>
  <c r="BC55" i="3"/>
  <c r="AX57" i="3"/>
  <c r="AW62" i="3"/>
  <c r="AX64" i="3"/>
  <c r="AW69" i="3"/>
  <c r="BC71" i="3"/>
  <c r="BC74" i="3"/>
  <c r="BC84" i="3"/>
  <c r="BC92" i="3"/>
  <c r="AW104" i="3"/>
  <c r="BC133" i="3"/>
  <c r="BC135" i="3"/>
  <c r="BC140" i="3"/>
  <c r="AW143" i="3"/>
  <c r="AX144" i="3"/>
  <c r="BC134" i="3"/>
  <c r="AX135" i="3"/>
  <c r="BC138" i="3"/>
  <c r="AW139" i="3"/>
  <c r="AX141" i="3"/>
  <c r="AX142" i="3"/>
  <c r="AX143" i="3"/>
  <c r="CC16" i="7"/>
  <c r="CE14" i="7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CX13" i="3"/>
  <c r="CY13" i="3" s="1"/>
  <c r="DH13" i="3"/>
  <c r="DI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CW5" i="3" s="1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EK9" i="3" s="1"/>
  <c r="FI20" i="3" s="1"/>
  <c r="V6" i="3"/>
  <c r="AF6" i="3"/>
  <c r="AP6" i="3"/>
  <c r="BU7" i="3"/>
  <c r="EV7" i="3" s="1"/>
  <c r="CM7" i="3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CM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D127" i="3" s="1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EK12" i="3" l="1"/>
  <c r="FI23" i="3" s="1"/>
  <c r="CW11" i="3"/>
  <c r="CW12" i="3"/>
  <c r="AI8" i="3"/>
  <c r="FD19" i="3" s="1"/>
  <c r="CW6" i="3"/>
  <c r="BD31" i="3"/>
  <c r="Y10" i="3"/>
  <c r="FC21" i="3" s="1"/>
  <c r="CW8" i="3"/>
  <c r="CD13" i="3"/>
  <c r="CE13" i="3" s="1"/>
  <c r="DM13" i="3"/>
  <c r="DN13" i="3" s="1"/>
  <c r="BD146" i="3"/>
  <c r="EA7" i="3"/>
  <c r="FG18" i="3" s="1"/>
  <c r="BD19" i="3"/>
  <c r="Y11" i="3"/>
  <c r="FC22" i="3" s="1"/>
  <c r="BV11" i="3"/>
  <c r="BW11" i="3" s="1"/>
  <c r="CW10" i="3"/>
  <c r="EA10" i="3"/>
  <c r="FG21" i="3" s="1"/>
  <c r="BD10" i="3"/>
  <c r="EK7" i="3"/>
  <c r="FI18" i="3" s="1"/>
  <c r="AS10" i="3"/>
  <c r="FE21" i="3" s="1"/>
  <c r="EA9" i="3"/>
  <c r="FG20" i="3" s="1"/>
  <c r="AJ13" i="3"/>
  <c r="AK13" i="3" s="1"/>
  <c r="Z13" i="3"/>
  <c r="AA13" i="3" s="1"/>
  <c r="DC13" i="3"/>
  <c r="DD13" i="3" s="1"/>
  <c r="Y8" i="3"/>
  <c r="FC19" i="3" s="1"/>
  <c r="BV14" i="3"/>
  <c r="BD73" i="3"/>
  <c r="AY28" i="3"/>
  <c r="AI12" i="3"/>
  <c r="FD23" i="3" s="1"/>
  <c r="EF9" i="3"/>
  <c r="FH20" i="3" s="1"/>
  <c r="EF7" i="3"/>
  <c r="FH18" i="3" s="1"/>
  <c r="AS7" i="3"/>
  <c r="FE18" i="3" s="1"/>
  <c r="EK6" i="3"/>
  <c r="FI17" i="3" s="1"/>
  <c r="CW7" i="3"/>
  <c r="AI5" i="3"/>
  <c r="FD16" i="3" s="1"/>
  <c r="AS11" i="3"/>
  <c r="FE22" i="3" s="1"/>
  <c r="BH13" i="3"/>
  <c r="BI13" i="3" s="1"/>
  <c r="EW14" i="3"/>
  <c r="BW14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CR10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5" i="3" s="1"/>
  <c r="FF5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EW11" i="3" l="1"/>
  <c r="AN7" i="3"/>
  <c r="FE7" i="3" s="1"/>
  <c r="T11" i="3"/>
  <c r="FC11" i="3" s="1"/>
  <c r="DB3" i="3"/>
  <c r="FF3" i="3" s="1"/>
  <c r="CR9" i="3"/>
  <c r="T9" i="3"/>
  <c r="FC9" i="3" s="1"/>
  <c r="DQ6" i="3"/>
  <c r="FI6" i="3" s="1"/>
  <c r="DB8" i="3"/>
  <c r="FF8" i="3" s="1"/>
  <c r="DL3" i="3"/>
  <c r="FH3" i="3" s="1"/>
  <c r="DG4" i="3"/>
  <c r="FG4" i="3" s="1"/>
  <c r="DB9" i="3"/>
  <c r="FF9" i="3" s="1"/>
  <c r="DB10" i="3"/>
  <c r="FF10" i="3" s="1"/>
  <c r="CR6" i="3"/>
  <c r="BL10" i="3"/>
  <c r="FB10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X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 xr:uid="{00000000-0006-0000-0300-000003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 xr:uid="{00000000-0006-0000-0300-000004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 xr:uid="{00000000-0006-0000-0300-000005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 xr:uid="{00000000-0006-0000-0300-000006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 xr:uid="{00000000-0006-0000-0300-000007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 xr:uid="{00000000-0006-0000-0300-000008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 xr:uid="{00000000-0006-0000-0300-000009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 xr:uid="{00000000-0006-0000-0300-00000A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 xr:uid="{00000000-0006-0000-0300-00000B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<sst xmlns="http://schemas.openxmlformats.org/spreadsheetml/2006/main" count="2647" uniqueCount="171">
  <si>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</si>
  <si>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</si>
  <si>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</si>
  <si>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</si>
  <si>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</si>
  <si>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</si>
  <si>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</si>
  <si>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</si>
  <si>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</si>
  <si>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</si>
  <si>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</si>
  <si>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</si>
  <si>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</si>
  <si>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</si>
  <si>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</si>
  <si>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</si>
  <si>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</si>
  <si>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</si>
  <si>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</si>
  <si>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</si>
  <si>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</si>
  <si>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</si>
  <si>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</si>
  <si>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</si>
  <si>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</si>
  <si>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</si>
  <si>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</si>
  <si>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</si>
  <si>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</si>
  <si>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</si>
  <si>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</si>
  <si>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</si>
  <si>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</si>
  <si>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</si>
  <si>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</si>
  <si>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</si>
  <si>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</si>
  <si>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</si>
  <si>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</si>
  <si>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</si>
  <si>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</si>
  <si>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</si>
  <si>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</si>
  <si>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</si>
  <si>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</si>
  <si>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</si>
  <si>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</si>
  <si>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</si>
  <si>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</si>
  <si>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</si>
  <si>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</si>
  <si>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</si>
  <si>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</si>
  <si>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</si>
  <si>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</si>
  <si>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</si>
  <si>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</si>
  <si>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</si>
  <si>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</si>
  <si>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</si>
  <si>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</si>
  <si>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</si>
  <si>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</si>
  <si>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</si>
  <si>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</si>
  <si>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</si>
  <si>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</si>
  <si>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</si>
  <si>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</si>
  <si>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</si>
  <si>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</si>
  <si>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</si>
  <si>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</si>
  <si>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</si>
  <si>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</si>
  <si>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</si>
  <si>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</si>
  <si>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</si>
  <si>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</si>
  <si>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</si>
  <si>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</si>
  <si>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</si>
  <si>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</si>
  <si>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</si>
  <si>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</si>
  <si>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</si>
  <si>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</si>
  <si>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</si>
  <si>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</si>
  <si>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</si>
  <si>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</si>
  <si>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</si>
  <si>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</si>
  <si>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</si>
  <si>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</si>
  <si>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</si>
  <si>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</si>
  <si>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</si>
  <si>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</si>
  <si>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</si>
  <si>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</si>
  <si>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京都</t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</si>
  <si>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</si>
  <si>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</si>
  <si>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</si>
  <si>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</si>
  <si>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</si>
  <si>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</si>
  <si>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</si>
  <si>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</si>
  <si>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</si>
  <si>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</si>
  <si>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</si>
  <si>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</si>
  <si>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</si>
  <si>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</si>
  <si>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</si>
  <si>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</si>
  <si>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</si>
  <si>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</si>
  <si>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</si>
  <si>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</si>
  <si>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</si>
  <si>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</si>
  <si>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</si>
  <si>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</si>
  <si>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</si>
  <si>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</si>
  <si>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</si>
  <si>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</si>
  <si>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中京</t>
  </si>
  <si>
    <t>東京</t>
  </si>
  <si>
    <t>小倉</t>
  </si>
  <si>
    <t>阪神</t>
  </si>
  <si>
    <t>福島</t>
  </si>
  <si>
    <t>新潟</t>
  </si>
  <si>
    <t>函館</t>
  </si>
  <si>
    <t>札幌</t>
  </si>
  <si>
    <t>１４人気</t>
    <rPh sb="2" eb="4">
      <t>ニンキ</t>
    </rPh>
    <phoneticPr fontId="1"/>
  </si>
  <si>
    <t>頭軸点数</t>
    <rPh sb="0" eb="2">
      <t>アタマジク</t>
    </rPh>
    <rPh sb="2" eb="4">
      <t>テンスウ</t>
    </rPh>
    <phoneticPr fontId="1"/>
  </si>
  <si>
    <t>紐軸点数</t>
    <rPh sb="0" eb="1">
      <t>ヒモ</t>
    </rPh>
    <rPh sb="1" eb="2">
      <t>ジク</t>
    </rPh>
    <rPh sb="2" eb="4">
      <t>テンスウ</t>
    </rPh>
    <phoneticPr fontId="1"/>
  </si>
  <si>
    <t>馬番</t>
    <rPh sb="0" eb="1">
      <t>バ</t>
    </rPh>
    <rPh sb="1" eb="2">
      <t>バン</t>
    </rPh>
    <phoneticPr fontId="1"/>
  </si>
  <si>
    <t>人気点数</t>
    <rPh sb="0" eb="2">
      <t>ニンキ</t>
    </rPh>
    <rPh sb="2" eb="4">
      <t>テンスウ</t>
    </rPh>
    <phoneticPr fontId="1"/>
  </si>
  <si>
    <t>人気点順位</t>
    <rPh sb="0" eb="2">
      <t>ニンキ</t>
    </rPh>
    <rPh sb="2" eb="3">
      <t>テン</t>
    </rPh>
    <rPh sb="3" eb="5">
      <t>ジュンイ</t>
    </rPh>
    <phoneticPr fontId="1"/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</si>
  <si>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ver2.5</t>
    </r>
    <phoneticPr fontId="1"/>
  </si>
  <si>
    <t>中山</t>
    <phoneticPr fontId="1"/>
  </si>
  <si>
    <t>中山</t>
    <phoneticPr fontId="1"/>
  </si>
  <si>
    <t>京都</t>
    <phoneticPr fontId="1"/>
  </si>
  <si>
    <t>小倉</t>
    <phoneticPr fontId="1"/>
  </si>
  <si>
    <t>東京</t>
    <phoneticPr fontId="1"/>
  </si>
  <si>
    <t>中京</t>
    <phoneticPr fontId="1"/>
  </si>
  <si>
    <t>阪神</t>
    <phoneticPr fontId="1"/>
  </si>
  <si>
    <t>福島</t>
    <phoneticPr fontId="1"/>
  </si>
  <si>
    <t>新潟</t>
    <phoneticPr fontId="1"/>
  </si>
  <si>
    <t>函館</t>
    <phoneticPr fontId="1"/>
  </si>
  <si>
    <t>札幌</t>
    <phoneticPr fontId="1"/>
  </si>
  <si>
    <t>エドノフェリーチェ　　　　　　　　　</t>
    <phoneticPr fontId="1"/>
  </si>
  <si>
    <t>フジマサヒーロー　　　　　　　　　　</t>
  </si>
  <si>
    <t>エルバルーチェ　　　　　　　　　　　</t>
  </si>
  <si>
    <t>フィエールボス　　　　　　　　　　　</t>
  </si>
  <si>
    <t>シアンフィデール　　　　　　　　　　</t>
  </si>
  <si>
    <t>ベリンダアン　　　　　　　　　　　　</t>
  </si>
  <si>
    <t>シュラハトシップ　　　　　　　　　　</t>
  </si>
  <si>
    <t>セイウンソルジャー　　　　　　　　　</t>
  </si>
  <si>
    <t>マイネルクロンヌ　　　　　　　　　　</t>
  </si>
  <si>
    <t>コスモレペティール　　　　　　　　　</t>
  </si>
  <si>
    <t>ベスビアナイト　　　　　　　　　　　</t>
  </si>
  <si>
    <t>アウティスタ　　　　　　　　　　　　</t>
  </si>
  <si>
    <t>シャドウワルツ　　　　　　　　　　　</t>
  </si>
  <si>
    <t>フェスティヴスーリ　　　　　　　　　</t>
  </si>
  <si>
    <t>メンフィス　　　　　　　　　　　　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</si>
</sst>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[$€-2]\ #,##0.00;[Red]\-[$€-2]\ #,##0.00"/>
    <numFmt numFmtId="178" formatCode="0.0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0" fontId="7" fillId="3" borderId="0" xfId="6" applyAlignment="1">
      <alignment horizontal="center"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 xr:uid="{00000000-0005-0000-0000-000006000000}"/>
    <cellStyle name="桁区切り 2" xfId="2" xr:uid="{00000000-0005-0000-0000-000008000000}"/>
    <cellStyle name="標準" xfId="0" builtinId="0"/>
    <cellStyle name="標準 2" xfId="3" xr:uid="{00000000-0005-0000-0000-00000A000000}"/>
    <cellStyle name="標準 4" xfId="1" xr:uid="{00000000-0005-0000-0000-00000B000000}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144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CommandButton2">
          <controlPr defaultSize="0" autoLine="0" r:id="rId5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4" name="CommandButton2"/>
      </mc:Fallback>
    </mc:AlternateContent>
    <mc:AlternateContent xmlns:mc="http://schemas.openxmlformats.org/markup-compatibility/2006">
      <mc:Choice Requires="x14">
        <control shapeId="1054" r:id="rId6" name="Label2">
          <controlPr defaultSize="0" autoLine="0" r:id="rId7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6" name="Label2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1" r:id="rId10" name="Label1">
          <controlPr defaultSize="0" autoLine="0" r:id="rId11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10" name="Label1"/>
      </mc:Fallback>
    </mc:AlternateContent>
    <mc:AlternateContent xmlns:mc="http://schemas.openxmlformats.org/markup-compatibility/2006">
      <mc:Choice Requires="x14">
        <control shapeId="1050" r:id="rId12" name="CommandButton1">
          <controlPr defaultSize="0" autoLine="0" r:id="rId13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12" name="CommandButton1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ED214"/>
  <sheetViews>
    <sheetView workbookViewId="0"/>
  </sheetViews>
  <sheetFormatPr defaultRowHeight="18.75"/>
  <cols>
    <col min="13" max="13" width="9.75" customWidth="1"/>
  </cols>
  <sheetData>
    <row r="2" spans="1:129">
      <c r="BM2" t="s">
        <v>102</v>
      </c>
      <c r="BY2" t="s">
        <v>103</v>
      </c>
      <c r="CK2" t="s">
        <v>103</v>
      </c>
    </row>
    <row r="3" spans="1:129"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R3" s="25" t="s">
        <v>105</v>
      </c>
      <c r="AS3" s="25" t="s">
        <v>104</v>
      </c>
      <c r="AT3" s="25" t="s">
        <v>105</v>
      </c>
      <c r="AU3" s="25" t="s">
        <v>104</v>
      </c>
      <c r="AV3" s="25" t="s">
        <v>105</v>
      </c>
      <c r="AW3" s="25" t="s">
        <v>104</v>
      </c>
      <c r="AX3" s="25" t="s">
        <v>105</v>
      </c>
      <c r="AY3" s="25" t="s">
        <v>104</v>
      </c>
      <c r="AZ3" s="25" t="s">
        <v>105</v>
      </c>
      <c r="BA3" s="25" t="s">
        <v>104</v>
      </c>
      <c r="BB3" s="25" t="s">
        <v>105</v>
      </c>
      <c r="BC3" s="25" t="s">
        <v>104</v>
      </c>
      <c r="BD3" s="25" t="s">
        <v>105</v>
      </c>
      <c r="BE3" s="25" t="s">
        <v>104</v>
      </c>
      <c r="BF3" s="25" t="s">
        <v>105</v>
      </c>
      <c r="BG3" s="25" t="s">
        <v>104</v>
      </c>
      <c r="BH3" s="25" t="s">
        <v>105</v>
      </c>
      <c r="BI3" s="25" t="s">
        <v>104</v>
      </c>
      <c r="BJ3" s="25" t="s">
        <v>105</v>
      </c>
      <c r="BK3" s="25" t="s">
        <v>104</v>
      </c>
      <c r="BM3" s="25" t="s">
        <v>105</v>
      </c>
      <c r="BN3" s="25" t="s">
        <v>104</v>
      </c>
      <c r="BO3" s="25" t="s">
        <v>105</v>
      </c>
      <c r="BP3" s="25" t="s">
        <v>104</v>
      </c>
      <c r="BQ3" s="25" t="s">
        <v>105</v>
      </c>
      <c r="BR3" s="25" t="s">
        <v>104</v>
      </c>
      <c r="BS3" s="25" t="s">
        <v>105</v>
      </c>
      <c r="BT3" s="25" t="s">
        <v>104</v>
      </c>
      <c r="BU3" s="25" t="s">
        <v>105</v>
      </c>
      <c r="BV3" s="25" t="s">
        <v>104</v>
      </c>
      <c r="BY3" s="25" t="s">
        <v>105</v>
      </c>
      <c r="BZ3" s="25" t="s">
        <v>104</v>
      </c>
      <c r="CA3" s="25" t="s">
        <v>105</v>
      </c>
      <c r="CB3" s="25" t="s">
        <v>104</v>
      </c>
      <c r="CC3" s="25" t="s">
        <v>105</v>
      </c>
      <c r="CD3" s="25" t="s">
        <v>104</v>
      </c>
      <c r="CE3" s="25" t="s">
        <v>105</v>
      </c>
      <c r="CF3" s="25" t="s">
        <v>104</v>
      </c>
      <c r="CG3" s="25" t="s">
        <v>105</v>
      </c>
      <c r="CH3" s="25" t="s">
        <v>104</v>
      </c>
      <c r="CK3" s="25" t="s">
        <v>105</v>
      </c>
      <c r="CL3" s="25" t="s">
        <v>104</v>
      </c>
      <c r="CM3" s="25" t="s">
        <v>105</v>
      </c>
      <c r="CN3" s="25" t="s">
        <v>104</v>
      </c>
      <c r="CO3" s="25" t="s">
        <v>105</v>
      </c>
      <c r="CP3" s="25" t="s">
        <v>104</v>
      </c>
      <c r="CQ3" s="25" t="s">
        <v>105</v>
      </c>
      <c r="CR3" s="25" t="s">
        <v>104</v>
      </c>
      <c r="CS3" s="25" t="s">
        <v>105</v>
      </c>
      <c r="CT3" s="25" t="s">
        <v>104</v>
      </c>
    </row>
    <row r="4" spans="1:129">
      <c r="A4" t="s">
        <v>106</v>
      </c>
      <c r="B4" t="s">
        <v>107</v>
      </c>
      <c r="C4" t="s">
        <v>108</v>
      </c>
      <c r="D4" t="s">
        <v>109</v>
      </c>
      <c r="E4" t="s">
        <v>110</v>
      </c>
      <c r="F4" t="s">
        <v>111</v>
      </c>
      <c r="G4" t="s">
        <v>112</v>
      </c>
      <c r="H4" t="s">
        <v>113</v>
      </c>
      <c r="I4" t="s">
        <v>114</v>
      </c>
      <c r="J4" t="s">
        <v>115</v>
      </c>
      <c r="L4" s="25"/>
      <c r="AA4" s="25"/>
      <c r="AB4" s="25"/>
      <c r="AC4" s="25"/>
      <c r="AD4" s="25"/>
      <c r="AE4" s="25"/>
      <c r="AF4" s="25"/>
      <c r="AG4" s="25"/>
      <c r="AH4" s="25"/>
      <c r="AI4" s="25"/>
      <c r="AJ4" s="32" t="s">
        <v>141</v>
      </c>
      <c r="AK4" s="32" t="s">
        <v>142</v>
      </c>
      <c r="AL4" s="32" t="s">
        <v>143</v>
      </c>
      <c r="AM4" s="25"/>
      <c r="AN4" s="25"/>
      <c r="AO4" s="25"/>
      <c r="AP4" s="25"/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  <c r="CW4" t="s">
        <v>116</v>
      </c>
      <c r="CX4" t="s">
        <v>117</v>
      </c>
      <c r="CY4" t="s">
        <v>118</v>
      </c>
      <c r="CZ4" t="s">
        <v>119</v>
      </c>
      <c r="DA4" t="s">
        <v>120</v>
      </c>
      <c r="DB4" t="s">
        <v>121</v>
      </c>
      <c r="DC4" t="s">
        <v>122</v>
      </c>
      <c r="DD4" t="s">
        <v>123</v>
      </c>
      <c r="DE4" t="s">
        <v>124</v>
      </c>
      <c r="DF4" s="25" t="s">
        <v>125</v>
      </c>
      <c r="DG4" s="25" t="s">
        <v>126</v>
      </c>
      <c r="DH4" s="25" t="s">
        <v>127</v>
      </c>
      <c r="DI4" s="25" t="s">
        <v>128</v>
      </c>
      <c r="DJ4" s="25" t="s">
        <v>138</v>
      </c>
      <c r="DL4" t="s">
        <v>116</v>
      </c>
      <c r="DM4" t="s">
        <v>117</v>
      </c>
      <c r="DN4" t="s">
        <v>118</v>
      </c>
      <c r="DO4" t="s">
        <v>119</v>
      </c>
      <c r="DP4" t="s">
        <v>120</v>
      </c>
      <c r="DQ4" t="s">
        <v>121</v>
      </c>
      <c r="DR4" t="s">
        <v>122</v>
      </c>
      <c r="DS4" t="s">
        <v>123</v>
      </c>
      <c r="DT4" t="s">
        <v>124</v>
      </c>
      <c r="DU4" s="25" t="s">
        <v>125</v>
      </c>
      <c r="DV4" s="25" t="s">
        <v>126</v>
      </c>
      <c r="DW4" s="25" t="s">
        <v>127</v>
      </c>
      <c r="DX4" s="25" t="s">
        <v>128</v>
      </c>
      <c r="DY4" s="25" t="s">
        <v>138</v>
      </c>
    </row>
    <row r="5" spans="1:129">
      <c r="A5">
        <v>3</v>
      </c>
      <c r="B5">
        <v>9</v>
      </c>
      <c r="C5">
        <v>8.3000000000000007</v>
      </c>
      <c r="D5">
        <v>1</v>
      </c>
      <c r="E5">
        <v>3</v>
      </c>
      <c r="F5">
        <v>21803</v>
      </c>
      <c r="G5">
        <v>16.5</v>
      </c>
      <c r="H5">
        <v>5.5</v>
      </c>
      <c r="L5">
        <f>IFERROR(C5/H5,"")</f>
        <v>1.5090909090909093</v>
      </c>
      <c r="M5">
        <f>IFERROR(C5-H5,"")</f>
        <v>2.8000000000000007</v>
      </c>
      <c r="O5">
        <f t="shared" ref="O5:O30" si="0">IF(D5&lt;E5,C5,"")</f>
        <v>8.3000000000000007</v>
      </c>
      <c r="P5">
        <f>IF(D5&lt;E5,C5/H5,"")</f>
        <v>1.5090909090909093</v>
      </c>
      <c r="V5" t="str">
        <f t="shared" ref="V5:V30" si="1">IF(D5&gt;E5,C5,"")</f>
        <v/>
      </c>
      <c r="W5" t="str">
        <f t="shared" ref="W5:W30" si="2">IF(D5&gt;E5,C5/H5,"")</f>
        <v/>
      </c>
      <c r="AJ5">
        <v>1</v>
      </c>
      <c r="AK5" t="e">
        <f>#REF!</f>
        <v>#REF!</v>
      </c>
      <c r="AL5" s="25" t="str">
        <f>IFERROR(RANK(AK5,AK5:AK22,0),"")</f>
        <v/>
      </c>
      <c r="AR5">
        <f>IF($D5=AR$4,$H5,"")</f>
        <v>5.5</v>
      </c>
      <c r="AS5" s="25">
        <f>IFERROR(IF(AR5="","",$E5),"")</f>
        <v>3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>IFERROR(IF(BB5="","",$E5),"")</f>
        <v/>
      </c>
      <c r="BD5" t="str">
        <f>IF($D5=BD$4,$H5,"")</f>
        <v/>
      </c>
      <c r="BE5" s="25" t="str">
        <f t="shared" ref="BE5:BE68" si="5">IFERROR(IF(BD5="","",$E5),"")</f>
        <v/>
      </c>
      <c r="BF5" t="str">
        <f>IF($D5=BF$4,$H5,"")</f>
        <v/>
      </c>
      <c r="BG5" s="25" t="str">
        <f t="shared" ref="BG5:BG68" si="6">IFERROR(IF(BF5="","",$E5),"")</f>
        <v/>
      </c>
      <c r="BH5" t="str">
        <f>IF($D5=BH$4,$H5,"")</f>
        <v/>
      </c>
      <c r="BI5" s="25" t="str">
        <f t="shared" ref="BI5:BI68" si="7">IFERROR(IF(BH5="","",$E5),"")</f>
        <v/>
      </c>
      <c r="BJ5" t="str">
        <f>IF($D5=BJ$4,$H5,"")</f>
        <v/>
      </c>
      <c r="BK5" s="25" t="str">
        <f t="shared" ref="BK5:BK68" si="8">IFERROR(IF(BJ5="","",$E5),"")</f>
        <v/>
      </c>
      <c r="BM5">
        <f t="array" ref="BM5">IFERROR(VALUE(INDEX(AR:AR,SMALL(IF($AR$5:$AR$150&lt;&gt;"",ROW($AR$5:$AR$150),9999),ROW(A1)))&amp;""),"")</f>
        <v>5.5</v>
      </c>
      <c r="BN5">
        <f t="array" ref="BN5">IFERROR(VALUE(INDEX(AS:AS,SMALL(IF($AS$5:$AS$150&lt;&gt;"",ROW($AS$5:$AS$150),9999),ROW(A1)))&amp;""),"")</f>
        <v>3</v>
      </c>
      <c r="BO5">
        <f t="array" ref="BO5">IFERROR(VALUE(INDEX(AT:AT,SMALL(IF($AT$5:$AT$150&lt;&gt;"",ROW($AT$5:$AT$150),9999),ROW(A1)))&amp;""),"")</f>
        <v>9.3000000000000007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8.3000000000000007</v>
      </c>
      <c r="BR5">
        <f t="array" ref="BR5">IFERROR(VALUE(INDEX(AW:AW,SMALL(IF($AW$5:$AW$150&lt;&gt;"",ROW($AW$5:$AW$150),9999),ROW(A1)))&amp;""),"")</f>
        <v>1</v>
      </c>
      <c r="BS5">
        <f t="array" ref="BS5">IFERROR(VALUE(INDEX(AX:AX,SMALL(IF($AX$5:$AX$150&lt;&gt;"",ROW($AX$5:$AX$150),9999),ROW(A1)))&amp;""),"")</f>
        <v>12.3</v>
      </c>
      <c r="BT5">
        <f t="array" ref="BT5">IFERROR(VALUE(INDEX(AY:AY,SMALL(IF($AY$5:$AY$150&lt;&gt;"",ROW($AY$5:$AY$150),9999),ROW(A1)))&amp;""),"")</f>
        <v>1</v>
      </c>
      <c r="BU5">
        <f t="array" ref="BU5">IFERROR(VALUE(INDEX(AZ:AZ,SMALL(IF($AZ$5:$AZ$150&lt;&gt;"",ROW($AZ$5:$AZ$150),9999),ROW(A1)))&amp;""),"")</f>
        <v>20.5</v>
      </c>
      <c r="BV5">
        <f t="array" ref="BV5">IFERROR(VALUE(INDEX(BA:BA,SMALL(IF($BA$5:$BA$150&lt;&gt;"",ROW($BA$5:$BA$150),9999),ROW(A1)))&amp;""),"")</f>
        <v>1</v>
      </c>
      <c r="BX5">
        <f>IFERROR(ROUNDUP(BM5-BM6,2),"")</f>
        <v>-11.8</v>
      </c>
      <c r="BY5">
        <f>IFERROR(ROUNDUP(BM6/BM5,2),"")</f>
        <v>3.15</v>
      </c>
      <c r="BZ5">
        <f>BN5</f>
        <v>3</v>
      </c>
      <c r="CA5">
        <f>IFERROR(ROUNDUP(BO6/BO5,2),"")</f>
        <v>4.12</v>
      </c>
      <c r="CB5">
        <f>BP5</f>
        <v>1</v>
      </c>
      <c r="CC5">
        <f>IFERROR(ROUNDUP(BQ6/BQ5,2),"")</f>
        <v>5.27</v>
      </c>
      <c r="CD5">
        <f>BR5</f>
        <v>1</v>
      </c>
      <c r="CE5">
        <f>IFERROR(ROUNDUP(BS6/BS5,2),"")</f>
        <v>2.9299999999999997</v>
      </c>
      <c r="CF5">
        <f>BT5</f>
        <v>1</v>
      </c>
      <c r="CG5">
        <f>IFERROR(ROUNDUP(BU6/BU5,2),"")</f>
        <v>3.1799999999999997</v>
      </c>
      <c r="CH5">
        <f>BV5</f>
        <v>1</v>
      </c>
      <c r="CW5">
        <f t="shared" ref="CW5:CW32" si="9">IF($D5=1,$Q5,"")</f>
        <v>0</v>
      </c>
      <c r="CX5" t="str">
        <f t="shared" ref="CX5:CX32" si="10">IF($D5=2,$Q5,"")</f>
        <v/>
      </c>
      <c r="CY5" t="str">
        <f t="shared" ref="CY5:CY32" si="11">IF($D5=3,$Q5,"")</f>
        <v/>
      </c>
      <c r="CZ5" t="str">
        <f t="shared" ref="CZ5:CZ32" si="12">IF($D5=4,$Q5,"")</f>
        <v/>
      </c>
      <c r="DA5" t="str">
        <f t="shared" ref="DA5:DA32" si="13">IF($D5=5,$Q5,"")</f>
        <v/>
      </c>
      <c r="DB5" t="str">
        <f t="shared" ref="DB5:DB32" si="14">IF($D5=6,$Q5,"")</f>
        <v/>
      </c>
      <c r="DC5" t="str">
        <f t="shared" ref="DC5:DC32" si="15">IF($D5=7,$Q5,"")</f>
        <v/>
      </c>
      <c r="DD5" t="str">
        <f t="shared" ref="DD5:DD32" si="16">IF($D5=8,$Q5,"")</f>
        <v/>
      </c>
      <c r="DE5" t="str">
        <f t="shared" ref="DE5:DE32" si="17">IF($D5=9,$Q5,"")</f>
        <v/>
      </c>
      <c r="DF5" t="str">
        <f t="shared" ref="DF5:DF32" si="18">IF($D5=10,$Q5,"")</f>
        <v/>
      </c>
      <c r="DG5" t="str">
        <f t="shared" ref="DG5:DG32" si="19">IF($D5=11,$Q5,"")</f>
        <v/>
      </c>
      <c r="DH5" t="str">
        <f t="shared" ref="DH5:DH32" si="20">IF($D5=12,$Q5,"")</f>
        <v/>
      </c>
      <c r="DI5" t="str">
        <f t="shared" ref="DI5:DI32" si="21">IF($D5=13,$Q5,"")</f>
        <v/>
      </c>
      <c r="DJ5" t="str">
        <f t="shared" ref="DJ5:DJ32" si="22">IF($D5=14,$Q5,"")</f>
        <v/>
      </c>
      <c r="DL5" t="str">
        <f t="shared" ref="DL5:DL32" si="23">IF($E5=1,$Q5,"")</f>
        <v/>
      </c>
      <c r="DM5" t="str">
        <f t="shared" ref="DM5:DM32" si="24">IF($E5=2,$Q5,"")</f>
        <v/>
      </c>
      <c r="DN5">
        <f t="shared" ref="DN5:DN32" si="25">IF($E5=3,$Q5,"")</f>
        <v>0</v>
      </c>
      <c r="DO5" t="str">
        <f t="shared" ref="DO5:DO32" si="26">IF($E5=4,$Q5,"")</f>
        <v/>
      </c>
      <c r="DP5" t="str">
        <f t="shared" ref="DP5:DP32" si="27">IF($E5=5,$Q5,"")</f>
        <v/>
      </c>
      <c r="DQ5" t="str">
        <f t="shared" ref="DQ5:DQ32" si="28">IF($E5=6,$Q5,"")</f>
        <v/>
      </c>
      <c r="DR5" t="str">
        <f t="shared" ref="DR5:DR32" si="29">IF($E5=7,$Q5,"")</f>
        <v/>
      </c>
      <c r="DS5" t="str">
        <f t="shared" ref="DS5:DS32" si="30">IF($E5=8,$Q5,"")</f>
        <v/>
      </c>
      <c r="DT5" t="str">
        <f t="shared" ref="DT5:DT32" si="31">IF($E5=9,$Q5,"")</f>
        <v/>
      </c>
      <c r="DU5" t="str">
        <f t="shared" ref="DU5:DU32" si="32">IF($E5=10,$Q5,"")</f>
        <v/>
      </c>
      <c r="DV5" t="str">
        <f t="shared" ref="DV5:DV32" si="33">IF($E5=11,$Q5,"")</f>
        <v/>
      </c>
      <c r="DW5" t="str">
        <f t="shared" ref="DW5:DW32" si="34">IF($E5=12,$Q5,"")</f>
        <v/>
      </c>
      <c r="DX5" t="str">
        <f t="shared" ref="DX5:DX32" si="35">IF($E5=13,$Q5,"")</f>
        <v/>
      </c>
      <c r="DY5" t="str">
        <f t="shared" ref="DY5:DY32" si="36">IF($E5=14,$Q5,"")</f>
        <v/>
      </c>
    </row>
    <row r="6" spans="1:129">
      <c r="A6">
        <v>3</v>
      </c>
      <c r="B6">
        <v>13</v>
      </c>
      <c r="C6">
        <v>9.3000000000000007</v>
      </c>
      <c r="D6">
        <v>1</v>
      </c>
      <c r="E6">
        <v>2</v>
      </c>
      <c r="F6">
        <v>19613</v>
      </c>
      <c r="G6">
        <v>17.3</v>
      </c>
      <c r="H6">
        <v>6</v>
      </c>
      <c r="L6">
        <f t="shared" ref="L6:L32" si="37">IFERROR(C6/H6,"")</f>
        <v>1.55</v>
      </c>
      <c r="M6">
        <f t="shared" ref="M6:M31" si="38">IFERROR(C6-H6,"")</f>
        <v>3.3000000000000007</v>
      </c>
      <c r="O6">
        <f t="shared" si="0"/>
        <v>9.3000000000000007</v>
      </c>
      <c r="P6">
        <f t="shared" ref="P6:P30" si="39">IF(D6&lt;E6,C6/H6,"")</f>
        <v>1.55</v>
      </c>
      <c r="V6" t="str">
        <f t="shared" si="1"/>
        <v/>
      </c>
      <c r="W6" t="str">
        <f t="shared" si="2"/>
        <v/>
      </c>
      <c r="AJ6">
        <v>2</v>
      </c>
      <c r="AK6" t="e">
        <f>#REF!</f>
        <v>#REF!</v>
      </c>
      <c r="AL6" s="25" t="str">
        <f>IFERROR(RANK(AK6,AK5:AK22,0),"")</f>
        <v/>
      </c>
      <c r="AR6">
        <f t="shared" ref="AR6:AR69" si="40">IF($D6=AR$4,$G6,"")</f>
        <v>17.3</v>
      </c>
      <c r="AS6" s="25">
        <f t="shared" ref="AS6:AS69" si="41">IFERROR(IF(AR6="","",E6),"")</f>
        <v>2</v>
      </c>
      <c r="AT6" t="str">
        <f t="shared" ref="AT6:AT69" si="42">IF($D6=AT$4,$G6,"")</f>
        <v/>
      </c>
      <c r="AU6" s="25" t="str">
        <f t="shared" ref="AU6:AW69" si="43">IFERROR(IF(AT6="","",$E6),"")</f>
        <v/>
      </c>
      <c r="AV6" t="str">
        <f t="shared" ref="AV6:AV69" si="44">IF($D6=AV$4,$G6,"")</f>
        <v/>
      </c>
      <c r="AW6" s="25" t="str">
        <f t="shared" si="43"/>
        <v/>
      </c>
      <c r="AX6" t="str">
        <f t="shared" ref="AX6:AX69" si="45">IF($D6=AX$4,$G6,"")</f>
        <v/>
      </c>
      <c r="AY6" s="25" t="str">
        <f t="shared" si="3"/>
        <v/>
      </c>
      <c r="AZ6" t="str">
        <f t="shared" ref="AZ6:AZ69" si="46">IF($D6=AZ$4,$G6,"")</f>
        <v/>
      </c>
      <c r="BA6" s="25" t="str">
        <f t="shared" si="4"/>
        <v/>
      </c>
      <c r="BB6" t="str">
        <f t="shared" ref="BB6:BB69" si="47">IF($D6=BB$4,$G6,"")</f>
        <v/>
      </c>
      <c r="BC6" s="25" t="str">
        <f t="shared" ref="BC6:BC68" si="48">IFERROR(IF(BB6="","",$E6),"")</f>
        <v/>
      </c>
      <c r="BD6" t="str">
        <f t="shared" ref="BD6:BD69" si="49">IF($D6=BD$4,$G6,"")</f>
        <v/>
      </c>
      <c r="BE6" s="25" t="str">
        <f t="shared" si="5"/>
        <v/>
      </c>
      <c r="BF6" t="str">
        <f t="shared" ref="BF6:BF69" si="50">IF($D6=BF$4,$G6,"")</f>
        <v/>
      </c>
      <c r="BG6" s="25" t="str">
        <f t="shared" si="6"/>
        <v/>
      </c>
      <c r="BH6" t="str">
        <f t="shared" ref="BH6:BH69" si="51">IF($D6=BH$4,$G6,"")</f>
        <v/>
      </c>
      <c r="BI6" s="25" t="str">
        <f t="shared" si="7"/>
        <v/>
      </c>
      <c r="BJ6" t="str">
        <f t="shared" ref="BJ6:BJ69" si="52">IF($D6=BJ$4,$G6,"")</f>
        <v/>
      </c>
      <c r="BK6" s="25" t="str">
        <f t="shared" si="8"/>
        <v/>
      </c>
      <c r="BM6">
        <f t="array" ref="BM6">IFERROR(VALUE(INDEX(AR:AR,SMALL(IF($AR$5:$AR$150&lt;&gt;"",ROW($AR$5:$AR$150),9999),ROW(A2)))&amp;""),"")</f>
        <v>17.3</v>
      </c>
      <c r="BN6">
        <f t="array" ref="BN6">IFERROR(VALUE(INDEX(AS:AS,SMALL(IF($AS$5:$AS$150&lt;&gt;"",ROW($AS$5:$AS$150),9999),ROW(A2)))&amp;""),"")</f>
        <v>2</v>
      </c>
      <c r="BO6">
        <f t="array" ref="BO6">IFERROR(VALUE(INDEX(AT:AT,SMALL(IF($AT$5:$AT$150&lt;&gt;"",ROW($AT$5:$AT$150),9999),ROW(A2)))&amp;""),"")</f>
        <v>38.299999999999997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43.7</v>
      </c>
      <c r="BR6">
        <f t="array" ref="BR6">IFERROR(VALUE(INDEX(AW:AW,SMALL(IF($AW$5:$AW$150&lt;&gt;"",ROW($AW$5:$AW$150),9999),ROW(A2)))&amp;""),"")</f>
        <v>4</v>
      </c>
      <c r="BS6">
        <f t="array" ref="BS6">IFERROR(VALUE(INDEX(AX:AX,SMALL(IF($AX$5:$AX$150&lt;&gt;"",ROW($AX$5:$AX$150),9999),ROW(A2)))&amp;""),"")</f>
        <v>36</v>
      </c>
      <c r="BT6">
        <f t="array" ref="BT6">IFERROR(VALUE(INDEX(AY:AY,SMALL(IF($AY$5:$AY$150&lt;&gt;"",ROW($AY$5:$AY$150),9999),ROW(A2)))&amp;""),"")</f>
        <v>3</v>
      </c>
      <c r="BU6">
        <f t="array" ref="BU6">IFERROR(VALUE(INDEX(AZ:AZ,SMALL(IF($AZ$5:$AZ$150&lt;&gt;"",ROW($AZ$5:$AZ$150),9999),ROW(A2)))&amp;""),"")</f>
        <v>65.099999999999994</v>
      </c>
      <c r="BV6">
        <f t="array" ref="BV6">IFERROR(VALUE(INDEX(BA:BA,SMALL(IF($BA$5:$BA$150&lt;&gt;"",ROW($BA$5:$BA$150),9999),ROW(A2)))&amp;""),"")</f>
        <v>3</v>
      </c>
      <c r="BX6">
        <f t="shared" ref="BX6:BX19" si="53">IFERROR(ROUNDUP(BM6-BM7,2),"")</f>
        <v>-12.6</v>
      </c>
      <c r="BY6">
        <f t="shared" ref="BY6:BY19" si="54">IFERROR(ROUNDUP(BM7/BM6,2),"")</f>
        <v>1.73</v>
      </c>
      <c r="BZ6">
        <f t="shared" ref="BZ6:BZ19" si="55">BN6</f>
        <v>2</v>
      </c>
      <c r="CA6">
        <f t="shared" ref="CA6:CA19" si="56">IFERROR(ROUNDUP(BO7/BO6,2),"")</f>
        <v>2.2199999999999998</v>
      </c>
      <c r="CB6">
        <f t="shared" ref="CB6:CB19" si="57">BP6</f>
        <v>3</v>
      </c>
      <c r="CC6">
        <f t="shared" ref="CC6:CC19" si="58">IFERROR(ROUNDUP(BQ7/BQ6,2),"")</f>
        <v>0.78</v>
      </c>
      <c r="CD6">
        <f t="shared" ref="CD6:CD19" si="59">BR6</f>
        <v>4</v>
      </c>
      <c r="CE6">
        <f t="shared" ref="CE6:CE19" si="60">IFERROR(ROUNDUP(BS7/BS6,2),"")</f>
        <v>1.49</v>
      </c>
      <c r="CF6">
        <f t="shared" ref="CF6:CF19" si="61">BT6</f>
        <v>3</v>
      </c>
      <c r="CG6">
        <f t="shared" ref="CG6:CG19" si="62">IFERROR(ROUNDUP(BU7/BU6,2),"")</f>
        <v>1.02</v>
      </c>
      <c r="CH6">
        <f t="shared" ref="CH6:CH19" si="63">BV6</f>
        <v>3</v>
      </c>
      <c r="CW6">
        <f t="shared" si="9"/>
        <v>0</v>
      </c>
      <c r="CX6" t="str">
        <f t="shared" si="10"/>
        <v/>
      </c>
      <c r="CY6" t="str">
        <f t="shared" si="11"/>
        <v/>
      </c>
      <c r="CZ6" t="str">
        <f t="shared" si="12"/>
        <v/>
      </c>
      <c r="DA6" t="str">
        <f t="shared" si="13"/>
        <v/>
      </c>
      <c r="DB6" t="str">
        <f t="shared" si="14"/>
        <v/>
      </c>
      <c r="DC6" t="str">
        <f t="shared" si="15"/>
        <v/>
      </c>
      <c r="DD6" t="str">
        <f t="shared" si="16"/>
        <v/>
      </c>
      <c r="DE6" t="str">
        <f t="shared" si="17"/>
        <v/>
      </c>
      <c r="DF6" t="str">
        <f t="shared" si="18"/>
        <v/>
      </c>
      <c r="DG6" t="str">
        <f t="shared" si="19"/>
        <v/>
      </c>
      <c r="DH6" t="str">
        <f t="shared" si="20"/>
        <v/>
      </c>
      <c r="DI6" t="str">
        <f t="shared" si="21"/>
        <v/>
      </c>
      <c r="DJ6" t="str">
        <f t="shared" si="22"/>
        <v/>
      </c>
      <c r="DL6" t="str">
        <f t="shared" si="23"/>
        <v/>
      </c>
      <c r="DM6">
        <f t="shared" si="24"/>
        <v>0</v>
      </c>
      <c r="DN6" t="str">
        <f t="shared" si="25"/>
        <v/>
      </c>
      <c r="DO6" t="str">
        <f t="shared" si="26"/>
        <v/>
      </c>
      <c r="DP6" t="str">
        <f t="shared" si="27"/>
        <v/>
      </c>
      <c r="DQ6" t="str">
        <f t="shared" si="28"/>
        <v/>
      </c>
      <c r="DR6" t="str">
        <f t="shared" si="29"/>
        <v/>
      </c>
      <c r="DS6" t="str">
        <f t="shared" si="30"/>
        <v/>
      </c>
      <c r="DT6" t="str">
        <f t="shared" si="31"/>
        <v/>
      </c>
      <c r="DU6" t="str">
        <f t="shared" si="32"/>
        <v/>
      </c>
      <c r="DV6" t="str">
        <f t="shared" si="33"/>
        <v/>
      </c>
      <c r="DW6" t="str">
        <f t="shared" si="34"/>
        <v/>
      </c>
      <c r="DX6" t="str">
        <f t="shared" si="35"/>
        <v/>
      </c>
      <c r="DY6" t="str">
        <f t="shared" si="36"/>
        <v/>
      </c>
    </row>
    <row r="7" spans="1:129">
      <c r="A7">
        <v>3</v>
      </c>
      <c r="B7">
        <v>10</v>
      </c>
      <c r="C7">
        <v>11.5</v>
      </c>
      <c r="D7">
        <v>1</v>
      </c>
      <c r="E7">
        <v>6</v>
      </c>
      <c r="F7">
        <v>15797</v>
      </c>
      <c r="G7">
        <v>29.9</v>
      </c>
      <c r="H7">
        <v>8.3000000000000007</v>
      </c>
      <c r="L7">
        <f t="shared" si="37"/>
        <v>1.3855421686746987</v>
      </c>
      <c r="M7">
        <f t="shared" si="38"/>
        <v>3.1999999999999993</v>
      </c>
      <c r="O7">
        <f t="shared" si="0"/>
        <v>11.5</v>
      </c>
      <c r="P7">
        <f t="shared" si="39"/>
        <v>1.3855421686746987</v>
      </c>
      <c r="V7" t="str">
        <f t="shared" si="1"/>
        <v/>
      </c>
      <c r="W7" t="str">
        <f t="shared" si="2"/>
        <v/>
      </c>
      <c r="AJ7">
        <v>3</v>
      </c>
      <c r="AK7" t="e">
        <f>#REF!</f>
        <v>#REF!</v>
      </c>
      <c r="AL7" s="25" t="str">
        <f>IFERROR(RANK(AK7,AK5:AK22,0),"")</f>
        <v/>
      </c>
      <c r="AR7">
        <f t="shared" si="40"/>
        <v>29.9</v>
      </c>
      <c r="AS7" s="25">
        <f t="shared" si="41"/>
        <v>6</v>
      </c>
      <c r="AT7" t="str">
        <f t="shared" si="42"/>
        <v/>
      </c>
      <c r="AU7" s="25" t="str">
        <f t="shared" si="43"/>
        <v/>
      </c>
      <c r="AV7" t="str">
        <f t="shared" si="44"/>
        <v/>
      </c>
      <c r="AW7" s="25" t="str">
        <f t="shared" si="43"/>
        <v/>
      </c>
      <c r="AX7" t="str">
        <f t="shared" si="45"/>
        <v/>
      </c>
      <c r="AY7" s="25" t="str">
        <f t="shared" si="3"/>
        <v/>
      </c>
      <c r="AZ7" t="str">
        <f t="shared" si="46"/>
        <v/>
      </c>
      <c r="BA7" s="25" t="str">
        <f t="shared" si="4"/>
        <v/>
      </c>
      <c r="BB7" t="str">
        <f t="shared" si="47"/>
        <v/>
      </c>
      <c r="BC7" s="25" t="str">
        <f t="shared" si="48"/>
        <v/>
      </c>
      <c r="BD7" t="str">
        <f t="shared" si="49"/>
        <v/>
      </c>
      <c r="BE7" s="25" t="str">
        <f t="shared" si="5"/>
        <v/>
      </c>
      <c r="BF7" t="str">
        <f t="shared" si="50"/>
        <v/>
      </c>
      <c r="BG7" s="25" t="str">
        <f t="shared" si="6"/>
        <v/>
      </c>
      <c r="BH7" t="str">
        <f t="shared" si="51"/>
        <v/>
      </c>
      <c r="BI7" s="25" t="str">
        <f t="shared" si="7"/>
        <v/>
      </c>
      <c r="BJ7" t="str">
        <f t="shared" si="52"/>
        <v/>
      </c>
      <c r="BK7" s="25" t="str">
        <f t="shared" si="8"/>
        <v/>
      </c>
      <c r="BM7">
        <f t="array" ref="BM7">IFERROR(VALUE(INDEX(AR:AR,SMALL(IF($AR$5:$AR$150&lt;&gt;"",ROW($AR$5:$AR$150),9999),ROW(A3)))&amp;""),"")</f>
        <v>29.9</v>
      </c>
      <c r="BN7">
        <f t="array" ref="BN7">IFERROR(VALUE(INDEX(AS:AS,SMALL(IF($AS$5:$AS$150&lt;&gt;"",ROW($AS$5:$AS$150),9999),ROW(A3)))&amp;""),"")</f>
        <v>6</v>
      </c>
      <c r="BO7">
        <f t="array" ref="BO7">IFERROR(VALUE(INDEX(AT:AT,SMALL(IF($AT$5:$AT$150&lt;&gt;"",ROW($AT$5:$AT$150),9999),ROW(A3)))&amp;""),"")</f>
        <v>84.9</v>
      </c>
      <c r="BP7">
        <f t="array" ref="BP7">IFERROR(VALUE(INDEX(AU:AU,SMALL(IF($AU$5:$AU$150&lt;&gt;"",ROW($AU$5:$AU$150),9999),ROW(A3)))&amp;""),"")</f>
        <v>6</v>
      </c>
      <c r="BQ7">
        <f t="array" ref="BQ7">IFERROR(VALUE(INDEX(AV:AV,SMALL(IF($AV$5:$AV$150&lt;&gt;"",ROW($AV$5:$AV$150),9999),ROW(A3)))&amp;""),"")</f>
        <v>33.799999999999997</v>
      </c>
      <c r="BR7">
        <f t="array" ref="BR7">IFERROR(VALUE(INDEX(AW:AW,SMALL(IF($AW$5:$AW$150&lt;&gt;"",ROW($AW$5:$AW$150),9999),ROW(A3)))&amp;""),"")</f>
        <v>2</v>
      </c>
      <c r="BS7">
        <f t="array" ref="BS7">IFERROR(VALUE(INDEX(AX:AX,SMALL(IF($AX$5:$AX$150&lt;&gt;"",ROW($AX$5:$AX$150),9999),ROW(A3)))&amp;""),"")</f>
        <v>53.5</v>
      </c>
      <c r="BT7">
        <f t="array" ref="BT7">IFERROR(VALUE(INDEX(AY:AY,SMALL(IF($AY$5:$AY$150&lt;&gt;"",ROW($AY$5:$AY$150),9999),ROW(A3)))&amp;""),"")</f>
        <v>2</v>
      </c>
      <c r="BU7">
        <f t="array" ref="BU7">IFERROR(VALUE(INDEX(AZ:AZ,SMALL(IF($AZ$5:$AZ$150&lt;&gt;"",ROW($AZ$5:$AZ$150),9999),ROW(A3)))&amp;""),"")</f>
        <v>66.2</v>
      </c>
      <c r="BV7">
        <f t="array" ref="BV7">IFERROR(VALUE(INDEX(BA:BA,SMALL(IF($BA$5:$BA$150&lt;&gt;"",ROW($BA$5:$BA$150),9999),ROW(A3)))&amp;""),"")</f>
        <v>2</v>
      </c>
      <c r="BX7">
        <f t="shared" si="53"/>
        <v>4.7</v>
      </c>
      <c r="BY7">
        <f t="shared" si="54"/>
        <v>0.85</v>
      </c>
      <c r="BZ7">
        <f t="shared" si="55"/>
        <v>6</v>
      </c>
      <c r="CA7">
        <f t="shared" si="56"/>
        <v>0.76</v>
      </c>
      <c r="CB7">
        <f t="shared" si="57"/>
        <v>6</v>
      </c>
      <c r="CC7">
        <f t="shared" si="58"/>
        <v>2.09</v>
      </c>
      <c r="CD7">
        <f t="shared" si="59"/>
        <v>2</v>
      </c>
      <c r="CE7">
        <f t="shared" si="60"/>
        <v>1.81</v>
      </c>
      <c r="CF7">
        <f t="shared" si="61"/>
        <v>2</v>
      </c>
      <c r="CG7">
        <f t="shared" si="62"/>
        <v>1.59</v>
      </c>
      <c r="CH7">
        <f t="shared" si="63"/>
        <v>2</v>
      </c>
      <c r="CW7">
        <f t="shared" si="9"/>
        <v>0</v>
      </c>
      <c r="CX7" t="str">
        <f t="shared" si="10"/>
        <v/>
      </c>
      <c r="CY7" t="str">
        <f t="shared" si="11"/>
        <v/>
      </c>
      <c r="CZ7" t="str">
        <f t="shared" si="12"/>
        <v/>
      </c>
      <c r="DA7" t="str">
        <f t="shared" si="13"/>
        <v/>
      </c>
      <c r="DB7" t="str">
        <f t="shared" si="14"/>
        <v/>
      </c>
      <c r="DC7" t="str">
        <f t="shared" si="15"/>
        <v/>
      </c>
      <c r="DD7" t="str">
        <f t="shared" si="16"/>
        <v/>
      </c>
      <c r="DE7" t="str">
        <f t="shared" si="17"/>
        <v/>
      </c>
      <c r="DF7" t="str">
        <f t="shared" si="18"/>
        <v/>
      </c>
      <c r="DG7" t="str">
        <f t="shared" si="19"/>
        <v/>
      </c>
      <c r="DH7" t="str">
        <f t="shared" si="20"/>
        <v/>
      </c>
      <c r="DI7" t="str">
        <f t="shared" si="21"/>
        <v/>
      </c>
      <c r="DJ7" t="str">
        <f t="shared" si="22"/>
        <v/>
      </c>
      <c r="DL7" t="str">
        <f t="shared" si="23"/>
        <v/>
      </c>
      <c r="DM7" t="str">
        <f t="shared" si="24"/>
        <v/>
      </c>
      <c r="DN7" t="str">
        <f t="shared" si="25"/>
        <v/>
      </c>
      <c r="DO7" t="str">
        <f t="shared" si="26"/>
        <v/>
      </c>
      <c r="DP7" t="str">
        <f t="shared" si="27"/>
        <v/>
      </c>
      <c r="DQ7">
        <f t="shared" si="28"/>
        <v>0</v>
      </c>
      <c r="DR7" t="str">
        <f t="shared" si="29"/>
        <v/>
      </c>
      <c r="DS7" t="str">
        <f t="shared" si="30"/>
        <v/>
      </c>
      <c r="DT7" t="str">
        <f t="shared" si="31"/>
        <v/>
      </c>
      <c r="DU7" t="str">
        <f t="shared" si="32"/>
        <v/>
      </c>
      <c r="DV7" t="str">
        <f t="shared" si="33"/>
        <v/>
      </c>
      <c r="DW7" t="str">
        <f t="shared" si="34"/>
        <v/>
      </c>
      <c r="DX7" t="str">
        <f t="shared" si="35"/>
        <v/>
      </c>
      <c r="DY7" t="str">
        <f t="shared" si="36"/>
        <v/>
      </c>
    </row>
    <row r="8" spans="1:129">
      <c r="A8">
        <v>3</v>
      </c>
      <c r="B8">
        <v>6</v>
      </c>
      <c r="C8">
        <v>12.3</v>
      </c>
      <c r="D8">
        <v>1</v>
      </c>
      <c r="E8">
        <v>4</v>
      </c>
      <c r="F8">
        <v>14868</v>
      </c>
      <c r="G8">
        <v>25.2</v>
      </c>
      <c r="H8">
        <v>8.3000000000000007</v>
      </c>
      <c r="L8">
        <f t="shared" si="37"/>
        <v>1.4819277108433735</v>
      </c>
      <c r="M8">
        <f t="shared" si="38"/>
        <v>4</v>
      </c>
      <c r="O8">
        <f t="shared" si="0"/>
        <v>12.3</v>
      </c>
      <c r="P8">
        <f t="shared" si="39"/>
        <v>1.4819277108433735</v>
      </c>
      <c r="V8" t="str">
        <f t="shared" si="1"/>
        <v/>
      </c>
      <c r="W8" t="str">
        <f t="shared" si="2"/>
        <v/>
      </c>
      <c r="AJ8">
        <v>4</v>
      </c>
      <c r="AK8" t="e">
        <f>#REF!</f>
        <v>#REF!</v>
      </c>
      <c r="AL8" s="25" t="str">
        <f>IFERROR(RANK(AK8,AK5:AK22,0),"")</f>
        <v/>
      </c>
      <c r="AR8">
        <f t="shared" si="40"/>
        <v>25.2</v>
      </c>
      <c r="AS8" s="25">
        <f t="shared" si="41"/>
        <v>4</v>
      </c>
      <c r="AT8" t="str">
        <f t="shared" si="42"/>
        <v/>
      </c>
      <c r="AU8" s="25" t="str">
        <f t="shared" si="43"/>
        <v/>
      </c>
      <c r="AV8" t="str">
        <f t="shared" si="44"/>
        <v/>
      </c>
      <c r="AW8" s="25" t="str">
        <f t="shared" si="43"/>
        <v/>
      </c>
      <c r="AX8" t="str">
        <f t="shared" si="45"/>
        <v/>
      </c>
      <c r="AY8" s="25" t="str">
        <f t="shared" si="3"/>
        <v/>
      </c>
      <c r="AZ8" t="str">
        <f t="shared" si="46"/>
        <v/>
      </c>
      <c r="BA8" s="25" t="str">
        <f t="shared" si="4"/>
        <v/>
      </c>
      <c r="BB8" t="str">
        <f t="shared" si="47"/>
        <v/>
      </c>
      <c r="BC8" s="25" t="str">
        <f t="shared" si="48"/>
        <v/>
      </c>
      <c r="BD8" t="str">
        <f t="shared" si="49"/>
        <v/>
      </c>
      <c r="BE8" s="25" t="str">
        <f t="shared" si="5"/>
        <v/>
      </c>
      <c r="BF8" t="str">
        <f t="shared" si="50"/>
        <v/>
      </c>
      <c r="BG8" s="25" t="str">
        <f t="shared" si="6"/>
        <v/>
      </c>
      <c r="BH8" t="str">
        <f t="shared" si="51"/>
        <v/>
      </c>
      <c r="BI8" s="25" t="str">
        <f t="shared" si="7"/>
        <v/>
      </c>
      <c r="BJ8" t="str">
        <f t="shared" si="52"/>
        <v/>
      </c>
      <c r="BK8" s="25" t="str">
        <f t="shared" si="8"/>
        <v/>
      </c>
      <c r="BM8">
        <f t="array" ref="BM8">IFERROR(VALUE(INDEX(AR:AR,SMALL(IF($AR$5:$AR$150&lt;&gt;"",ROW($AR$5:$AR$150),9999),ROW(A4)))&amp;""),"")</f>
        <v>25.2</v>
      </c>
      <c r="BN8">
        <f t="array" ref="BN8">IFERROR(VALUE(INDEX(AS:AS,SMALL(IF($AS$5:$AS$150&lt;&gt;"",ROW($AS$5:$AS$150),9999),ROW(A4)))&amp;""),"")</f>
        <v>4</v>
      </c>
      <c r="BO8">
        <f t="array" ref="BO8">IFERROR(VALUE(INDEX(AT:AT,SMALL(IF($AT$5:$AT$150&lt;&gt;"",ROW($AT$5:$AT$150),9999),ROW(A4)))&amp;""),"")</f>
        <v>63.9</v>
      </c>
      <c r="BP8">
        <f t="array" ref="BP8">IFERROR(VALUE(INDEX(AU:AU,SMALL(IF($AU$5:$AU$150&lt;&gt;"",ROW($AU$5:$AU$150),9999),ROW(A4)))&amp;""),"")</f>
        <v>4</v>
      </c>
      <c r="BQ8">
        <f t="array" ref="BQ8">IFERROR(VALUE(INDEX(AV:AV,SMALL(IF($AV$5:$AV$150&lt;&gt;"",ROW($AV$5:$AV$150),9999),ROW(A4)))&amp;""),"")</f>
        <v>70.5</v>
      </c>
      <c r="BR8">
        <f t="array" ref="BR8">IFERROR(VALUE(INDEX(AW:AW,SMALL(IF($AW$5:$AW$150&lt;&gt;"",ROW($AW$5:$AW$150),9999),ROW(A4)))&amp;""),"")</f>
        <v>6</v>
      </c>
      <c r="BS8">
        <f t="array" ref="BS8">IFERROR(VALUE(INDEX(AX:AX,SMALL(IF($AX$5:$AX$150&lt;&gt;"",ROW($AX$5:$AX$150),9999),ROW(A4)))&amp;""),"")</f>
        <v>96.6</v>
      </c>
      <c r="BT8">
        <f t="array" ref="BT8">IFERROR(VALUE(INDEX(AY:AY,SMALL(IF($AY$5:$AY$150&lt;&gt;"",ROW($AY$5:$AY$150),9999),ROW(A4)))&amp;""),"")</f>
        <v>6</v>
      </c>
      <c r="BU8">
        <f t="array" ref="BU8">IFERROR(VALUE(INDEX(AZ:AZ,SMALL(IF($AZ$5:$AZ$150&lt;&gt;"",ROW($AZ$5:$AZ$150),9999),ROW(A4)))&amp;""),"")</f>
        <v>104.7</v>
      </c>
      <c r="BV8">
        <f t="array" ref="BV8">IFERROR(VALUE(INDEX(BA:BA,SMALL(IF($BA$5:$BA$150&lt;&gt;"",ROW($BA$5:$BA$150),9999),ROW(A4)))&amp;""),"")</f>
        <v>4</v>
      </c>
      <c r="BX8">
        <f t="shared" si="53"/>
        <v>-15.2</v>
      </c>
      <c r="BY8">
        <f t="shared" si="54"/>
        <v>1.61</v>
      </c>
      <c r="BZ8">
        <f t="shared" si="55"/>
        <v>4</v>
      </c>
      <c r="CA8">
        <f t="shared" si="56"/>
        <v>1.33</v>
      </c>
      <c r="CB8">
        <f t="shared" si="57"/>
        <v>4</v>
      </c>
      <c r="CC8">
        <f t="shared" si="58"/>
        <v>1.1000000000000001</v>
      </c>
      <c r="CD8">
        <f t="shared" si="59"/>
        <v>6</v>
      </c>
      <c r="CE8">
        <f t="shared" si="60"/>
        <v>1.05</v>
      </c>
      <c r="CF8">
        <f t="shared" si="61"/>
        <v>6</v>
      </c>
      <c r="CG8">
        <f t="shared" si="62"/>
        <v>1.39</v>
      </c>
      <c r="CH8">
        <f t="shared" si="63"/>
        <v>4</v>
      </c>
      <c r="CW8">
        <f t="shared" si="9"/>
        <v>0</v>
      </c>
      <c r="CX8" t="str">
        <f t="shared" si="10"/>
        <v/>
      </c>
      <c r="CY8" t="str">
        <f t="shared" si="11"/>
        <v/>
      </c>
      <c r="CZ8" t="str">
        <f t="shared" si="12"/>
        <v/>
      </c>
      <c r="DA8" t="str">
        <f t="shared" si="13"/>
        <v/>
      </c>
      <c r="DB8" t="str">
        <f t="shared" si="14"/>
        <v/>
      </c>
      <c r="DC8" t="str">
        <f t="shared" si="15"/>
        <v/>
      </c>
      <c r="DD8" t="str">
        <f t="shared" si="16"/>
        <v/>
      </c>
      <c r="DE8" t="str">
        <f t="shared" si="17"/>
        <v/>
      </c>
      <c r="DF8" t="str">
        <f t="shared" si="18"/>
        <v/>
      </c>
      <c r="DG8" t="str">
        <f t="shared" si="19"/>
        <v/>
      </c>
      <c r="DH8" t="str">
        <f t="shared" si="20"/>
        <v/>
      </c>
      <c r="DI8" t="str">
        <f t="shared" si="21"/>
        <v/>
      </c>
      <c r="DJ8" t="str">
        <f t="shared" si="22"/>
        <v/>
      </c>
      <c r="DL8" t="str">
        <f t="shared" si="23"/>
        <v/>
      </c>
      <c r="DM8" t="str">
        <f t="shared" si="24"/>
        <v/>
      </c>
      <c r="DN8" t="str">
        <f t="shared" si="25"/>
        <v/>
      </c>
      <c r="DO8">
        <f t="shared" si="26"/>
        <v>0</v>
      </c>
      <c r="DP8" t="str">
        <f t="shared" si="27"/>
        <v/>
      </c>
      <c r="DQ8" t="str">
        <f t="shared" si="28"/>
        <v/>
      </c>
      <c r="DR8" t="str">
        <f t="shared" si="29"/>
        <v/>
      </c>
      <c r="DS8" t="str">
        <f t="shared" si="30"/>
        <v/>
      </c>
      <c r="DT8" t="str">
        <f t="shared" si="31"/>
        <v/>
      </c>
      <c r="DU8" t="str">
        <f t="shared" si="32"/>
        <v/>
      </c>
      <c r="DV8" t="str">
        <f t="shared" si="33"/>
        <v/>
      </c>
      <c r="DW8" t="str">
        <f t="shared" si="34"/>
        <v/>
      </c>
      <c r="DX8" t="str">
        <f t="shared" si="35"/>
        <v/>
      </c>
      <c r="DY8" t="str">
        <f t="shared" si="36"/>
        <v/>
      </c>
    </row>
    <row r="9" spans="1:129">
      <c r="A9">
        <v>9</v>
      </c>
      <c r="B9">
        <v>3</v>
      </c>
      <c r="C9">
        <v>16.5</v>
      </c>
      <c r="D9">
        <v>3</v>
      </c>
      <c r="E9">
        <v>1</v>
      </c>
      <c r="F9">
        <v>11035</v>
      </c>
      <c r="G9">
        <v>8.3000000000000007</v>
      </c>
      <c r="H9">
        <v>5.5</v>
      </c>
      <c r="L9">
        <f t="shared" si="37"/>
        <v>3</v>
      </c>
      <c r="M9">
        <f t="shared" si="38"/>
        <v>11</v>
      </c>
      <c r="O9" t="str">
        <f t="shared" si="0"/>
        <v/>
      </c>
      <c r="P9" t="str">
        <f t="shared" si="39"/>
        <v/>
      </c>
      <c r="V9">
        <f t="shared" si="1"/>
        <v>16.5</v>
      </c>
      <c r="W9">
        <f t="shared" si="2"/>
        <v>3</v>
      </c>
      <c r="AJ9">
        <v>5</v>
      </c>
      <c r="AK9" t="e">
        <f>#REF!</f>
        <v>#REF!</v>
      </c>
      <c r="AL9" s="25" t="str">
        <f>IFERROR(RANK(#REF!,AK5:AK22,0),"")</f>
        <v/>
      </c>
      <c r="AR9" t="str">
        <f t="shared" si="40"/>
        <v/>
      </c>
      <c r="AS9" s="25" t="str">
        <f t="shared" si="41"/>
        <v/>
      </c>
      <c r="AT9" t="str">
        <f t="shared" si="42"/>
        <v/>
      </c>
      <c r="AU9" s="25" t="str">
        <f t="shared" si="43"/>
        <v/>
      </c>
      <c r="AV9">
        <f t="shared" si="44"/>
        <v>8.3000000000000007</v>
      </c>
      <c r="AW9" s="25">
        <f t="shared" si="43"/>
        <v>1</v>
      </c>
      <c r="AX9" t="str">
        <f t="shared" si="45"/>
        <v/>
      </c>
      <c r="AY9" s="25" t="str">
        <f t="shared" si="3"/>
        <v/>
      </c>
      <c r="AZ9" t="str">
        <f t="shared" si="46"/>
        <v/>
      </c>
      <c r="BA9" s="25" t="str">
        <f t="shared" si="4"/>
        <v/>
      </c>
      <c r="BB9" t="str">
        <f t="shared" si="47"/>
        <v/>
      </c>
      <c r="BC9" s="25" t="str">
        <f t="shared" si="48"/>
        <v/>
      </c>
      <c r="BD9" t="str">
        <f t="shared" si="49"/>
        <v/>
      </c>
      <c r="BE9" s="25" t="str">
        <f t="shared" si="5"/>
        <v/>
      </c>
      <c r="BF9" t="str">
        <f t="shared" si="50"/>
        <v/>
      </c>
      <c r="BG9" s="25" t="str">
        <f t="shared" si="6"/>
        <v/>
      </c>
      <c r="BH9" t="str">
        <f t="shared" si="51"/>
        <v/>
      </c>
      <c r="BI9" s="25" t="str">
        <f t="shared" si="7"/>
        <v/>
      </c>
      <c r="BJ9" t="str">
        <f t="shared" si="52"/>
        <v/>
      </c>
      <c r="BK9" s="25" t="str">
        <f t="shared" si="8"/>
        <v/>
      </c>
      <c r="BM9">
        <f t="array" ref="BM9">IFERROR(VALUE(INDEX(AR:AR,SMALL(IF($AR$5:$AR$150&lt;&gt;"",ROW($AR$5:$AR$150),9999),ROW(A5)))&amp;""),"")</f>
        <v>40.4</v>
      </c>
      <c r="BN9">
        <f t="array" ref="BN9">IFERROR(VALUE(INDEX(AS:AS,SMALL(IF($AS$5:$AS$150&lt;&gt;"",ROW($AS$5:$AS$150),9999),ROW(A5)))&amp;""),"")</f>
        <v>5</v>
      </c>
      <c r="BO9">
        <f t="array" ref="BO9">IFERROR(VALUE(INDEX(AT:AT,SMALL(IF($AT$5:$AT$150&lt;&gt;"",ROW($AT$5:$AT$150),9999),ROW(A5)))&amp;""),"")</f>
        <v>84.4</v>
      </c>
      <c r="BP9">
        <f t="array" ref="BP9">IFERROR(VALUE(INDEX(AU:AU,SMALL(IF($AU$5:$AU$150&lt;&gt;"",ROW($AU$5:$AU$150),9999),ROW(A5)))&amp;""),"")</f>
        <v>5</v>
      </c>
      <c r="BQ9">
        <f t="array" ref="BQ9">IFERROR(VALUE(INDEX(AV:AV,SMALL(IF($AV$5:$AV$150&lt;&gt;"",ROW($AV$5:$AV$150),9999),ROW(A5)))&amp;""),"")</f>
        <v>77.3</v>
      </c>
      <c r="BR9">
        <f t="array" ref="BR9">IFERROR(VALUE(INDEX(AW:AW,SMALL(IF($AW$5:$AW$150&lt;&gt;"",ROW($AW$5:$AW$150),9999),ROW(A5)))&amp;""),"")</f>
        <v>5</v>
      </c>
      <c r="BS9">
        <f t="array" ref="BS9">IFERROR(VALUE(INDEX(AX:AX,SMALL(IF($AX$5:$AX$150&lt;&gt;"",ROW($AX$5:$AX$150),9999),ROW(A5)))&amp;""),"")</f>
        <v>100.7</v>
      </c>
      <c r="BT9">
        <f t="array" ref="BT9">IFERROR(VALUE(INDEX(AY:AY,SMALL(IF($AY$5:$AY$150&lt;&gt;"",ROW($AY$5:$AY$150),9999),ROW(A5)))&amp;""),"")</f>
        <v>5</v>
      </c>
      <c r="BU9">
        <f t="array" ref="BU9">IFERROR(VALUE(INDEX(AZ:AZ,SMALL(IF($AZ$5:$AZ$150&lt;&gt;"",ROW($AZ$5:$AZ$150),9999),ROW(A5)))&amp;""),"")</f>
        <v>145.30000000000001</v>
      </c>
      <c r="BV9">
        <f t="array" ref="BV9">IFERROR(VALUE(INDEX(BA:BA,SMALL(IF($BA$5:$BA$150&lt;&gt;"",ROW($BA$5:$BA$150),9999),ROW(A5)))&amp;""),"")</f>
        <v>6</v>
      </c>
      <c r="BX9">
        <f t="shared" si="53"/>
        <v>-63.9</v>
      </c>
      <c r="BY9">
        <f t="shared" si="54"/>
        <v>2.59</v>
      </c>
      <c r="BZ9">
        <f t="shared" si="55"/>
        <v>5</v>
      </c>
      <c r="CA9">
        <f t="shared" si="56"/>
        <v>2.1999999999999997</v>
      </c>
      <c r="CB9">
        <f t="shared" si="57"/>
        <v>5</v>
      </c>
      <c r="CC9">
        <f t="shared" si="58"/>
        <v>1.96</v>
      </c>
      <c r="CD9">
        <f t="shared" si="59"/>
        <v>5</v>
      </c>
      <c r="CE9">
        <f t="shared" si="60"/>
        <v>1.01</v>
      </c>
      <c r="CF9">
        <f t="shared" si="61"/>
        <v>5</v>
      </c>
      <c r="CG9">
        <f t="shared" si="62"/>
        <v>0.72</v>
      </c>
      <c r="CH9">
        <f t="shared" si="63"/>
        <v>6</v>
      </c>
      <c r="CW9" t="str">
        <f t="shared" si="9"/>
        <v/>
      </c>
      <c r="CX9" t="str">
        <f t="shared" si="10"/>
        <v/>
      </c>
      <c r="CY9">
        <f t="shared" si="11"/>
        <v>0</v>
      </c>
      <c r="CZ9" t="str">
        <f t="shared" si="12"/>
        <v/>
      </c>
      <c r="DA9" t="str">
        <f t="shared" si="13"/>
        <v/>
      </c>
      <c r="DB9" t="str">
        <f t="shared" si="14"/>
        <v/>
      </c>
      <c r="DC9" t="str">
        <f t="shared" si="15"/>
        <v/>
      </c>
      <c r="DD9" t="str">
        <f t="shared" si="16"/>
        <v/>
      </c>
      <c r="DE9" t="str">
        <f t="shared" si="17"/>
        <v/>
      </c>
      <c r="DF9" t="str">
        <f t="shared" si="18"/>
        <v/>
      </c>
      <c r="DG9" t="str">
        <f t="shared" si="19"/>
        <v/>
      </c>
      <c r="DH9" t="str">
        <f t="shared" si="20"/>
        <v/>
      </c>
      <c r="DI9" t="str">
        <f t="shared" si="21"/>
        <v/>
      </c>
      <c r="DJ9" t="str">
        <f t="shared" si="22"/>
        <v/>
      </c>
      <c r="DL9">
        <f t="shared" si="23"/>
        <v>0</v>
      </c>
      <c r="DM9" t="str">
        <f t="shared" si="24"/>
        <v/>
      </c>
      <c r="DN9" t="str">
        <f t="shared" si="25"/>
        <v/>
      </c>
      <c r="DO9" t="str">
        <f t="shared" si="26"/>
        <v/>
      </c>
      <c r="DP9" t="str">
        <f t="shared" si="27"/>
        <v/>
      </c>
      <c r="DQ9" t="str">
        <f t="shared" si="28"/>
        <v/>
      </c>
      <c r="DR9" t="str">
        <f t="shared" si="29"/>
        <v/>
      </c>
      <c r="DS9" t="str">
        <f t="shared" si="30"/>
        <v/>
      </c>
      <c r="DT9" t="str">
        <f t="shared" si="31"/>
        <v/>
      </c>
      <c r="DU9" t="str">
        <f t="shared" si="32"/>
        <v/>
      </c>
      <c r="DV9" t="str">
        <f t="shared" si="33"/>
        <v/>
      </c>
      <c r="DW9" t="str">
        <f t="shared" si="34"/>
        <v/>
      </c>
      <c r="DX9" t="str">
        <f t="shared" si="35"/>
        <v/>
      </c>
      <c r="DY9" t="str">
        <f t="shared" si="36"/>
        <v/>
      </c>
    </row>
    <row r="10" spans="1:129">
      <c r="A10">
        <v>13</v>
      </c>
      <c r="B10">
        <v>3</v>
      </c>
      <c r="C10">
        <v>17.3</v>
      </c>
      <c r="D10">
        <v>2</v>
      </c>
      <c r="E10">
        <v>1</v>
      </c>
      <c r="F10">
        <v>10586</v>
      </c>
      <c r="G10">
        <v>9.3000000000000007</v>
      </c>
      <c r="H10">
        <v>6</v>
      </c>
      <c r="L10">
        <f t="shared" si="37"/>
        <v>2.8833333333333333</v>
      </c>
      <c r="M10">
        <f t="shared" si="38"/>
        <v>11.3</v>
      </c>
      <c r="O10" t="str">
        <f t="shared" si="0"/>
        <v/>
      </c>
      <c r="P10" t="str">
        <f t="shared" si="39"/>
        <v/>
      </c>
      <c r="V10">
        <f t="shared" si="1"/>
        <v>17.3</v>
      </c>
      <c r="W10">
        <f t="shared" si="2"/>
        <v>2.8833333333333333</v>
      </c>
      <c r="AJ10">
        <v>6</v>
      </c>
      <c r="AK10" t="e">
        <f>#REF!</f>
        <v>#REF!</v>
      </c>
      <c r="AL10" s="25" t="str">
        <f>IFERROR(RANK(#REF!,AK5:AK22,0),"")</f>
        <v/>
      </c>
      <c r="AR10" t="str">
        <f t="shared" si="40"/>
        <v/>
      </c>
      <c r="AS10" s="25" t="str">
        <f t="shared" si="41"/>
        <v/>
      </c>
      <c r="AT10">
        <f t="shared" si="42"/>
        <v>9.3000000000000007</v>
      </c>
      <c r="AU10" s="25">
        <f t="shared" si="43"/>
        <v>1</v>
      </c>
      <c r="AV10" t="str">
        <f t="shared" si="44"/>
        <v/>
      </c>
      <c r="AW10" s="25" t="str">
        <f t="shared" si="43"/>
        <v/>
      </c>
      <c r="AX10" t="str">
        <f t="shared" si="45"/>
        <v/>
      </c>
      <c r="AY10" s="25" t="str">
        <f t="shared" si="3"/>
        <v/>
      </c>
      <c r="AZ10" t="str">
        <f t="shared" si="46"/>
        <v/>
      </c>
      <c r="BA10" s="25" t="str">
        <f t="shared" si="4"/>
        <v/>
      </c>
      <c r="BB10" t="str">
        <f t="shared" si="47"/>
        <v/>
      </c>
      <c r="BC10" s="25" t="str">
        <f t="shared" si="48"/>
        <v/>
      </c>
      <c r="BD10" t="str">
        <f t="shared" si="49"/>
        <v/>
      </c>
      <c r="BE10" s="25" t="str">
        <f t="shared" si="5"/>
        <v/>
      </c>
      <c r="BF10" t="str">
        <f t="shared" si="50"/>
        <v/>
      </c>
      <c r="BG10" s="25" t="str">
        <f t="shared" si="6"/>
        <v/>
      </c>
      <c r="BH10" t="str">
        <f t="shared" si="51"/>
        <v/>
      </c>
      <c r="BI10" s="25" t="str">
        <f t="shared" si="7"/>
        <v/>
      </c>
      <c r="BJ10" t="str">
        <f t="shared" si="52"/>
        <v/>
      </c>
      <c r="BK10" s="25" t="str">
        <f t="shared" si="8"/>
        <v/>
      </c>
      <c r="BM10">
        <f t="array" ref="BM10">IFERROR(VALUE(INDEX(AR:AR,SMALL(IF($AR$5:$AR$150&lt;&gt;"",ROW($AR$5:$AR$150),9999),ROW(A6)))&amp;""),"")</f>
        <v>104.3</v>
      </c>
      <c r="BN10">
        <f t="array" ref="BN10">IFERROR(VALUE(INDEX(AS:AS,SMALL(IF($AS$5:$AS$150&lt;&gt;"",ROW($AS$5:$AS$150),9999),ROW(A6)))&amp;""),"")</f>
        <v>9</v>
      </c>
      <c r="BO10">
        <f t="array" ref="BO10">IFERROR(VALUE(INDEX(AT:AT,SMALL(IF($AT$5:$AT$150&lt;&gt;"",ROW($AT$5:$AT$150),9999),ROW(A6)))&amp;""),"")</f>
        <v>185.3</v>
      </c>
      <c r="BP10">
        <f t="array" ref="BP10">IFERROR(VALUE(INDEX(AU:AU,SMALL(IF($AU$5:$AU$150&lt;&gt;"",ROW($AU$5:$AU$150),9999),ROW(A6)))&amp;""),"")</f>
        <v>7</v>
      </c>
      <c r="BQ10">
        <f t="array" ref="BQ10">IFERROR(VALUE(INDEX(AV:AV,SMALL(IF($AV$5:$AV$150&lt;&gt;"",ROW($AV$5:$AV$150),9999),ROW(A6)))&amp;""),"")</f>
        <v>151.19999999999999</v>
      </c>
      <c r="BR10">
        <f t="array" ref="BR10">IFERROR(VALUE(INDEX(AW:AW,SMALL(IF($AW$5:$AW$150&lt;&gt;"",ROW($AW$5:$AW$150),9999),ROW(A6)))&amp;""),"")</f>
        <v>7</v>
      </c>
      <c r="BS10">
        <f t="array" ref="BS10">IFERROR(VALUE(INDEX(AX:AX,SMALL(IF($AX$5:$AX$150&lt;&gt;"",ROW($AX$5:$AX$150),9999),ROW(A6)))&amp;""),"")</f>
        <v>101.7</v>
      </c>
      <c r="BT10">
        <f t="array" ref="BT10">IFERROR(VALUE(INDEX(AY:AY,SMALL(IF($AY$5:$AY$150&lt;&gt;"",ROW($AY$5:$AY$150),9999),ROW(A6)))&amp;""),"")</f>
        <v>7</v>
      </c>
      <c r="BU10">
        <f t="array" ref="BU10">IFERROR(VALUE(INDEX(AZ:AZ,SMALL(IF($AZ$5:$AZ$150&lt;&gt;"",ROW($AZ$5:$AZ$150),9999),ROW(A6)))&amp;""),"")</f>
        <v>104.3</v>
      </c>
      <c r="BV10">
        <f t="array" ref="BV10">IFERROR(VALUE(INDEX(BA:BA,SMALL(IF($BA$5:$BA$150&lt;&gt;"",ROW($BA$5:$BA$150),9999),ROW(A6)))&amp;""),"")</f>
        <v>7</v>
      </c>
      <c r="BX10">
        <f t="shared" si="53"/>
        <v>21.1</v>
      </c>
      <c r="BY10">
        <f t="shared" si="54"/>
        <v>0.8</v>
      </c>
      <c r="BZ10">
        <f t="shared" si="55"/>
        <v>9</v>
      </c>
      <c r="CA10">
        <f t="shared" si="56"/>
        <v>1.33</v>
      </c>
      <c r="CB10">
        <f t="shared" si="57"/>
        <v>7</v>
      </c>
      <c r="CC10">
        <f t="shared" si="58"/>
        <v>1.44</v>
      </c>
      <c r="CD10">
        <f t="shared" si="59"/>
        <v>7</v>
      </c>
      <c r="CE10">
        <f t="shared" si="60"/>
        <v>1.25</v>
      </c>
      <c r="CF10">
        <f t="shared" si="61"/>
        <v>7</v>
      </c>
      <c r="CG10">
        <f t="shared" si="62"/>
        <v>3.9899999999999998</v>
      </c>
      <c r="CH10">
        <f t="shared" si="63"/>
        <v>7</v>
      </c>
      <c r="CW10" t="str">
        <f t="shared" si="9"/>
        <v/>
      </c>
      <c r="CX10">
        <f t="shared" si="10"/>
        <v>0</v>
      </c>
      <c r="CY10" t="str">
        <f t="shared" si="11"/>
        <v/>
      </c>
      <c r="CZ10" t="str">
        <f t="shared" si="12"/>
        <v/>
      </c>
      <c r="DA10" t="str">
        <f t="shared" si="13"/>
        <v/>
      </c>
      <c r="DB10" t="str">
        <f t="shared" si="14"/>
        <v/>
      </c>
      <c r="DC10" t="str">
        <f t="shared" si="15"/>
        <v/>
      </c>
      <c r="DD10" t="str">
        <f t="shared" si="16"/>
        <v/>
      </c>
      <c r="DE10" t="str">
        <f t="shared" si="17"/>
        <v/>
      </c>
      <c r="DF10" t="str">
        <f t="shared" si="18"/>
        <v/>
      </c>
      <c r="DG10" t="str">
        <f t="shared" si="19"/>
        <v/>
      </c>
      <c r="DH10" t="str">
        <f t="shared" si="20"/>
        <v/>
      </c>
      <c r="DI10" t="str">
        <f t="shared" si="21"/>
        <v/>
      </c>
      <c r="DJ10" t="str">
        <f t="shared" si="22"/>
        <v/>
      </c>
      <c r="DL10">
        <f t="shared" si="23"/>
        <v>0</v>
      </c>
      <c r="DM10" t="str">
        <f t="shared" si="24"/>
        <v/>
      </c>
      <c r="DN10" t="str">
        <f t="shared" si="25"/>
        <v/>
      </c>
      <c r="DO10" t="str">
        <f t="shared" si="26"/>
        <v/>
      </c>
      <c r="DP10" t="str">
        <f t="shared" si="27"/>
        <v/>
      </c>
      <c r="DQ10" t="str">
        <f t="shared" si="28"/>
        <v/>
      </c>
      <c r="DR10" t="str">
        <f t="shared" si="29"/>
        <v/>
      </c>
      <c r="DS10" t="str">
        <f t="shared" si="30"/>
        <v/>
      </c>
      <c r="DT10" t="str">
        <f t="shared" si="31"/>
        <v/>
      </c>
      <c r="DU10" t="str">
        <f t="shared" si="32"/>
        <v/>
      </c>
      <c r="DV10" t="str">
        <f t="shared" si="33"/>
        <v/>
      </c>
      <c r="DW10" t="str">
        <f t="shared" si="34"/>
        <v/>
      </c>
      <c r="DX10" t="str">
        <f t="shared" si="35"/>
        <v/>
      </c>
      <c r="DY10" t="str">
        <f t="shared" si="36"/>
        <v/>
      </c>
    </row>
    <row r="11" spans="1:129">
      <c r="A11">
        <v>3</v>
      </c>
      <c r="B11">
        <v>5</v>
      </c>
      <c r="C11">
        <v>20.5</v>
      </c>
      <c r="D11">
        <v>1</v>
      </c>
      <c r="E11">
        <v>5</v>
      </c>
      <c r="F11">
        <v>8915</v>
      </c>
      <c r="G11">
        <v>40.4</v>
      </c>
      <c r="H11">
        <v>13.6</v>
      </c>
      <c r="L11">
        <f t="shared" si="37"/>
        <v>1.5073529411764706</v>
      </c>
      <c r="M11">
        <f t="shared" si="38"/>
        <v>6.9</v>
      </c>
      <c r="O11">
        <f t="shared" si="0"/>
        <v>20.5</v>
      </c>
      <c r="P11">
        <f t="shared" si="39"/>
        <v>1.5073529411764706</v>
      </c>
      <c r="V11" t="str">
        <f t="shared" si="1"/>
        <v/>
      </c>
      <c r="W11" t="str">
        <f t="shared" si="2"/>
        <v/>
      </c>
      <c r="AJ11">
        <v>7</v>
      </c>
      <c r="AK11" t="e">
        <f>#REF!</f>
        <v>#REF!</v>
      </c>
      <c r="AL11" s="25" t="str">
        <f>IFERROR(RANK(#REF!,AK5:AK22,0),"")</f>
        <v/>
      </c>
      <c r="AR11">
        <f t="shared" si="40"/>
        <v>40.4</v>
      </c>
      <c r="AS11" s="25">
        <f t="shared" si="41"/>
        <v>5</v>
      </c>
      <c r="AT11" t="str">
        <f t="shared" si="42"/>
        <v/>
      </c>
      <c r="AU11" s="25" t="str">
        <f t="shared" si="43"/>
        <v/>
      </c>
      <c r="AV11" t="str">
        <f t="shared" si="44"/>
        <v/>
      </c>
      <c r="AW11" s="25" t="str">
        <f t="shared" si="43"/>
        <v/>
      </c>
      <c r="AX11" t="str">
        <f t="shared" si="45"/>
        <v/>
      </c>
      <c r="AY11" s="25" t="str">
        <f t="shared" si="3"/>
        <v/>
      </c>
      <c r="AZ11" t="str">
        <f t="shared" si="46"/>
        <v/>
      </c>
      <c r="BA11" s="25" t="str">
        <f t="shared" si="4"/>
        <v/>
      </c>
      <c r="BB11" t="str">
        <f t="shared" si="47"/>
        <v/>
      </c>
      <c r="BC11" s="25" t="str">
        <f t="shared" si="48"/>
        <v/>
      </c>
      <c r="BD11" t="str">
        <f t="shared" si="49"/>
        <v/>
      </c>
      <c r="BE11" s="25" t="str">
        <f t="shared" si="5"/>
        <v/>
      </c>
      <c r="BF11" t="str">
        <f t="shared" si="50"/>
        <v/>
      </c>
      <c r="BG11" s="25" t="str">
        <f t="shared" si="6"/>
        <v/>
      </c>
      <c r="BH11" t="str">
        <f t="shared" si="51"/>
        <v/>
      </c>
      <c r="BI11" s="25" t="str">
        <f t="shared" si="7"/>
        <v/>
      </c>
      <c r="BJ11" t="str">
        <f t="shared" si="52"/>
        <v/>
      </c>
      <c r="BK11" s="25" t="str">
        <f t="shared" si="8"/>
        <v/>
      </c>
      <c r="BM11">
        <f t="array" ref="BM11">IFERROR(VALUE(INDEX(AR:AR,SMALL(IF($AR$5:$AR$150&lt;&gt;"",ROW($AR$5:$AR$150),9999),ROW(A7)))&amp;""),"")</f>
        <v>83.2</v>
      </c>
      <c r="BN11">
        <f t="array" ref="BN11">IFERROR(VALUE(INDEX(AS:AS,SMALL(IF($AS$5:$AS$150&lt;&gt;"",ROW($AS$5:$AS$150),9999),ROW(A7)))&amp;""),"")</f>
        <v>7</v>
      </c>
      <c r="BO11">
        <f t="array" ref="BO11">IFERROR(VALUE(INDEX(AT:AT,SMALL(IF($AT$5:$AT$150&lt;&gt;"",ROW($AT$5:$AT$150),9999),ROW(A7)))&amp;""),"")</f>
        <v>246.4</v>
      </c>
      <c r="BP11">
        <f t="array" ref="BP11">IFERROR(VALUE(INDEX(AU:AU,SMALL(IF($AU$5:$AU$150&lt;&gt;"",ROW($AU$5:$AU$150),9999),ROW(A7)))&amp;""),"")</f>
        <v>9</v>
      </c>
      <c r="BQ11">
        <f t="array" ref="BQ11">IFERROR(VALUE(INDEX(AV:AV,SMALL(IF($AV$5:$AV$150&lt;&gt;"",ROW($AV$5:$AV$150),9999),ROW(A7)))&amp;""),"")</f>
        <v>216.7</v>
      </c>
      <c r="BR11">
        <f t="array" ref="BR11">IFERROR(VALUE(INDEX(AW:AW,SMALL(IF($AW$5:$AW$150&lt;&gt;"",ROW($AW$5:$AW$150),9999),ROW(A7)))&amp;""),"")</f>
        <v>9</v>
      </c>
      <c r="BS11">
        <f t="array" ref="BS11">IFERROR(VALUE(INDEX(AX:AX,SMALL(IF($AX$5:$AX$150&lt;&gt;"",ROW($AX$5:$AX$150),9999),ROW(A7)))&amp;""),"")</f>
        <v>126.4</v>
      </c>
      <c r="BT11">
        <f t="array" ref="BT11">IFERROR(VALUE(INDEX(AY:AY,SMALL(IF($AY$5:$AY$150&lt;&gt;"",ROW($AY$5:$AY$150),9999),ROW(A7)))&amp;""),"")</f>
        <v>9</v>
      </c>
      <c r="BU11">
        <f t="array" ref="BU11">IFERROR(VALUE(INDEX(AZ:AZ,SMALL(IF($AZ$5:$AZ$150&lt;&gt;"",ROW($AZ$5:$AZ$150),9999),ROW(A7)))&amp;""),"")</f>
        <v>415.2</v>
      </c>
      <c r="BV11">
        <f t="array" ref="BV11">IFERROR(VALUE(INDEX(BA:BA,SMALL(IF($BA$5:$BA$150&lt;&gt;"",ROW($BA$5:$BA$150),9999),ROW(A7)))&amp;""),"")</f>
        <v>9</v>
      </c>
      <c r="BX11">
        <f t="shared" si="53"/>
        <v>-61.8</v>
      </c>
      <c r="BY11">
        <f t="shared" si="54"/>
        <v>1.75</v>
      </c>
      <c r="BZ11">
        <f t="shared" si="55"/>
        <v>7</v>
      </c>
      <c r="CA11">
        <f t="shared" si="56"/>
        <v>1.1599999999999999</v>
      </c>
      <c r="CB11">
        <f t="shared" si="57"/>
        <v>9</v>
      </c>
      <c r="CC11">
        <f t="shared" si="58"/>
        <v>0.57000000000000006</v>
      </c>
      <c r="CD11">
        <f t="shared" si="59"/>
        <v>9</v>
      </c>
      <c r="CE11">
        <f t="shared" si="60"/>
        <v>3.5999999999999996</v>
      </c>
      <c r="CF11">
        <f t="shared" si="61"/>
        <v>9</v>
      </c>
      <c r="CG11">
        <f t="shared" si="62"/>
        <v>1.39</v>
      </c>
      <c r="CH11">
        <f t="shared" si="63"/>
        <v>9</v>
      </c>
      <c r="CW11">
        <f t="shared" si="9"/>
        <v>0</v>
      </c>
      <c r="CX11" t="str">
        <f t="shared" si="10"/>
        <v/>
      </c>
      <c r="CY11" t="str">
        <f t="shared" si="11"/>
        <v/>
      </c>
      <c r="CZ11" t="str">
        <f t="shared" si="12"/>
        <v/>
      </c>
      <c r="DA11" t="str">
        <f t="shared" si="13"/>
        <v/>
      </c>
      <c r="DB11" t="str">
        <f t="shared" si="14"/>
        <v/>
      </c>
      <c r="DC11" t="str">
        <f t="shared" si="15"/>
        <v/>
      </c>
      <c r="DD11" t="str">
        <f t="shared" si="16"/>
        <v/>
      </c>
      <c r="DE11" t="str">
        <f t="shared" si="17"/>
        <v/>
      </c>
      <c r="DF11" t="str">
        <f t="shared" si="18"/>
        <v/>
      </c>
      <c r="DG11" t="str">
        <f t="shared" si="19"/>
        <v/>
      </c>
      <c r="DH11" t="str">
        <f t="shared" si="20"/>
        <v/>
      </c>
      <c r="DI11" t="str">
        <f t="shared" si="21"/>
        <v/>
      </c>
      <c r="DJ11" t="str">
        <f t="shared" si="22"/>
        <v/>
      </c>
      <c r="DL11" t="str">
        <f t="shared" si="23"/>
        <v/>
      </c>
      <c r="DM11" t="str">
        <f t="shared" si="24"/>
        <v/>
      </c>
      <c r="DN11" t="str">
        <f t="shared" si="25"/>
        <v/>
      </c>
      <c r="DO11" t="str">
        <f t="shared" si="26"/>
        <v/>
      </c>
      <c r="DP11">
        <f t="shared" si="27"/>
        <v>0</v>
      </c>
      <c r="DQ11" t="str">
        <f t="shared" si="28"/>
        <v/>
      </c>
      <c r="DR11" t="str">
        <f t="shared" si="29"/>
        <v/>
      </c>
      <c r="DS11" t="str">
        <f t="shared" si="30"/>
        <v/>
      </c>
      <c r="DT11" t="str">
        <f t="shared" si="31"/>
        <v/>
      </c>
      <c r="DU11" t="str">
        <f t="shared" si="32"/>
        <v/>
      </c>
      <c r="DV11" t="str">
        <f t="shared" si="33"/>
        <v/>
      </c>
      <c r="DW11" t="str">
        <f t="shared" si="34"/>
        <v/>
      </c>
      <c r="DX11" t="str">
        <f t="shared" si="35"/>
        <v/>
      </c>
      <c r="DY11" t="str">
        <f t="shared" si="36"/>
        <v/>
      </c>
    </row>
    <row r="12" spans="1:129">
      <c r="A12">
        <v>6</v>
      </c>
      <c r="B12">
        <v>3</v>
      </c>
      <c r="C12">
        <v>25.2</v>
      </c>
      <c r="D12">
        <v>4</v>
      </c>
      <c r="E12">
        <v>1</v>
      </c>
      <c r="F12">
        <v>7252</v>
      </c>
      <c r="G12">
        <v>12.3</v>
      </c>
      <c r="H12">
        <v>8.3000000000000007</v>
      </c>
      <c r="L12">
        <f t="shared" si="37"/>
        <v>3.0361445783132526</v>
      </c>
      <c r="M12">
        <f t="shared" si="38"/>
        <v>16.899999999999999</v>
      </c>
      <c r="O12" t="str">
        <f t="shared" si="0"/>
        <v/>
      </c>
      <c r="P12" t="str">
        <f t="shared" si="39"/>
        <v/>
      </c>
      <c r="V12">
        <f t="shared" si="1"/>
        <v>25.2</v>
      </c>
      <c r="W12">
        <f t="shared" si="2"/>
        <v>3.0361445783132526</v>
      </c>
      <c r="AJ12">
        <v>8</v>
      </c>
      <c r="AK12" t="e">
        <f>#REF!</f>
        <v>#REF!</v>
      </c>
      <c r="AL12" s="25" t="str">
        <f>IFERROR(RANK(#REF!,AK5:AK22,0),"")</f>
        <v/>
      </c>
      <c r="AR12" t="str">
        <f t="shared" si="40"/>
        <v/>
      </c>
      <c r="AS12" s="25" t="str">
        <f t="shared" si="41"/>
        <v/>
      </c>
      <c r="AT12" t="str">
        <f t="shared" si="42"/>
        <v/>
      </c>
      <c r="AU12" s="25" t="str">
        <f t="shared" si="43"/>
        <v/>
      </c>
      <c r="AV12" t="str">
        <f t="shared" si="44"/>
        <v/>
      </c>
      <c r="AW12" s="25" t="str">
        <f t="shared" si="43"/>
        <v/>
      </c>
      <c r="AX12">
        <f t="shared" si="45"/>
        <v>12.3</v>
      </c>
      <c r="AY12" s="25">
        <f t="shared" si="3"/>
        <v>1</v>
      </c>
      <c r="AZ12" t="str">
        <f t="shared" si="46"/>
        <v/>
      </c>
      <c r="BA12" s="25" t="str">
        <f t="shared" si="4"/>
        <v/>
      </c>
      <c r="BB12" t="str">
        <f t="shared" si="47"/>
        <v/>
      </c>
      <c r="BC12" s="25" t="str">
        <f t="shared" si="48"/>
        <v/>
      </c>
      <c r="BD12" t="str">
        <f t="shared" si="49"/>
        <v/>
      </c>
      <c r="BE12" s="25" t="str">
        <f t="shared" si="5"/>
        <v/>
      </c>
      <c r="BF12" t="str">
        <f t="shared" si="50"/>
        <v/>
      </c>
      <c r="BG12" s="25" t="str">
        <f t="shared" si="6"/>
        <v/>
      </c>
      <c r="BH12" t="str">
        <f t="shared" si="51"/>
        <v/>
      </c>
      <c r="BI12" s="25" t="str">
        <f t="shared" si="7"/>
        <v/>
      </c>
      <c r="BJ12" t="str">
        <f t="shared" si="52"/>
        <v/>
      </c>
      <c r="BK12" s="25" t="str">
        <f t="shared" si="8"/>
        <v/>
      </c>
      <c r="BM12">
        <f t="array" ref="BM12">IFERROR(VALUE(INDEX(AR:AR,SMALL(IF($AR$5:$AR$150&lt;&gt;"",ROW($AR$5:$AR$150),9999),ROW(A8)))&amp;""),"")</f>
        <v>145</v>
      </c>
      <c r="BN12">
        <f t="array" ref="BN12">IFERROR(VALUE(INDEX(AS:AS,SMALL(IF($AS$5:$AS$150&lt;&gt;"",ROW($AS$5:$AS$150),9999),ROW(A8)))&amp;""),"")</f>
        <v>10</v>
      </c>
      <c r="BO12">
        <f t="array" ref="BO12">IFERROR(VALUE(INDEX(AT:AT,SMALL(IF($AT$5:$AT$150&lt;&gt;"",ROW($AT$5:$AT$150),9999),ROW(A8)))&amp;""),"")</f>
        <v>285.2</v>
      </c>
      <c r="BP12">
        <f t="array" ref="BP12">IFERROR(VALUE(INDEX(AU:AU,SMALL(IF($AU$5:$AU$150&lt;&gt;"",ROW($AU$5:$AU$150),9999),ROW(A8)))&amp;""),"")</f>
        <v>8</v>
      </c>
      <c r="BQ12">
        <f t="array" ref="BQ12">IFERROR(VALUE(INDEX(AV:AV,SMALL(IF($AV$5:$AV$150&lt;&gt;"",ROW($AV$5:$AV$150),9999),ROW(A8)))&amp;""),"")</f>
        <v>121.6</v>
      </c>
      <c r="BR12">
        <f t="array" ref="BR12">IFERROR(VALUE(INDEX(AW:AW,SMALL(IF($AW$5:$AW$150&lt;&gt;"",ROW($AW$5:$AW$150),9999),ROW(A8)))&amp;""),"")</f>
        <v>8</v>
      </c>
      <c r="BS12">
        <f t="array" ref="BS12">IFERROR(VALUE(INDEX(AX:AX,SMALL(IF($AX$5:$AX$150&lt;&gt;"",ROW($AX$5:$AX$150),9999),ROW(A8)))&amp;""),"")</f>
        <v>454.4</v>
      </c>
      <c r="BT12">
        <f t="array" ref="BT12">IFERROR(VALUE(INDEX(AY:AY,SMALL(IF($AY$5:$AY$150&lt;&gt;"",ROW($AY$5:$AY$150),9999),ROW(A8)))&amp;""),"")</f>
        <v>8</v>
      </c>
      <c r="BU12">
        <f t="array" ref="BU12">IFERROR(VALUE(INDEX(AZ:AZ,SMALL(IF($AZ$5:$AZ$150&lt;&gt;"",ROW($AZ$5:$AZ$150),9999),ROW(A8)))&amp;""),"")</f>
        <v>575.9</v>
      </c>
      <c r="BV12">
        <f t="array" ref="BV12">IFERROR(VALUE(INDEX(BA:BA,SMALL(IF($BA$5:$BA$150&lt;&gt;"",ROW($BA$5:$BA$150),9999),ROW(A8)))&amp;""),"")</f>
        <v>8</v>
      </c>
      <c r="BX12">
        <f t="shared" si="53"/>
        <v>1.41</v>
      </c>
      <c r="BY12">
        <f t="shared" si="54"/>
        <v>1</v>
      </c>
      <c r="BZ12">
        <f t="shared" si="55"/>
        <v>10</v>
      </c>
      <c r="CA12">
        <f t="shared" si="56"/>
        <v>0.51</v>
      </c>
      <c r="CB12">
        <f t="shared" si="57"/>
        <v>8</v>
      </c>
      <c r="CC12">
        <f t="shared" si="58"/>
        <v>0.95</v>
      </c>
      <c r="CD12">
        <f t="shared" si="59"/>
        <v>8</v>
      </c>
      <c r="CE12">
        <f t="shared" si="60"/>
        <v>0.93</v>
      </c>
      <c r="CF12">
        <f t="shared" si="61"/>
        <v>8</v>
      </c>
      <c r="CG12">
        <f t="shared" si="62"/>
        <v>0.86</v>
      </c>
      <c r="CH12">
        <f t="shared" si="63"/>
        <v>8</v>
      </c>
      <c r="CW12" t="str">
        <f t="shared" si="9"/>
        <v/>
      </c>
      <c r="CX12" t="str">
        <f t="shared" si="10"/>
        <v/>
      </c>
      <c r="CY12" t="str">
        <f t="shared" si="11"/>
        <v/>
      </c>
      <c r="CZ12">
        <f t="shared" si="12"/>
        <v>0</v>
      </c>
      <c r="DA12" t="str">
        <f t="shared" si="13"/>
        <v/>
      </c>
      <c r="DB12" t="str">
        <f t="shared" si="14"/>
        <v/>
      </c>
      <c r="DC12" t="str">
        <f t="shared" si="15"/>
        <v/>
      </c>
      <c r="DD12" t="str">
        <f t="shared" si="16"/>
        <v/>
      </c>
      <c r="DE12" t="str">
        <f t="shared" si="17"/>
        <v/>
      </c>
      <c r="DF12" t="str">
        <f t="shared" si="18"/>
        <v/>
      </c>
      <c r="DG12" t="str">
        <f t="shared" si="19"/>
        <v/>
      </c>
      <c r="DH12" t="str">
        <f t="shared" si="20"/>
        <v/>
      </c>
      <c r="DI12" t="str">
        <f t="shared" si="21"/>
        <v/>
      </c>
      <c r="DJ12" t="str">
        <f t="shared" si="22"/>
        <v/>
      </c>
      <c r="DL12">
        <f t="shared" si="23"/>
        <v>0</v>
      </c>
      <c r="DM12" t="str">
        <f t="shared" si="24"/>
        <v/>
      </c>
      <c r="DN12" t="str">
        <f t="shared" si="25"/>
        <v/>
      </c>
      <c r="DO12" t="str">
        <f t="shared" si="26"/>
        <v/>
      </c>
      <c r="DP12" t="str">
        <f t="shared" si="27"/>
        <v/>
      </c>
      <c r="DQ12" t="str">
        <f t="shared" si="28"/>
        <v/>
      </c>
      <c r="DR12" t="str">
        <f t="shared" si="29"/>
        <v/>
      </c>
      <c r="DS12" t="str">
        <f t="shared" si="30"/>
        <v/>
      </c>
      <c r="DT12" t="str">
        <f t="shared" si="31"/>
        <v/>
      </c>
      <c r="DU12" t="str">
        <f t="shared" si="32"/>
        <v/>
      </c>
      <c r="DV12" t="str">
        <f t="shared" si="33"/>
        <v/>
      </c>
      <c r="DW12" t="str">
        <f t="shared" si="34"/>
        <v/>
      </c>
      <c r="DX12" t="str">
        <f t="shared" si="35"/>
        <v/>
      </c>
      <c r="DY12" t="str">
        <f t="shared" si="36"/>
        <v/>
      </c>
    </row>
    <row r="13" spans="1:129">
      <c r="A13">
        <v>10</v>
      </c>
      <c r="B13">
        <v>3</v>
      </c>
      <c r="C13">
        <v>29.9</v>
      </c>
      <c r="D13">
        <v>6</v>
      </c>
      <c r="E13">
        <v>1</v>
      </c>
      <c r="F13">
        <v>6122</v>
      </c>
      <c r="G13">
        <v>11.5</v>
      </c>
      <c r="H13">
        <v>8.3000000000000007</v>
      </c>
      <c r="L13">
        <f t="shared" si="37"/>
        <v>3.6024096385542164</v>
      </c>
      <c r="M13">
        <f t="shared" si="38"/>
        <v>21.599999999999998</v>
      </c>
      <c r="O13" t="str">
        <f t="shared" si="0"/>
        <v/>
      </c>
      <c r="P13" t="str">
        <f t="shared" si="39"/>
        <v/>
      </c>
      <c r="V13">
        <f t="shared" si="1"/>
        <v>29.9</v>
      </c>
      <c r="W13">
        <f t="shared" si="2"/>
        <v>3.6024096385542164</v>
      </c>
      <c r="AJ13">
        <v>9</v>
      </c>
      <c r="AK13" t="e">
        <f>#REF!</f>
        <v>#REF!</v>
      </c>
      <c r="AL13" s="25" t="str">
        <f>IFERROR(RANK(AK13,AK5:AK22,0),"")</f>
        <v/>
      </c>
      <c r="AR13" t="str">
        <f t="shared" si="40"/>
        <v/>
      </c>
      <c r="AS13" s="25" t="str">
        <f t="shared" si="41"/>
        <v/>
      </c>
      <c r="AT13" t="str">
        <f t="shared" si="42"/>
        <v/>
      </c>
      <c r="AU13" s="25" t="str">
        <f t="shared" si="43"/>
        <v/>
      </c>
      <c r="AV13" t="str">
        <f t="shared" si="44"/>
        <v/>
      </c>
      <c r="AW13" s="25" t="str">
        <f t="shared" si="43"/>
        <v/>
      </c>
      <c r="AX13" t="str">
        <f t="shared" si="45"/>
        <v/>
      </c>
      <c r="AY13" s="25" t="str">
        <f t="shared" si="3"/>
        <v/>
      </c>
      <c r="AZ13" t="str">
        <f t="shared" si="46"/>
        <v/>
      </c>
      <c r="BA13" s="25" t="str">
        <f t="shared" si="4"/>
        <v/>
      </c>
      <c r="BB13">
        <f t="shared" si="47"/>
        <v>11.5</v>
      </c>
      <c r="BC13" s="25">
        <f t="shared" si="48"/>
        <v>1</v>
      </c>
      <c r="BD13" t="str">
        <f t="shared" si="49"/>
        <v/>
      </c>
      <c r="BE13" s="25" t="str">
        <f t="shared" si="5"/>
        <v/>
      </c>
      <c r="BF13" t="str">
        <f t="shared" si="50"/>
        <v/>
      </c>
      <c r="BG13" s="25" t="str">
        <f t="shared" si="6"/>
        <v/>
      </c>
      <c r="BH13" t="str">
        <f t="shared" si="51"/>
        <v/>
      </c>
      <c r="BI13" s="25" t="str">
        <f t="shared" si="7"/>
        <v/>
      </c>
      <c r="BJ13" t="str">
        <f t="shared" si="52"/>
        <v/>
      </c>
      <c r="BK13" s="25" t="str">
        <f t="shared" si="8"/>
        <v/>
      </c>
      <c r="BM13">
        <f t="array" ref="BM13">IFERROR(VALUE(INDEX(AR:AR,SMALL(IF($AR$5:$AR$150&lt;&gt;"",ROW($AR$5:$AR$150),9999),ROW(A9)))&amp;""),"")</f>
        <v>143.6</v>
      </c>
      <c r="BN13">
        <f t="array" ref="BN13">IFERROR(VALUE(INDEX(AS:AS,SMALL(IF($AS$5:$AS$150&lt;&gt;"",ROW($AS$5:$AS$150),9999),ROW(A9)))&amp;""),"")</f>
        <v>8</v>
      </c>
      <c r="BO13">
        <f t="array" ref="BO13">IFERROR(VALUE(INDEX(AT:AT,SMALL(IF($AT$5:$AT$150&lt;&gt;"",ROW($AT$5:$AT$150),9999),ROW(A9)))&amp;""),"")</f>
        <v>145.4</v>
      </c>
      <c r="BP13">
        <f t="array" ref="BP13">IFERROR(VALUE(INDEX(AU:AU,SMALL(IF($AU$5:$AU$150&lt;&gt;"",ROW($AU$5:$AU$150),9999),ROW(A9)))&amp;""),"")</f>
        <v>10</v>
      </c>
      <c r="BQ13">
        <f t="array" ref="BQ13">IFERROR(VALUE(INDEX(AV:AV,SMALL(IF($AV$5:$AV$150&lt;&gt;"",ROW($AV$5:$AV$150),9999),ROW(A9)))&amp;""),"")</f>
        <v>115.5</v>
      </c>
      <c r="BR13">
        <f t="array" ref="BR13">IFERROR(VALUE(INDEX(AW:AW,SMALL(IF($AW$5:$AW$150&lt;&gt;"",ROW($AW$5:$AW$150),9999),ROW(A9)))&amp;""),"")</f>
        <v>10</v>
      </c>
      <c r="BS13">
        <f t="array" ref="BS13">IFERROR(VALUE(INDEX(AX:AX,SMALL(IF($AX$5:$AX$150&lt;&gt;"",ROW($AX$5:$AX$150),9999),ROW(A9)))&amp;""),"")</f>
        <v>421</v>
      </c>
      <c r="BT13">
        <f t="array" ref="BT13">IFERROR(VALUE(INDEX(AY:AY,SMALL(IF($AY$5:$AY$150&lt;&gt;"",ROW($AY$5:$AY$150),9999),ROW(A9)))&amp;""),"")</f>
        <v>10</v>
      </c>
      <c r="BU13">
        <f t="array" ref="BU13">IFERROR(VALUE(INDEX(AZ:AZ,SMALL(IF($AZ$5:$AZ$150&lt;&gt;"",ROW($AZ$5:$AZ$150),9999),ROW(A9)))&amp;""),"")</f>
        <v>490.9</v>
      </c>
      <c r="BV13">
        <f t="array" ref="BV13">IFERROR(VALUE(INDEX(BA:BA,SMALL(IF($BA$5:$BA$150&lt;&gt;"",ROW($BA$5:$BA$150),9999),ROW(A9)))&amp;""),"")</f>
        <v>10</v>
      </c>
      <c r="BX13">
        <f t="shared" si="53"/>
        <v>-287.3</v>
      </c>
      <c r="BY13">
        <f t="shared" si="54"/>
        <v>3.01</v>
      </c>
      <c r="BZ13">
        <f t="shared" si="55"/>
        <v>8</v>
      </c>
      <c r="CA13">
        <f t="shared" si="56"/>
        <v>6.7799999999999994</v>
      </c>
      <c r="CB13">
        <f t="shared" si="57"/>
        <v>10</v>
      </c>
      <c r="CC13">
        <f t="shared" si="58"/>
        <v>7.24</v>
      </c>
      <c r="CD13">
        <f t="shared" si="59"/>
        <v>10</v>
      </c>
      <c r="CE13">
        <f t="shared" si="60"/>
        <v>2.69</v>
      </c>
      <c r="CF13">
        <f t="shared" si="61"/>
        <v>10</v>
      </c>
      <c r="CG13">
        <f t="shared" si="62"/>
        <v>2.7699999999999996</v>
      </c>
      <c r="CH13">
        <f t="shared" si="63"/>
        <v>10</v>
      </c>
      <c r="CW13" t="str">
        <f t="shared" si="9"/>
        <v/>
      </c>
      <c r="CX13" t="str">
        <f t="shared" si="10"/>
        <v/>
      </c>
      <c r="CY13" t="str">
        <f t="shared" si="11"/>
        <v/>
      </c>
      <c r="CZ13" t="str">
        <f t="shared" si="12"/>
        <v/>
      </c>
      <c r="DA13" t="str">
        <f t="shared" si="13"/>
        <v/>
      </c>
      <c r="DB13">
        <f t="shared" si="14"/>
        <v>0</v>
      </c>
      <c r="DC13" t="str">
        <f t="shared" si="15"/>
        <v/>
      </c>
      <c r="DD13" t="str">
        <f t="shared" si="16"/>
        <v/>
      </c>
      <c r="DE13" t="str">
        <f t="shared" si="17"/>
        <v/>
      </c>
      <c r="DF13" t="str">
        <f t="shared" si="18"/>
        <v/>
      </c>
      <c r="DG13" t="str">
        <f t="shared" si="19"/>
        <v/>
      </c>
      <c r="DH13" t="str">
        <f t="shared" si="20"/>
        <v/>
      </c>
      <c r="DI13" t="str">
        <f t="shared" si="21"/>
        <v/>
      </c>
      <c r="DJ13" t="str">
        <f t="shared" si="22"/>
        <v/>
      </c>
      <c r="DL13">
        <f t="shared" si="23"/>
        <v>0</v>
      </c>
      <c r="DM13" t="str">
        <f t="shared" si="24"/>
        <v/>
      </c>
      <c r="DN13" t="str">
        <f t="shared" si="25"/>
        <v/>
      </c>
      <c r="DO13" t="str">
        <f t="shared" si="26"/>
        <v/>
      </c>
      <c r="DP13" t="str">
        <f t="shared" si="27"/>
        <v/>
      </c>
      <c r="DQ13" t="str">
        <f t="shared" si="28"/>
        <v/>
      </c>
      <c r="DR13" t="str">
        <f t="shared" si="29"/>
        <v/>
      </c>
      <c r="DS13" t="str">
        <f t="shared" si="30"/>
        <v/>
      </c>
      <c r="DT13" t="str">
        <f t="shared" si="31"/>
        <v/>
      </c>
      <c r="DU13" t="str">
        <f t="shared" si="32"/>
        <v/>
      </c>
      <c r="DV13" t="str">
        <f t="shared" si="33"/>
        <v/>
      </c>
      <c r="DW13" t="str">
        <f t="shared" si="34"/>
        <v/>
      </c>
      <c r="DX13" t="str">
        <f t="shared" si="35"/>
        <v/>
      </c>
      <c r="DY13" t="str">
        <f t="shared" si="36"/>
        <v/>
      </c>
    </row>
    <row r="14" spans="1:129">
      <c r="A14">
        <v>13</v>
      </c>
      <c r="B14">
        <v>9</v>
      </c>
      <c r="C14">
        <v>33.799999999999997</v>
      </c>
      <c r="D14">
        <v>2</v>
      </c>
      <c r="E14">
        <v>3</v>
      </c>
      <c r="F14">
        <v>5407</v>
      </c>
      <c r="G14">
        <v>38.299999999999997</v>
      </c>
      <c r="H14">
        <v>18</v>
      </c>
      <c r="L14">
        <f t="shared" si="37"/>
        <v>1.8777777777777775</v>
      </c>
      <c r="M14">
        <f t="shared" si="38"/>
        <v>15.799999999999997</v>
      </c>
      <c r="O14">
        <f t="shared" si="0"/>
        <v>33.799999999999997</v>
      </c>
      <c r="P14">
        <f t="shared" si="39"/>
        <v>1.8777777777777775</v>
      </c>
      <c r="V14" t="str">
        <f t="shared" si="1"/>
        <v/>
      </c>
      <c r="W14" t="str">
        <f t="shared" si="2"/>
        <v/>
      </c>
      <c r="AJ14">
        <v>10</v>
      </c>
      <c r="AK14" t="e">
        <f>#REF!</f>
        <v>#REF!</v>
      </c>
      <c r="AL14" s="25" t="str">
        <f>IFERROR(RANK(AK14,AK5:AK22,0),"")</f>
        <v/>
      </c>
      <c r="AR14" t="str">
        <f t="shared" si="40"/>
        <v/>
      </c>
      <c r="AS14" s="25" t="str">
        <f t="shared" si="41"/>
        <v/>
      </c>
      <c r="AT14">
        <f t="shared" si="42"/>
        <v>38.299999999999997</v>
      </c>
      <c r="AU14" s="25">
        <f t="shared" si="43"/>
        <v>3</v>
      </c>
      <c r="AV14" t="str">
        <f t="shared" si="44"/>
        <v/>
      </c>
      <c r="AW14" s="25" t="str">
        <f t="shared" si="43"/>
        <v/>
      </c>
      <c r="AX14" t="str">
        <f t="shared" si="45"/>
        <v/>
      </c>
      <c r="AY14" s="25" t="str">
        <f t="shared" si="3"/>
        <v/>
      </c>
      <c r="AZ14" t="str">
        <f t="shared" si="46"/>
        <v/>
      </c>
      <c r="BA14" s="25" t="str">
        <f t="shared" si="4"/>
        <v/>
      </c>
      <c r="BB14" t="str">
        <f t="shared" si="47"/>
        <v/>
      </c>
      <c r="BC14" s="25" t="str">
        <f t="shared" si="48"/>
        <v/>
      </c>
      <c r="BD14" t="str">
        <f t="shared" si="49"/>
        <v/>
      </c>
      <c r="BE14" s="25" t="str">
        <f t="shared" si="5"/>
        <v/>
      </c>
      <c r="BF14" t="str">
        <f t="shared" si="50"/>
        <v/>
      </c>
      <c r="BG14" s="25" t="str">
        <f t="shared" si="6"/>
        <v/>
      </c>
      <c r="BH14" t="str">
        <f t="shared" si="51"/>
        <v/>
      </c>
      <c r="BI14" s="25" t="str">
        <f t="shared" si="7"/>
        <v/>
      </c>
      <c r="BJ14" t="str">
        <f t="shared" si="52"/>
        <v/>
      </c>
      <c r="BK14" s="25" t="str">
        <f t="shared" si="8"/>
        <v/>
      </c>
      <c r="BM14">
        <f t="array" ref="BM14">IFERROR(VALUE(INDEX(AR:AR,SMALL(IF($AR$5:$AR$150&lt;&gt;"",ROW($AR$5:$AR$150),9999),ROW(A10)))&amp;""),"")</f>
        <v>430.9</v>
      </c>
      <c r="BN14">
        <f t="array" ref="BN14">IFERROR(VALUE(INDEX(AS:AS,SMALL(IF($AS$5:$AS$150&lt;&gt;"",ROW($AS$5:$AS$150),9999),ROW(A10)))&amp;""),"")</f>
        <v>11</v>
      </c>
      <c r="BO14">
        <f t="array" ref="BO14">IFERROR(VALUE(INDEX(AT:AT,SMALL(IF($AT$5:$AT$150&lt;&gt;"",ROW($AT$5:$AT$150),9999),ROW(A10)))&amp;""),"")</f>
        <v>984.6</v>
      </c>
      <c r="BP14">
        <f t="array" ref="BP14">IFERROR(VALUE(INDEX(AU:AU,SMALL(IF($AU$5:$AU$150&lt;&gt;"",ROW($AU$5:$AU$150),9999),ROW(A10)))&amp;""),"")</f>
        <v>11</v>
      </c>
      <c r="BQ14">
        <f t="array" ref="BQ14">IFERROR(VALUE(INDEX(AV:AV,SMALL(IF($AV$5:$AV$150&lt;&gt;"",ROW($AV$5:$AV$150),9999),ROW(A10)))&amp;""),"")</f>
        <v>836.2</v>
      </c>
      <c r="BR14">
        <f t="array" ref="BR14">IFERROR(VALUE(INDEX(AW:AW,SMALL(IF($AW$5:$AW$150&lt;&gt;"",ROW($AW$5:$AW$150),9999),ROW(A10)))&amp;""),"")</f>
        <v>11</v>
      </c>
      <c r="BS14">
        <f t="array" ref="BS14">IFERROR(VALUE(INDEX(AX:AX,SMALL(IF($AX$5:$AX$150&lt;&gt;"",ROW($AX$5:$AX$150),9999),ROW(A10)))&amp;""),"")</f>
        <v>1130.4000000000001</v>
      </c>
      <c r="BT14">
        <f t="array" ref="BT14">IFERROR(VALUE(INDEX(AY:AY,SMALL(IF($AY$5:$AY$150&lt;&gt;"",ROW($AY$5:$AY$150),9999),ROW(A10)))&amp;""),"")</f>
        <v>11</v>
      </c>
      <c r="BU14">
        <f t="array" ref="BU14">IFERROR(VALUE(INDEX(AZ:AZ,SMALL(IF($AZ$5:$AZ$150&lt;&gt;"",ROW($AZ$5:$AZ$150),9999),ROW(A10)))&amp;""),"")</f>
        <v>1356.5</v>
      </c>
      <c r="BV14">
        <f t="array" ref="BV14">IFERROR(VALUE(INDEX(BA:BA,SMALL(IF($BA$5:$BA$150&lt;&gt;"",ROW($BA$5:$BA$150),9999),ROW(A10)))&amp;""),"")</f>
        <v>11</v>
      </c>
      <c r="BX14">
        <f t="shared" si="53"/>
        <v>-503.4</v>
      </c>
      <c r="BY14">
        <f t="shared" si="54"/>
        <v>2.17</v>
      </c>
      <c r="BZ14">
        <f t="shared" si="55"/>
        <v>11</v>
      </c>
      <c r="CA14">
        <f t="shared" si="56"/>
        <v>2.0699999999999998</v>
      </c>
      <c r="CB14">
        <f t="shared" si="57"/>
        <v>11</v>
      </c>
      <c r="CC14">
        <f t="shared" si="58"/>
        <v>2.3099999999999996</v>
      </c>
      <c r="CD14">
        <f t="shared" si="59"/>
        <v>11</v>
      </c>
      <c r="CE14">
        <f t="shared" si="60"/>
        <v>2.3899999999999997</v>
      </c>
      <c r="CF14">
        <f t="shared" si="61"/>
        <v>11</v>
      </c>
      <c r="CG14">
        <f t="shared" si="62"/>
        <v>2.1799999999999997</v>
      </c>
      <c r="CH14">
        <f t="shared" si="63"/>
        <v>11</v>
      </c>
      <c r="CW14" t="str">
        <f t="shared" si="9"/>
        <v/>
      </c>
      <c r="CX14">
        <f t="shared" si="10"/>
        <v>0</v>
      </c>
      <c r="CY14" t="str">
        <f t="shared" si="11"/>
        <v/>
      </c>
      <c r="CZ14" t="str">
        <f t="shared" si="12"/>
        <v/>
      </c>
      <c r="DA14" t="str">
        <f t="shared" si="13"/>
        <v/>
      </c>
      <c r="DB14" t="str">
        <f t="shared" si="14"/>
        <v/>
      </c>
      <c r="DC14" t="str">
        <f t="shared" si="15"/>
        <v/>
      </c>
      <c r="DD14" t="str">
        <f t="shared" si="16"/>
        <v/>
      </c>
      <c r="DE14" t="str">
        <f t="shared" si="17"/>
        <v/>
      </c>
      <c r="DF14" t="str">
        <f t="shared" si="18"/>
        <v/>
      </c>
      <c r="DG14" t="str">
        <f t="shared" si="19"/>
        <v/>
      </c>
      <c r="DH14" t="str">
        <f t="shared" si="20"/>
        <v/>
      </c>
      <c r="DI14" t="str">
        <f t="shared" si="21"/>
        <v/>
      </c>
      <c r="DJ14" t="str">
        <f t="shared" si="22"/>
        <v/>
      </c>
      <c r="DL14" t="str">
        <f t="shared" si="23"/>
        <v/>
      </c>
      <c r="DM14" t="str">
        <f t="shared" si="24"/>
        <v/>
      </c>
      <c r="DN14">
        <f t="shared" si="25"/>
        <v>0</v>
      </c>
      <c r="DO14" t="str">
        <f t="shared" si="26"/>
        <v/>
      </c>
      <c r="DP14" t="str">
        <f t="shared" si="27"/>
        <v/>
      </c>
      <c r="DQ14" t="str">
        <f t="shared" si="28"/>
        <v/>
      </c>
      <c r="DR14" t="str">
        <f t="shared" si="29"/>
        <v/>
      </c>
      <c r="DS14" t="str">
        <f t="shared" si="30"/>
        <v/>
      </c>
      <c r="DT14" t="str">
        <f t="shared" si="31"/>
        <v/>
      </c>
      <c r="DU14" t="str">
        <f t="shared" si="32"/>
        <v/>
      </c>
      <c r="DV14" t="str">
        <f t="shared" si="33"/>
        <v/>
      </c>
      <c r="DW14" t="str">
        <f t="shared" si="34"/>
        <v/>
      </c>
      <c r="DX14" t="str">
        <f t="shared" si="35"/>
        <v/>
      </c>
      <c r="DY14" t="str">
        <f t="shared" si="36"/>
        <v/>
      </c>
    </row>
    <row r="15" spans="1:129">
      <c r="A15">
        <v>9</v>
      </c>
      <c r="B15">
        <v>6</v>
      </c>
      <c r="C15">
        <v>36</v>
      </c>
      <c r="D15">
        <v>3</v>
      </c>
      <c r="E15">
        <v>4</v>
      </c>
      <c r="F15">
        <v>5075</v>
      </c>
      <c r="G15">
        <v>43.7</v>
      </c>
      <c r="H15">
        <v>19.7</v>
      </c>
      <c r="L15">
        <f t="shared" si="37"/>
        <v>1.8274111675126905</v>
      </c>
      <c r="M15">
        <f t="shared" si="38"/>
        <v>16.3</v>
      </c>
      <c r="O15">
        <f t="shared" si="0"/>
        <v>36</v>
      </c>
      <c r="P15">
        <f t="shared" si="39"/>
        <v>1.8274111675126905</v>
      </c>
      <c r="V15" t="str">
        <f t="shared" si="1"/>
        <v/>
      </c>
      <c r="W15" t="str">
        <f t="shared" si="2"/>
        <v/>
      </c>
      <c r="AJ15">
        <v>11</v>
      </c>
      <c r="AK15" t="e">
        <f>#REF!</f>
        <v>#REF!</v>
      </c>
      <c r="AL15" s="25" t="str">
        <f>IFERROR(RANK(AK15,AK5:AK22,0),"")</f>
        <v/>
      </c>
      <c r="AR15" t="str">
        <f t="shared" si="40"/>
        <v/>
      </c>
      <c r="AS15" s="25" t="str">
        <f t="shared" si="41"/>
        <v/>
      </c>
      <c r="AT15" t="str">
        <f t="shared" si="42"/>
        <v/>
      </c>
      <c r="AU15" s="25" t="str">
        <f t="shared" si="43"/>
        <v/>
      </c>
      <c r="AV15">
        <f t="shared" si="44"/>
        <v>43.7</v>
      </c>
      <c r="AW15" s="25">
        <f t="shared" si="43"/>
        <v>4</v>
      </c>
      <c r="AX15" t="str">
        <f t="shared" si="45"/>
        <v/>
      </c>
      <c r="AY15" s="25" t="str">
        <f t="shared" si="3"/>
        <v/>
      </c>
      <c r="AZ15" t="str">
        <f t="shared" si="46"/>
        <v/>
      </c>
      <c r="BA15" s="25" t="str">
        <f t="shared" si="4"/>
        <v/>
      </c>
      <c r="BB15" t="str">
        <f t="shared" si="47"/>
        <v/>
      </c>
      <c r="BC15" s="25" t="str">
        <f t="shared" si="48"/>
        <v/>
      </c>
      <c r="BD15" t="str">
        <f t="shared" si="49"/>
        <v/>
      </c>
      <c r="BE15" s="25" t="str">
        <f t="shared" si="5"/>
        <v/>
      </c>
      <c r="BF15" t="str">
        <f t="shared" si="50"/>
        <v/>
      </c>
      <c r="BG15" s="25" t="str">
        <f t="shared" si="6"/>
        <v/>
      </c>
      <c r="BH15" t="str">
        <f t="shared" si="51"/>
        <v/>
      </c>
      <c r="BI15" s="25" t="str">
        <f t="shared" si="7"/>
        <v/>
      </c>
      <c r="BJ15" t="str">
        <f t="shared" si="52"/>
        <v/>
      </c>
      <c r="BK15" s="25" t="str">
        <f t="shared" si="8"/>
        <v/>
      </c>
      <c r="BM15">
        <f t="array" ref="BM15">IFERROR(VALUE(INDEX(AR:AR,SMALL(IF($AR$5:$AR$150&lt;&gt;"",ROW($AR$5:$AR$150),9999),ROW(A11)))&amp;""),"")</f>
        <v>934.3</v>
      </c>
      <c r="BN15">
        <f t="array" ref="BN15">IFERROR(VALUE(INDEX(AS:AS,SMALL(IF($AS$5:$AS$150&lt;&gt;"",ROW($AS$5:$AS$150),9999),ROW(A11)))&amp;""),"")</f>
        <v>12</v>
      </c>
      <c r="BO15">
        <f t="array" ref="BO15">IFERROR(VALUE(INDEX(AT:AT,SMALL(IF($AT$5:$AT$150&lt;&gt;"",ROW($AT$5:$AT$150),9999),ROW(A11)))&amp;""),"")</f>
        <v>2034.8</v>
      </c>
      <c r="BP15">
        <f t="array" ref="BP15">IFERROR(VALUE(INDEX(AU:AU,SMALL(IF($AU$5:$AU$150&lt;&gt;"",ROW($AU$5:$AU$150),9999),ROW(A11)))&amp;""),"")</f>
        <v>12</v>
      </c>
      <c r="BQ15">
        <f t="array" ref="BQ15">IFERROR(VALUE(INDEX(AV:AV,SMALL(IF($AV$5:$AV$150&lt;&gt;"",ROW($AV$5:$AV$150),9999),ROW(A11)))&amp;""),"")</f>
        <v>1927.7</v>
      </c>
      <c r="BR15">
        <f t="array" ref="BR15">IFERROR(VALUE(INDEX(AW:AW,SMALL(IF($AW$5:$AW$150&lt;&gt;"",ROW($AW$5:$AW$150),9999),ROW(A11)))&amp;""),"")</f>
        <v>12</v>
      </c>
      <c r="BS15">
        <f t="array" ref="BS15">IFERROR(VALUE(INDEX(AX:AX,SMALL(IF($AX$5:$AX$150&lt;&gt;"",ROW($AX$5:$AX$150),9999),ROW(A11)))&amp;""),"")</f>
        <v>2693.2</v>
      </c>
      <c r="BT15">
        <f t="array" ref="BT15">IFERROR(VALUE(INDEX(AY:AY,SMALL(IF($AY$5:$AY$150&lt;&gt;"",ROW($AY$5:$AY$150),9999),ROW(A11)))&amp;""),"")</f>
        <v>12</v>
      </c>
      <c r="BU15">
        <f t="array" ref="BU15">IFERROR(VALUE(INDEX(AZ:AZ,SMALL(IF($AZ$5:$AZ$150&lt;&gt;"",ROW($AZ$5:$AZ$150),9999),ROW(A11)))&amp;""),"")</f>
        <v>2953.8</v>
      </c>
      <c r="BV15">
        <f t="array" ref="BV15">IFERROR(VALUE(INDEX(BA:BA,SMALL(IF($BA$5:$BA$150&lt;&gt;"",ROW($BA$5:$BA$150),9999),ROW(A11)))&amp;""),"")</f>
        <v>13</v>
      </c>
      <c r="BX15">
        <f t="shared" si="53"/>
        <v>-66.410000000000011</v>
      </c>
      <c r="BY15">
        <f t="shared" si="54"/>
        <v>1.08</v>
      </c>
      <c r="BZ15">
        <f t="shared" si="55"/>
        <v>12</v>
      </c>
      <c r="CA15">
        <f t="shared" si="56"/>
        <v>1.51</v>
      </c>
      <c r="CB15">
        <f t="shared" si="57"/>
        <v>12</v>
      </c>
      <c r="CC15">
        <f t="shared" si="58"/>
        <v>0.88</v>
      </c>
      <c r="CD15">
        <f t="shared" si="59"/>
        <v>12</v>
      </c>
      <c r="CE15">
        <f t="shared" si="60"/>
        <v>0.8</v>
      </c>
      <c r="CF15">
        <f t="shared" si="61"/>
        <v>12</v>
      </c>
      <c r="CG15">
        <f t="shared" si="62"/>
        <v>0.99</v>
      </c>
      <c r="CH15">
        <f t="shared" si="63"/>
        <v>13</v>
      </c>
      <c r="CW15" t="str">
        <f t="shared" si="9"/>
        <v/>
      </c>
      <c r="CX15" t="str">
        <f t="shared" si="10"/>
        <v/>
      </c>
      <c r="CY15">
        <f t="shared" si="11"/>
        <v>0</v>
      </c>
      <c r="CZ15" t="str">
        <f t="shared" si="12"/>
        <v/>
      </c>
      <c r="DA15" t="str">
        <f t="shared" si="13"/>
        <v/>
      </c>
      <c r="DB15" t="str">
        <f t="shared" si="14"/>
        <v/>
      </c>
      <c r="DC15" t="str">
        <f t="shared" si="15"/>
        <v/>
      </c>
      <c r="DD15" t="str">
        <f t="shared" si="16"/>
        <v/>
      </c>
      <c r="DE15" t="str">
        <f t="shared" si="17"/>
        <v/>
      </c>
      <c r="DF15" t="str">
        <f t="shared" si="18"/>
        <v/>
      </c>
      <c r="DG15" t="str">
        <f t="shared" si="19"/>
        <v/>
      </c>
      <c r="DH15" t="str">
        <f t="shared" si="20"/>
        <v/>
      </c>
      <c r="DI15" t="str">
        <f t="shared" si="21"/>
        <v/>
      </c>
      <c r="DJ15" t="str">
        <f t="shared" si="22"/>
        <v/>
      </c>
      <c r="DL15" t="str">
        <f t="shared" si="23"/>
        <v/>
      </c>
      <c r="DM15" t="str">
        <f t="shared" si="24"/>
        <v/>
      </c>
      <c r="DN15" t="str">
        <f t="shared" si="25"/>
        <v/>
      </c>
      <c r="DO15">
        <f t="shared" si="26"/>
        <v>0</v>
      </c>
      <c r="DP15" t="str">
        <f t="shared" si="27"/>
        <v/>
      </c>
      <c r="DQ15" t="str">
        <f t="shared" si="28"/>
        <v/>
      </c>
      <c r="DR15" t="str">
        <f t="shared" si="29"/>
        <v/>
      </c>
      <c r="DS15" t="str">
        <f t="shared" si="30"/>
        <v/>
      </c>
      <c r="DT15" t="str">
        <f t="shared" si="31"/>
        <v/>
      </c>
      <c r="DU15" t="str">
        <f t="shared" si="32"/>
        <v/>
      </c>
      <c r="DV15" t="str">
        <f t="shared" si="33"/>
        <v/>
      </c>
      <c r="DW15" t="str">
        <f t="shared" si="34"/>
        <v/>
      </c>
      <c r="DX15" t="str">
        <f t="shared" si="35"/>
        <v/>
      </c>
      <c r="DY15" t="str">
        <f t="shared" si="36"/>
        <v/>
      </c>
    </row>
    <row r="16" spans="1:129">
      <c r="A16">
        <v>3</v>
      </c>
      <c r="B16">
        <v>1</v>
      </c>
      <c r="C16">
        <v>38</v>
      </c>
      <c r="D16">
        <v>1</v>
      </c>
      <c r="E16">
        <v>9</v>
      </c>
      <c r="F16">
        <v>4819</v>
      </c>
      <c r="G16">
        <v>104.3</v>
      </c>
      <c r="H16">
        <v>27.9</v>
      </c>
      <c r="L16">
        <f t="shared" si="37"/>
        <v>1.3620071684587813</v>
      </c>
      <c r="M16">
        <f t="shared" si="38"/>
        <v>10.100000000000001</v>
      </c>
      <c r="O16">
        <f t="shared" si="0"/>
        <v>38</v>
      </c>
      <c r="P16">
        <f t="shared" si="39"/>
        <v>1.3620071684587813</v>
      </c>
      <c r="V16" t="str">
        <f t="shared" si="1"/>
        <v/>
      </c>
      <c r="W16" t="str">
        <f t="shared" si="2"/>
        <v/>
      </c>
      <c r="AJ16">
        <v>12</v>
      </c>
      <c r="AK16" t="e">
        <f>#REF!</f>
        <v>#REF!</v>
      </c>
      <c r="AL16" s="25" t="str">
        <f>IFERROR(RANK(AK16,AK5:AK22,0),"")</f>
        <v/>
      </c>
      <c r="AR16">
        <f t="shared" si="40"/>
        <v>104.3</v>
      </c>
      <c r="AS16" s="25">
        <f t="shared" si="41"/>
        <v>9</v>
      </c>
      <c r="AT16" t="str">
        <f t="shared" si="42"/>
        <v/>
      </c>
      <c r="AU16" s="25" t="str">
        <f t="shared" si="43"/>
        <v/>
      </c>
      <c r="AV16" t="str">
        <f t="shared" si="44"/>
        <v/>
      </c>
      <c r="AW16" s="25" t="str">
        <f t="shared" si="43"/>
        <v/>
      </c>
      <c r="AX16" t="str">
        <f t="shared" si="45"/>
        <v/>
      </c>
      <c r="AY16" s="25" t="str">
        <f t="shared" si="3"/>
        <v/>
      </c>
      <c r="AZ16" t="str">
        <f t="shared" si="46"/>
        <v/>
      </c>
      <c r="BA16" s="25" t="str">
        <f t="shared" si="4"/>
        <v/>
      </c>
      <c r="BB16" t="str">
        <f t="shared" si="47"/>
        <v/>
      </c>
      <c r="BC16" s="25" t="str">
        <f t="shared" si="48"/>
        <v/>
      </c>
      <c r="BD16" t="str">
        <f t="shared" si="49"/>
        <v/>
      </c>
      <c r="BE16" s="25" t="str">
        <f t="shared" si="5"/>
        <v/>
      </c>
      <c r="BF16" t="str">
        <f t="shared" si="50"/>
        <v/>
      </c>
      <c r="BG16" s="25" t="str">
        <f t="shared" si="6"/>
        <v/>
      </c>
      <c r="BH16" t="str">
        <f t="shared" si="51"/>
        <v/>
      </c>
      <c r="BI16" s="25" t="str">
        <f t="shared" si="7"/>
        <v/>
      </c>
      <c r="BJ16" t="str">
        <f t="shared" si="52"/>
        <v/>
      </c>
      <c r="BK16" s="25" t="str">
        <f t="shared" si="8"/>
        <v/>
      </c>
      <c r="BM16">
        <f t="array" ref="BM16">IFERROR(VALUE(INDEX(AR:AR,SMALL(IF($AR$5:$AR$150&lt;&gt;"",ROW($AR$5:$AR$150),9999),ROW(A12)))&amp;""),"")</f>
        <v>1000.7</v>
      </c>
      <c r="BN16">
        <f t="array" ref="BN16">IFERROR(VALUE(INDEX(AS:AS,SMALL(IF($AS$5:$AS$150&lt;&gt;"",ROW($AS$5:$AS$150),9999),ROW(A12)))&amp;""),"")</f>
        <v>14</v>
      </c>
      <c r="BO16">
        <f t="array" ref="BO16">IFERROR(VALUE(INDEX(AT:AT,SMALL(IF($AT$5:$AT$150&lt;&gt;"",ROW($AT$5:$AT$150),9999),ROW(A12)))&amp;""),"")</f>
        <v>3052.3</v>
      </c>
      <c r="BP16">
        <f t="array" ref="BP16">IFERROR(VALUE(INDEX(AU:AU,SMALL(IF($AU$5:$AU$150&lt;&gt;"",ROW($AU$5:$AU$150),9999),ROW(A12)))&amp;""),"")</f>
        <v>15</v>
      </c>
      <c r="BQ16">
        <f t="array" ref="BQ16">IFERROR(VALUE(INDEX(AV:AV,SMALL(IF($AV$5:$AV$150&lt;&gt;"",ROW($AV$5:$AV$150),9999),ROW(A12)))&amp;""),"")</f>
        <v>1695.7</v>
      </c>
      <c r="BR16">
        <f t="array" ref="BR16">IFERROR(VALUE(INDEX(AW:AW,SMALL(IF($AW$5:$AW$150&lt;&gt;"",ROW($AW$5:$AW$150),9999),ROW(A12)))&amp;""),"")</f>
        <v>13</v>
      </c>
      <c r="BS16">
        <f t="array" ref="BS16">IFERROR(VALUE(INDEX(AX:AX,SMALL(IF($AX$5:$AX$150&lt;&gt;"",ROW($AX$5:$AX$150),9999),ROW(A12)))&amp;""),"")</f>
        <v>2129.5</v>
      </c>
      <c r="BT16">
        <f t="array" ref="BT16">IFERROR(VALUE(INDEX(AY:AY,SMALL(IF($AY$5:$AY$150&lt;&gt;"",ROW($AY$5:$AY$150),9999),ROW(A12)))&amp;""),"")</f>
        <v>13</v>
      </c>
      <c r="BU16">
        <f t="array" ref="BU16">IFERROR(VALUE(INDEX(AZ:AZ,SMALL(IF($AZ$5:$AZ$150&lt;&gt;"",ROW($AZ$5:$AZ$150),9999),ROW(A12)))&amp;""),"")</f>
        <v>2906.9</v>
      </c>
      <c r="BV16">
        <f t="array" ref="BV16">IFERROR(VALUE(INDEX(BA:BA,SMALL(IF($BA$5:$BA$150&lt;&gt;"",ROW($BA$5:$BA$150),9999),ROW(A12)))&amp;""),"")</f>
        <v>12</v>
      </c>
      <c r="BX16">
        <f t="shared" si="53"/>
        <v>71.099999999999994</v>
      </c>
      <c r="BY16">
        <f t="shared" si="54"/>
        <v>0.93</v>
      </c>
      <c r="BZ16">
        <f t="shared" si="55"/>
        <v>14</v>
      </c>
      <c r="CA16">
        <f t="shared" si="56"/>
        <v>0.9</v>
      </c>
      <c r="CB16">
        <f t="shared" si="57"/>
        <v>15</v>
      </c>
      <c r="CC16">
        <f t="shared" si="58"/>
        <v>1.46</v>
      </c>
      <c r="CD16">
        <f t="shared" si="59"/>
        <v>13</v>
      </c>
      <c r="CE16">
        <f t="shared" si="60"/>
        <v>1.46</v>
      </c>
      <c r="CF16">
        <f t="shared" si="61"/>
        <v>13</v>
      </c>
      <c r="CG16">
        <f t="shared" si="62"/>
        <v>1.24</v>
      </c>
      <c r="CH16">
        <f t="shared" si="63"/>
        <v>12</v>
      </c>
      <c r="CW16">
        <f t="shared" si="9"/>
        <v>0</v>
      </c>
      <c r="CX16" t="str">
        <f t="shared" si="10"/>
        <v/>
      </c>
      <c r="CY16" t="str">
        <f t="shared" si="11"/>
        <v/>
      </c>
      <c r="CZ16" t="str">
        <f t="shared" si="12"/>
        <v/>
      </c>
      <c r="DA16" t="str">
        <f t="shared" si="13"/>
        <v/>
      </c>
      <c r="DB16" t="str">
        <f t="shared" si="14"/>
        <v/>
      </c>
      <c r="DC16" t="str">
        <f t="shared" si="15"/>
        <v/>
      </c>
      <c r="DD16" t="str">
        <f t="shared" si="16"/>
        <v/>
      </c>
      <c r="DE16" t="str">
        <f t="shared" si="17"/>
        <v/>
      </c>
      <c r="DF16" t="str">
        <f t="shared" si="18"/>
        <v/>
      </c>
      <c r="DG16" t="str">
        <f t="shared" si="19"/>
        <v/>
      </c>
      <c r="DH16" t="str">
        <f t="shared" si="20"/>
        <v/>
      </c>
      <c r="DI16" t="str">
        <f t="shared" si="21"/>
        <v/>
      </c>
      <c r="DJ16" t="str">
        <f t="shared" si="22"/>
        <v/>
      </c>
      <c r="DL16" t="str">
        <f t="shared" si="23"/>
        <v/>
      </c>
      <c r="DM16" t="str">
        <f t="shared" si="24"/>
        <v/>
      </c>
      <c r="DN16" t="str">
        <f t="shared" si="25"/>
        <v/>
      </c>
      <c r="DO16" t="str">
        <f t="shared" si="26"/>
        <v/>
      </c>
      <c r="DP16" t="str">
        <f t="shared" si="27"/>
        <v/>
      </c>
      <c r="DQ16" t="str">
        <f t="shared" si="28"/>
        <v/>
      </c>
      <c r="DR16" t="str">
        <f t="shared" si="29"/>
        <v/>
      </c>
      <c r="DS16" t="str">
        <f t="shared" si="30"/>
        <v/>
      </c>
      <c r="DT16">
        <f t="shared" si="31"/>
        <v>0</v>
      </c>
      <c r="DU16" t="str">
        <f t="shared" si="32"/>
        <v/>
      </c>
      <c r="DV16" t="str">
        <f t="shared" si="33"/>
        <v/>
      </c>
      <c r="DW16" t="str">
        <f t="shared" si="34"/>
        <v/>
      </c>
      <c r="DX16" t="str">
        <f t="shared" si="35"/>
        <v/>
      </c>
      <c r="DY16" t="str">
        <f t="shared" si="36"/>
        <v/>
      </c>
    </row>
    <row r="17" spans="1:129">
      <c r="A17">
        <v>9</v>
      </c>
      <c r="B17">
        <v>13</v>
      </c>
      <c r="C17">
        <v>38.299999999999997</v>
      </c>
      <c r="D17">
        <v>3</v>
      </c>
      <c r="E17">
        <v>2</v>
      </c>
      <c r="F17">
        <v>4776</v>
      </c>
      <c r="G17">
        <v>33.799999999999997</v>
      </c>
      <c r="H17">
        <v>18</v>
      </c>
      <c r="L17">
        <f t="shared" si="37"/>
        <v>2.1277777777777778</v>
      </c>
      <c r="M17">
        <f t="shared" si="38"/>
        <v>20.299999999999997</v>
      </c>
      <c r="O17" t="str">
        <f t="shared" si="0"/>
        <v/>
      </c>
      <c r="P17" t="str">
        <f t="shared" si="39"/>
        <v/>
      </c>
      <c r="V17">
        <f t="shared" si="1"/>
        <v>38.299999999999997</v>
      </c>
      <c r="W17">
        <f t="shared" si="2"/>
        <v>2.1277777777777778</v>
      </c>
      <c r="AJ17">
        <v>13</v>
      </c>
      <c r="AK17" t="e">
        <f>#REF!</f>
        <v>#REF!</v>
      </c>
      <c r="AL17" s="25" t="str">
        <f>IFERROR(RANK(AK17,AK5:AK22,0),"")</f>
        <v/>
      </c>
      <c r="AR17" t="str">
        <f t="shared" si="40"/>
        <v/>
      </c>
      <c r="AS17" s="25" t="str">
        <f t="shared" si="41"/>
        <v/>
      </c>
      <c r="AT17" t="str">
        <f t="shared" si="42"/>
        <v/>
      </c>
      <c r="AU17" s="25" t="str">
        <f t="shared" si="43"/>
        <v/>
      </c>
      <c r="AV17">
        <f t="shared" si="44"/>
        <v>33.799999999999997</v>
      </c>
      <c r="AW17" s="25">
        <f t="shared" si="43"/>
        <v>2</v>
      </c>
      <c r="AX17" t="str">
        <f t="shared" si="45"/>
        <v/>
      </c>
      <c r="AY17" s="25" t="str">
        <f t="shared" si="3"/>
        <v/>
      </c>
      <c r="AZ17" t="str">
        <f t="shared" si="46"/>
        <v/>
      </c>
      <c r="BA17" s="25" t="str">
        <f t="shared" si="4"/>
        <v/>
      </c>
      <c r="BB17" t="str">
        <f t="shared" si="47"/>
        <v/>
      </c>
      <c r="BC17" s="25" t="str">
        <f t="shared" si="48"/>
        <v/>
      </c>
      <c r="BD17" t="str">
        <f t="shared" si="49"/>
        <v/>
      </c>
      <c r="BE17" s="25" t="str">
        <f t="shared" si="5"/>
        <v/>
      </c>
      <c r="BF17" t="str">
        <f t="shared" si="50"/>
        <v/>
      </c>
      <c r="BG17" s="25" t="str">
        <f t="shared" si="6"/>
        <v/>
      </c>
      <c r="BH17" t="str">
        <f t="shared" si="51"/>
        <v/>
      </c>
      <c r="BI17" s="25" t="str">
        <f t="shared" si="7"/>
        <v/>
      </c>
      <c r="BJ17" t="str">
        <f t="shared" si="52"/>
        <v/>
      </c>
      <c r="BK17" s="25" t="str">
        <f t="shared" si="8"/>
        <v/>
      </c>
      <c r="BM17">
        <f t="array" ref="BM17">IFERROR(VALUE(INDEX(AR:AR,SMALL(IF($AR$5:$AR$150&lt;&gt;"",ROW($AR$5:$AR$150),9999),ROW(A13)))&amp;""),"")</f>
        <v>929.6</v>
      </c>
      <c r="BN17">
        <f t="array" ref="BN17">IFERROR(VALUE(INDEX(AS:AS,SMALL(IF($AS$5:$AS$150&lt;&gt;"",ROW($AS$5:$AS$150),9999),ROW(A13)))&amp;""),"")</f>
        <v>13</v>
      </c>
      <c r="BO17">
        <f t="array" ref="BO17">IFERROR(VALUE(INDEX(AT:AT,SMALL(IF($AT$5:$AT$150&lt;&gt;"",ROW($AT$5:$AT$150),9999),ROW(A13)))&amp;""),"")</f>
        <v>2733.4</v>
      </c>
      <c r="BP17">
        <f t="array" ref="BP17">IFERROR(VALUE(INDEX(AU:AU,SMALL(IF($AU$5:$AU$150&lt;&gt;"",ROW($AU$5:$AU$150),9999),ROW(A13)))&amp;""),"")</f>
        <v>14</v>
      </c>
      <c r="BQ17">
        <f t="array" ref="BQ17">IFERROR(VALUE(INDEX(AV:AV,SMALL(IF($AV$5:$AV$150&lt;&gt;"",ROW($AV$5:$AV$150),9999),ROW(A13)))&amp;""),"")</f>
        <v>2474.8000000000002</v>
      </c>
      <c r="BR17">
        <f t="array" ref="BR17">IFERROR(VALUE(INDEX(AW:AW,SMALL(IF($AW$5:$AW$150&lt;&gt;"",ROW($AW$5:$AW$150),9999),ROW(A13)))&amp;""),"")</f>
        <v>14</v>
      </c>
      <c r="BS17">
        <f t="array" ref="BS17">IFERROR(VALUE(INDEX(AX:AX,SMALL(IF($AX$5:$AX$150&lt;&gt;"",ROW($AX$5:$AX$150),9999),ROW(A13)))&amp;""),"")</f>
        <v>3104</v>
      </c>
      <c r="BT17">
        <f t="array" ref="BT17">IFERROR(VALUE(INDEX(AY:AY,SMALL(IF($AY$5:$AY$150&lt;&gt;"",ROW($AY$5:$AY$150),9999),ROW(A13)))&amp;""),"")</f>
        <v>14</v>
      </c>
      <c r="BU17">
        <f t="array" ref="BU17">IFERROR(VALUE(INDEX(AZ:AZ,SMALL(IF($AZ$5:$AZ$150&lt;&gt;"",ROW($AZ$5:$AZ$150),9999),ROW(A13)))&amp;""),"")</f>
        <v>3590.9</v>
      </c>
      <c r="BV17">
        <f t="array" ref="BV17">IFERROR(VALUE(INDEX(BA:BA,SMALL(IF($BA$5:$BA$150&lt;&gt;"",ROW($BA$5:$BA$150),9999),ROW(A13)))&amp;""),"")</f>
        <v>15</v>
      </c>
      <c r="BX17">
        <f t="shared" si="53"/>
        <v>-417</v>
      </c>
      <c r="BY17">
        <f t="shared" si="54"/>
        <v>1.45</v>
      </c>
      <c r="BZ17">
        <f t="shared" si="55"/>
        <v>13</v>
      </c>
      <c r="CA17">
        <f t="shared" si="56"/>
        <v>0.78</v>
      </c>
      <c r="CB17">
        <f t="shared" si="57"/>
        <v>14</v>
      </c>
      <c r="CC17">
        <f t="shared" si="58"/>
        <v>1.02</v>
      </c>
      <c r="CD17">
        <f t="shared" si="59"/>
        <v>14</v>
      </c>
      <c r="CE17">
        <f t="shared" si="60"/>
        <v>1.1000000000000001</v>
      </c>
      <c r="CF17">
        <f t="shared" si="61"/>
        <v>14</v>
      </c>
      <c r="CG17">
        <f t="shared" si="62"/>
        <v>0.97</v>
      </c>
      <c r="CH17">
        <f t="shared" si="63"/>
        <v>15</v>
      </c>
      <c r="CW17" t="str">
        <f t="shared" si="9"/>
        <v/>
      </c>
      <c r="CX17" t="str">
        <f t="shared" si="10"/>
        <v/>
      </c>
      <c r="CY17">
        <f t="shared" si="11"/>
        <v>0</v>
      </c>
      <c r="CZ17" t="str">
        <f t="shared" si="12"/>
        <v/>
      </c>
      <c r="DA17" t="str">
        <f t="shared" si="13"/>
        <v/>
      </c>
      <c r="DB17" t="str">
        <f t="shared" si="14"/>
        <v/>
      </c>
      <c r="DC17" t="str">
        <f t="shared" si="15"/>
        <v/>
      </c>
      <c r="DD17" t="str">
        <f t="shared" si="16"/>
        <v/>
      </c>
      <c r="DE17" t="str">
        <f t="shared" si="17"/>
        <v/>
      </c>
      <c r="DF17" t="str">
        <f t="shared" si="18"/>
        <v/>
      </c>
      <c r="DG17" t="str">
        <f t="shared" si="19"/>
        <v/>
      </c>
      <c r="DH17" t="str">
        <f t="shared" si="20"/>
        <v/>
      </c>
      <c r="DI17" t="str">
        <f t="shared" si="21"/>
        <v/>
      </c>
      <c r="DJ17" t="str">
        <f t="shared" si="22"/>
        <v/>
      </c>
      <c r="DL17" t="str">
        <f t="shared" si="23"/>
        <v/>
      </c>
      <c r="DM17">
        <f t="shared" si="24"/>
        <v>0</v>
      </c>
      <c r="DN17" t="str">
        <f t="shared" si="25"/>
        <v/>
      </c>
      <c r="DO17" t="str">
        <f t="shared" si="26"/>
        <v/>
      </c>
      <c r="DP17" t="str">
        <f t="shared" si="27"/>
        <v/>
      </c>
      <c r="DQ17" t="str">
        <f t="shared" si="28"/>
        <v/>
      </c>
      <c r="DR17" t="str">
        <f t="shared" si="29"/>
        <v/>
      </c>
      <c r="DS17" t="str">
        <f t="shared" si="30"/>
        <v/>
      </c>
      <c r="DT17" t="str">
        <f t="shared" si="31"/>
        <v/>
      </c>
      <c r="DU17" t="str">
        <f t="shared" si="32"/>
        <v/>
      </c>
      <c r="DV17" t="str">
        <f t="shared" si="33"/>
        <v/>
      </c>
      <c r="DW17" t="str">
        <f t="shared" si="34"/>
        <v/>
      </c>
      <c r="DX17" t="str">
        <f t="shared" si="35"/>
        <v/>
      </c>
      <c r="DY17" t="str">
        <f t="shared" si="36"/>
        <v/>
      </c>
    </row>
    <row r="18" spans="1:129">
      <c r="A18">
        <v>3</v>
      </c>
      <c r="B18">
        <v>11</v>
      </c>
      <c r="C18">
        <v>39.6</v>
      </c>
      <c r="D18">
        <v>1</v>
      </c>
      <c r="E18">
        <v>7</v>
      </c>
      <c r="F18">
        <v>4624</v>
      </c>
      <c r="G18">
        <v>83.2</v>
      </c>
      <c r="H18">
        <v>26.8</v>
      </c>
      <c r="L18">
        <f t="shared" si="37"/>
        <v>1.4776119402985075</v>
      </c>
      <c r="M18">
        <f t="shared" si="38"/>
        <v>12.8</v>
      </c>
      <c r="O18">
        <f t="shared" si="0"/>
        <v>39.6</v>
      </c>
      <c r="P18">
        <f t="shared" si="39"/>
        <v>1.4776119402985075</v>
      </c>
      <c r="V18" t="str">
        <f t="shared" si="1"/>
        <v/>
      </c>
      <c r="W18" t="str">
        <f t="shared" si="2"/>
        <v/>
      </c>
      <c r="AJ18">
        <v>14</v>
      </c>
      <c r="AK18" t="e">
        <f>#REF!</f>
        <v>#REF!</v>
      </c>
      <c r="AL18" s="25" t="str">
        <f>IFERROR(RANK(AK18,AK5:AK22,0),"")</f>
        <v/>
      </c>
      <c r="AR18">
        <f t="shared" si="40"/>
        <v>83.2</v>
      </c>
      <c r="AS18" s="25">
        <f t="shared" si="41"/>
        <v>7</v>
      </c>
      <c r="AT18" t="str">
        <f t="shared" si="42"/>
        <v/>
      </c>
      <c r="AU18" s="25" t="str">
        <f t="shared" si="43"/>
        <v/>
      </c>
      <c r="AV18" t="str">
        <f t="shared" si="44"/>
        <v/>
      </c>
      <c r="AW18" s="25" t="str">
        <f t="shared" si="43"/>
        <v/>
      </c>
      <c r="AX18" t="str">
        <f t="shared" si="45"/>
        <v/>
      </c>
      <c r="AY18" s="25" t="str">
        <f t="shared" si="3"/>
        <v/>
      </c>
      <c r="AZ18" t="str">
        <f t="shared" si="46"/>
        <v/>
      </c>
      <c r="BA18" s="25" t="str">
        <f t="shared" si="4"/>
        <v/>
      </c>
      <c r="BB18" t="str">
        <f t="shared" si="47"/>
        <v/>
      </c>
      <c r="BC18" s="25" t="str">
        <f t="shared" si="48"/>
        <v/>
      </c>
      <c r="BD18" t="str">
        <f t="shared" si="49"/>
        <v/>
      </c>
      <c r="BE18" s="25" t="str">
        <f t="shared" si="5"/>
        <v/>
      </c>
      <c r="BF18" t="str">
        <f t="shared" si="50"/>
        <v/>
      </c>
      <c r="BG18" s="25" t="str">
        <f t="shared" si="6"/>
        <v/>
      </c>
      <c r="BH18" t="str">
        <f t="shared" si="51"/>
        <v/>
      </c>
      <c r="BI18" s="25" t="str">
        <f t="shared" si="7"/>
        <v/>
      </c>
      <c r="BJ18" t="str">
        <f t="shared" si="52"/>
        <v/>
      </c>
      <c r="BK18" s="25" t="str">
        <f t="shared" si="8"/>
        <v/>
      </c>
      <c r="BM18">
        <f t="array" ref="BM18">IFERROR(VALUE(INDEX(AR:AR,SMALL(IF($AR$5:$AR$150&lt;&gt;"",ROW($AR$5:$AR$150),9999),ROW(A14)))&amp;""),"")</f>
        <v>1346.6</v>
      </c>
      <c r="BN18">
        <f t="array" ref="BN18">IFERROR(VALUE(INDEX(AS:AS,SMALL(IF($AS$5:$AS$150&lt;&gt;"",ROW($AS$5:$AS$150),9999),ROW(A14)))&amp;""),"")</f>
        <v>15</v>
      </c>
      <c r="BO18">
        <f t="array" ref="BO18">IFERROR(VALUE(INDEX(AT:AT,SMALL(IF($AT$5:$AT$150&lt;&gt;"",ROW($AT$5:$AT$150),9999),ROW(A14)))&amp;""),"")</f>
        <v>2105</v>
      </c>
      <c r="BP18">
        <f t="array" ref="BP18">IFERROR(VALUE(INDEX(AU:AU,SMALL(IF($AU$5:$AU$150&lt;&gt;"",ROW($AU$5:$AU$150),9999),ROW(A14)))&amp;""),"")</f>
        <v>13</v>
      </c>
      <c r="BQ18">
        <f t="array" ref="BQ18">IFERROR(VALUE(INDEX(AV:AV,SMALL(IF($AV$5:$AV$150&lt;&gt;"",ROW($AV$5:$AV$150),9999),ROW(A14)))&amp;""),"")</f>
        <v>2508.6999999999998</v>
      </c>
      <c r="BR18">
        <f t="array" ref="BR18">IFERROR(VALUE(INDEX(AW:AW,SMALL(IF($AW$5:$AW$150&lt;&gt;"",ROW($AW$5:$AW$150),9999),ROW(A14)))&amp;""),"")</f>
        <v>15</v>
      </c>
      <c r="BS18">
        <f t="array" ref="BS18">IFERROR(VALUE(INDEX(AX:AX,SMALL(IF($AX$5:$AX$150&lt;&gt;"",ROW($AX$5:$AX$150),9999),ROW(A14)))&amp;""),"")</f>
        <v>3391.4</v>
      </c>
      <c r="BT18">
        <f t="array" ref="BT18">IFERROR(VALUE(INDEX(AY:AY,SMALL(IF($AY$5:$AY$150&lt;&gt;"",ROW($AY$5:$AY$150),9999),ROW(A14)))&amp;""),"")</f>
        <v>15</v>
      </c>
      <c r="BU18">
        <f t="array" ref="BU18">IFERROR(VALUE(INDEX(AZ:AZ,SMALL(IF($AZ$5:$AZ$150&lt;&gt;"",ROW($AZ$5:$AZ$150),9999),ROW(A14)))&amp;""),"")</f>
        <v>3455.4</v>
      </c>
      <c r="BV18">
        <f t="array" ref="BV18">IFERROR(VALUE(INDEX(BA:BA,SMALL(IF($BA$5:$BA$150&lt;&gt;"",ROW($BA$5:$BA$150),9999),ROW(A14)))&amp;""),"")</f>
        <v>14</v>
      </c>
      <c r="BX18" t="str">
        <f t="shared" si="53"/>
        <v/>
      </c>
      <c r="BY18" t="str">
        <f t="shared" si="54"/>
        <v/>
      </c>
      <c r="BZ18">
        <f t="shared" si="55"/>
        <v>15</v>
      </c>
      <c r="CA18" t="str">
        <f t="shared" si="56"/>
        <v/>
      </c>
      <c r="CB18">
        <f t="shared" si="57"/>
        <v>13</v>
      </c>
      <c r="CC18" t="str">
        <f t="shared" si="58"/>
        <v/>
      </c>
      <c r="CD18">
        <f t="shared" si="59"/>
        <v>15</v>
      </c>
      <c r="CE18" t="str">
        <f t="shared" si="60"/>
        <v/>
      </c>
      <c r="CF18">
        <f t="shared" si="61"/>
        <v>15</v>
      </c>
      <c r="CG18" t="str">
        <f t="shared" si="62"/>
        <v/>
      </c>
      <c r="CH18">
        <f t="shared" si="63"/>
        <v>14</v>
      </c>
      <c r="CW18">
        <f t="shared" si="9"/>
        <v>0</v>
      </c>
      <c r="CX18" t="str">
        <f t="shared" si="10"/>
        <v/>
      </c>
      <c r="CY18" t="str">
        <f t="shared" si="11"/>
        <v/>
      </c>
      <c r="CZ18" t="str">
        <f t="shared" si="12"/>
        <v/>
      </c>
      <c r="DA18" t="str">
        <f t="shared" si="13"/>
        <v/>
      </c>
      <c r="DB18" t="str">
        <f t="shared" si="14"/>
        <v/>
      </c>
      <c r="DC18" t="str">
        <f t="shared" si="15"/>
        <v/>
      </c>
      <c r="DD18" t="str">
        <f t="shared" si="16"/>
        <v/>
      </c>
      <c r="DE18" t="str">
        <f t="shared" si="17"/>
        <v/>
      </c>
      <c r="DF18" t="str">
        <f t="shared" si="18"/>
        <v/>
      </c>
      <c r="DG18" t="str">
        <f t="shared" si="19"/>
        <v/>
      </c>
      <c r="DH18" t="str">
        <f t="shared" si="20"/>
        <v/>
      </c>
      <c r="DI18" t="str">
        <f t="shared" si="21"/>
        <v/>
      </c>
      <c r="DJ18" t="str">
        <f t="shared" si="22"/>
        <v/>
      </c>
      <c r="DL18" t="str">
        <f t="shared" si="23"/>
        <v/>
      </c>
      <c r="DM18" t="str">
        <f t="shared" si="24"/>
        <v/>
      </c>
      <c r="DN18" t="str">
        <f t="shared" si="25"/>
        <v/>
      </c>
      <c r="DO18" t="str">
        <f t="shared" si="26"/>
        <v/>
      </c>
      <c r="DP18" t="str">
        <f t="shared" si="27"/>
        <v/>
      </c>
      <c r="DQ18" t="str">
        <f t="shared" si="28"/>
        <v/>
      </c>
      <c r="DR18">
        <f t="shared" si="29"/>
        <v>0</v>
      </c>
      <c r="DS18" t="str">
        <f t="shared" si="30"/>
        <v/>
      </c>
      <c r="DT18" t="str">
        <f t="shared" si="31"/>
        <v/>
      </c>
      <c r="DU18" t="str">
        <f t="shared" si="32"/>
        <v/>
      </c>
      <c r="DV18" t="str">
        <f t="shared" si="33"/>
        <v/>
      </c>
      <c r="DW18" t="str">
        <f t="shared" si="34"/>
        <v/>
      </c>
      <c r="DX18" t="str">
        <f t="shared" si="35"/>
        <v/>
      </c>
      <c r="DY18" t="str">
        <f t="shared" si="36"/>
        <v/>
      </c>
    </row>
    <row r="19" spans="1:129">
      <c r="A19">
        <v>5</v>
      </c>
      <c r="B19">
        <v>3</v>
      </c>
      <c r="C19">
        <v>40.4</v>
      </c>
      <c r="D19">
        <v>5</v>
      </c>
      <c r="E19">
        <v>1</v>
      </c>
      <c r="F19">
        <v>4525</v>
      </c>
      <c r="G19">
        <v>20.5</v>
      </c>
      <c r="H19">
        <v>13.6</v>
      </c>
      <c r="L19">
        <f t="shared" si="37"/>
        <v>2.9705882352941178</v>
      </c>
      <c r="M19">
        <f t="shared" si="38"/>
        <v>26.799999999999997</v>
      </c>
      <c r="O19" t="str">
        <f t="shared" si="0"/>
        <v/>
      </c>
      <c r="P19" t="str">
        <f t="shared" si="39"/>
        <v/>
      </c>
      <c r="V19">
        <f t="shared" si="1"/>
        <v>40.4</v>
      </c>
      <c r="W19">
        <f t="shared" si="2"/>
        <v>2.9705882352941178</v>
      </c>
      <c r="AJ19">
        <v>15</v>
      </c>
      <c r="AK19">
        <f>AF105</f>
        <v>0</v>
      </c>
      <c r="AL19" s="25" t="str">
        <f>IFERROR(RANK(AK19,AK5:AK22,0),"")</f>
        <v/>
      </c>
      <c r="AR19" t="str">
        <f t="shared" si="40"/>
        <v/>
      </c>
      <c r="AS19" s="25" t="str">
        <f t="shared" si="41"/>
        <v/>
      </c>
      <c r="AT19" t="str">
        <f t="shared" si="42"/>
        <v/>
      </c>
      <c r="AU19" s="25" t="str">
        <f t="shared" si="43"/>
        <v/>
      </c>
      <c r="AV19" t="str">
        <f t="shared" si="44"/>
        <v/>
      </c>
      <c r="AW19" s="25" t="str">
        <f t="shared" si="43"/>
        <v/>
      </c>
      <c r="AX19" t="str">
        <f t="shared" si="45"/>
        <v/>
      </c>
      <c r="AY19" s="25" t="str">
        <f t="shared" si="3"/>
        <v/>
      </c>
      <c r="AZ19">
        <f t="shared" si="46"/>
        <v>20.5</v>
      </c>
      <c r="BA19" s="25">
        <f t="shared" si="4"/>
        <v>1</v>
      </c>
      <c r="BB19" t="str">
        <f t="shared" si="47"/>
        <v/>
      </c>
      <c r="BC19" s="25" t="str">
        <f t="shared" si="48"/>
        <v/>
      </c>
      <c r="BD19" t="str">
        <f t="shared" si="49"/>
        <v/>
      </c>
      <c r="BE19" s="25" t="str">
        <f t="shared" si="5"/>
        <v/>
      </c>
      <c r="BF19" t="str">
        <f t="shared" si="50"/>
        <v/>
      </c>
      <c r="BG19" s="25" t="str">
        <f t="shared" si="6"/>
        <v/>
      </c>
      <c r="BH19" t="str">
        <f t="shared" si="51"/>
        <v/>
      </c>
      <c r="BI19" s="25" t="str">
        <f t="shared" si="7"/>
        <v/>
      </c>
      <c r="BJ19" t="str">
        <f t="shared" si="52"/>
        <v/>
      </c>
      <c r="BK19" s="25" t="str">
        <f t="shared" si="8"/>
        <v/>
      </c>
      <c r="BM19" t="str">
        <f t="array" ref="BM19">IFERROR(VALUE(INDEX(AR:AR,SMALL(IF($AR$5:$AR$150&lt;&gt;"",ROW($AR$5:$AR$150),9999),ROW(A15)))&amp;""),"")</f>
        <v/>
      </c>
      <c r="BN19" t="str">
        <f t="array" ref="BN19">IFERROR(VALUE(INDEX(AS:AS,SMALL(IF($AS$5:$AS$150&lt;&gt;"",ROW($AS$5:$AS$150),9999),ROW(A15)))&amp;""),"")</f>
        <v/>
      </c>
      <c r="BO19" t="str">
        <f t="array" ref="BO19">IFERROR(VALUE(INDEX(AT:AT,SMALL(IF($AT$5:$AT$150&lt;&gt;"",ROW($AT$5:$AT$150),9999),ROW(A15)))&amp;""),"")</f>
        <v/>
      </c>
      <c r="BP19" t="str">
        <f t="array" ref="BP19">IFERROR(VALUE(INDEX(AU:AU,SMALL(IF($AU$5:$AU$150&lt;&gt;"",ROW($AU$5:$AU$150),9999),ROW(A15)))&amp;""),"")</f>
        <v/>
      </c>
      <c r="BQ19" t="str">
        <f t="array" ref="BQ19">IFERROR(VALUE(INDEX(AV:AV,SMALL(IF($AV$5:$AV$150&lt;&gt;"",ROW($AV$5:$AV$150),9999),ROW(A15)))&amp;""),"")</f>
        <v/>
      </c>
      <c r="BR19" t="str">
        <f t="array" ref="BR19">IFERROR(VALUE(INDEX(AW:AW,SMALL(IF($AW$5:$AW$150&lt;&gt;"",ROW($AW$5:$AW$150),9999),ROW(A15)))&amp;""),"")</f>
        <v/>
      </c>
      <c r="BS19" t="str">
        <f t="array" ref="BS19">IFERROR(VALUE(INDEX(AX:AX,SMALL(IF($AX$5:$AX$150&lt;&gt;"",ROW($AX$5:$AX$150),9999),ROW(A15)))&amp;""),"")</f>
        <v/>
      </c>
      <c r="BT19" t="str">
        <f t="array" ref="BT19">IFERROR(VALUE(INDEX(AY:AY,SMALL(IF($AY$5:$AY$150&lt;&gt;"",ROW($AY$5:$AY$150),9999),ROW(A15)))&amp;""),"")</f>
        <v/>
      </c>
      <c r="BU19" t="str">
        <f t="array" ref="BU19">IFERROR(VALUE(INDEX(AZ:AZ,SMALL(IF($AZ$5:$AZ$150&lt;&gt;"",ROW($AZ$5:$AZ$150),9999),ROW(A15)))&amp;""),"")</f>
        <v/>
      </c>
      <c r="BV19" t="str">
        <f t="array" ref="BV19">IFERROR(VALUE(INDEX(BA:BA,SMALL(IF($BA$5:$BA$150&lt;&gt;"",ROW($BA$5:$BA$150),9999),ROW(A15)))&amp;""),"")</f>
        <v/>
      </c>
      <c r="BX19" t="str">
        <f t="shared" si="53"/>
        <v/>
      </c>
      <c r="BY19" t="str">
        <f t="shared" si="54"/>
        <v/>
      </c>
      <c r="BZ19" t="str">
        <f t="shared" si="55"/>
        <v/>
      </c>
      <c r="CA19" t="str">
        <f t="shared" si="56"/>
        <v/>
      </c>
      <c r="CB19" t="str">
        <f t="shared" si="57"/>
        <v/>
      </c>
      <c r="CC19" t="str">
        <f t="shared" si="58"/>
        <v/>
      </c>
      <c r="CD19" t="str">
        <f t="shared" si="59"/>
        <v/>
      </c>
      <c r="CE19" t="str">
        <f t="shared" si="60"/>
        <v/>
      </c>
      <c r="CF19" t="str">
        <f t="shared" si="61"/>
        <v/>
      </c>
      <c r="CG19" t="str">
        <f t="shared" si="62"/>
        <v/>
      </c>
      <c r="CH19" t="str">
        <f t="shared" si="63"/>
        <v/>
      </c>
      <c r="CW19" t="str">
        <f t="shared" si="9"/>
        <v/>
      </c>
      <c r="CX19" t="str">
        <f t="shared" si="10"/>
        <v/>
      </c>
      <c r="CY19" t="str">
        <f t="shared" si="11"/>
        <v/>
      </c>
      <c r="CZ19" t="str">
        <f t="shared" si="12"/>
        <v/>
      </c>
      <c r="DA19">
        <f t="shared" si="13"/>
        <v>0</v>
      </c>
      <c r="DB19" t="str">
        <f t="shared" si="14"/>
        <v/>
      </c>
      <c r="DC19" t="str">
        <f t="shared" si="15"/>
        <v/>
      </c>
      <c r="DD19" t="str">
        <f t="shared" si="16"/>
        <v/>
      </c>
      <c r="DE19" t="str">
        <f t="shared" si="17"/>
        <v/>
      </c>
      <c r="DF19" t="str">
        <f t="shared" si="18"/>
        <v/>
      </c>
      <c r="DG19" t="str">
        <f t="shared" si="19"/>
        <v/>
      </c>
      <c r="DH19" t="str">
        <f t="shared" si="20"/>
        <v/>
      </c>
      <c r="DI19" t="str">
        <f t="shared" si="21"/>
        <v/>
      </c>
      <c r="DJ19" t="str">
        <f t="shared" si="22"/>
        <v/>
      </c>
      <c r="DL19">
        <f t="shared" si="23"/>
        <v>0</v>
      </c>
      <c r="DM19" t="str">
        <f t="shared" si="24"/>
        <v/>
      </c>
      <c r="DN19" t="str">
        <f t="shared" si="25"/>
        <v/>
      </c>
      <c r="DO19" t="str">
        <f t="shared" si="26"/>
        <v/>
      </c>
      <c r="DP19" t="str">
        <f t="shared" si="27"/>
        <v/>
      </c>
      <c r="DQ19" t="str">
        <f t="shared" si="28"/>
        <v/>
      </c>
      <c r="DR19" t="str">
        <f t="shared" si="29"/>
        <v/>
      </c>
      <c r="DS19" t="str">
        <f t="shared" si="30"/>
        <v/>
      </c>
      <c r="DT19" t="str">
        <f t="shared" si="31"/>
        <v/>
      </c>
      <c r="DU19" t="str">
        <f t="shared" si="32"/>
        <v/>
      </c>
      <c r="DV19" t="str">
        <f t="shared" si="33"/>
        <v/>
      </c>
      <c r="DW19" t="str">
        <f t="shared" si="34"/>
        <v/>
      </c>
      <c r="DX19" t="str">
        <f t="shared" si="35"/>
        <v/>
      </c>
      <c r="DY19" t="str">
        <f t="shared" si="36"/>
        <v/>
      </c>
    </row>
    <row r="20" spans="1:129">
      <c r="A20">
        <v>6</v>
      </c>
      <c r="B20">
        <v>9</v>
      </c>
      <c r="C20">
        <v>43.7</v>
      </c>
      <c r="D20">
        <v>4</v>
      </c>
      <c r="E20">
        <v>3</v>
      </c>
      <c r="F20">
        <v>4190</v>
      </c>
      <c r="G20">
        <v>36</v>
      </c>
      <c r="H20">
        <v>19.7</v>
      </c>
      <c r="L20">
        <f t="shared" si="37"/>
        <v>2.218274111675127</v>
      </c>
      <c r="M20">
        <f t="shared" si="38"/>
        <v>24.000000000000004</v>
      </c>
      <c r="O20" t="str">
        <f t="shared" si="0"/>
        <v/>
      </c>
      <c r="P20" t="str">
        <f t="shared" si="39"/>
        <v/>
      </c>
      <c r="V20">
        <f t="shared" si="1"/>
        <v>43.7</v>
      </c>
      <c r="W20">
        <f t="shared" si="2"/>
        <v>2.218274111675127</v>
      </c>
      <c r="AJ20">
        <v>16</v>
      </c>
      <c r="AK20">
        <f>AG105</f>
        <v>0</v>
      </c>
      <c r="AL20" s="25" t="str">
        <f>IFERROR(RANK(AK20,AK5:AK22,0),"")</f>
        <v/>
      </c>
      <c r="AR20" t="str">
        <f t="shared" si="40"/>
        <v/>
      </c>
      <c r="AS20" s="25" t="str">
        <f t="shared" si="41"/>
        <v/>
      </c>
      <c r="AT20" t="str">
        <f t="shared" si="42"/>
        <v/>
      </c>
      <c r="AU20" s="25" t="str">
        <f t="shared" si="43"/>
        <v/>
      </c>
      <c r="AV20" t="str">
        <f t="shared" si="44"/>
        <v/>
      </c>
      <c r="AW20" s="25" t="str">
        <f t="shared" si="43"/>
        <v/>
      </c>
      <c r="AX20">
        <f t="shared" si="45"/>
        <v>36</v>
      </c>
      <c r="AY20" s="25">
        <f t="shared" si="3"/>
        <v>3</v>
      </c>
      <c r="AZ20" t="str">
        <f t="shared" si="46"/>
        <v/>
      </c>
      <c r="BA20" s="25" t="str">
        <f t="shared" si="4"/>
        <v/>
      </c>
      <c r="BB20" t="str">
        <f t="shared" si="47"/>
        <v/>
      </c>
      <c r="BC20" s="25" t="str">
        <f t="shared" si="48"/>
        <v/>
      </c>
      <c r="BD20" t="str">
        <f t="shared" si="49"/>
        <v/>
      </c>
      <c r="BE20" s="25" t="str">
        <f t="shared" si="5"/>
        <v/>
      </c>
      <c r="BF20" t="str">
        <f t="shared" si="50"/>
        <v/>
      </c>
      <c r="BG20" s="25" t="str">
        <f t="shared" si="6"/>
        <v/>
      </c>
      <c r="BH20" t="str">
        <f t="shared" si="51"/>
        <v/>
      </c>
      <c r="BI20" s="25" t="str">
        <f t="shared" si="7"/>
        <v/>
      </c>
      <c r="BJ20" t="str">
        <f t="shared" si="52"/>
        <v/>
      </c>
      <c r="BK20" s="25" t="str">
        <f t="shared" si="8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  <c r="CW20" t="str">
        <f t="shared" si="9"/>
        <v/>
      </c>
      <c r="CX20" t="str">
        <f t="shared" si="10"/>
        <v/>
      </c>
      <c r="CY20" t="str">
        <f t="shared" si="11"/>
        <v/>
      </c>
      <c r="CZ20">
        <f t="shared" si="12"/>
        <v>0</v>
      </c>
      <c r="DA20" t="str">
        <f t="shared" si="13"/>
        <v/>
      </c>
      <c r="DB20" t="str">
        <f t="shared" si="14"/>
        <v/>
      </c>
      <c r="DC20" t="str">
        <f t="shared" si="15"/>
        <v/>
      </c>
      <c r="DD20" t="str">
        <f t="shared" si="16"/>
        <v/>
      </c>
      <c r="DE20" t="str">
        <f t="shared" si="17"/>
        <v/>
      </c>
      <c r="DF20" t="str">
        <f t="shared" si="18"/>
        <v/>
      </c>
      <c r="DG20" t="str">
        <f t="shared" si="19"/>
        <v/>
      </c>
      <c r="DH20" t="str">
        <f t="shared" si="20"/>
        <v/>
      </c>
      <c r="DI20" t="str">
        <f t="shared" si="21"/>
        <v/>
      </c>
      <c r="DJ20" t="str">
        <f t="shared" si="22"/>
        <v/>
      </c>
      <c r="DL20" t="str">
        <f t="shared" si="23"/>
        <v/>
      </c>
      <c r="DM20" t="str">
        <f t="shared" si="24"/>
        <v/>
      </c>
      <c r="DN20">
        <f t="shared" si="25"/>
        <v>0</v>
      </c>
      <c r="DO20" t="str">
        <f t="shared" si="26"/>
        <v/>
      </c>
      <c r="DP20" t="str">
        <f t="shared" si="27"/>
        <v/>
      </c>
      <c r="DQ20" t="str">
        <f t="shared" si="28"/>
        <v/>
      </c>
      <c r="DR20" t="str">
        <f t="shared" si="29"/>
        <v/>
      </c>
      <c r="DS20" t="str">
        <f t="shared" si="30"/>
        <v/>
      </c>
      <c r="DT20" t="str">
        <f t="shared" si="31"/>
        <v/>
      </c>
      <c r="DU20" t="str">
        <f t="shared" si="32"/>
        <v/>
      </c>
      <c r="DV20" t="str">
        <f t="shared" si="33"/>
        <v/>
      </c>
      <c r="DW20" t="str">
        <f t="shared" si="34"/>
        <v/>
      </c>
      <c r="DX20" t="str">
        <f t="shared" si="35"/>
        <v/>
      </c>
      <c r="DY20" t="str">
        <f t="shared" si="36"/>
        <v/>
      </c>
    </row>
    <row r="21" spans="1:129">
      <c r="A21">
        <v>9</v>
      </c>
      <c r="B21">
        <v>10</v>
      </c>
      <c r="C21">
        <v>49.5</v>
      </c>
      <c r="D21">
        <v>3</v>
      </c>
      <c r="E21">
        <v>6</v>
      </c>
      <c r="F21">
        <v>3696</v>
      </c>
      <c r="G21">
        <v>70.5</v>
      </c>
      <c r="H21">
        <v>29.1</v>
      </c>
      <c r="L21">
        <f t="shared" si="37"/>
        <v>1.7010309278350515</v>
      </c>
      <c r="M21">
        <f t="shared" si="38"/>
        <v>20.399999999999999</v>
      </c>
      <c r="O21">
        <f t="shared" si="0"/>
        <v>49.5</v>
      </c>
      <c r="P21">
        <f t="shared" si="39"/>
        <v>1.7010309278350515</v>
      </c>
      <c r="V21" t="str">
        <f t="shared" si="1"/>
        <v/>
      </c>
      <c r="W21" t="str">
        <f t="shared" si="2"/>
        <v/>
      </c>
      <c r="AJ21">
        <v>17</v>
      </c>
      <c r="AK21">
        <f>AH105</f>
        <v>0</v>
      </c>
      <c r="AL21" s="25" t="str">
        <f>IFERROR(RANK(AK21,AK5:AK22,0),"")</f>
        <v/>
      </c>
      <c r="AR21" t="str">
        <f t="shared" si="40"/>
        <v/>
      </c>
      <c r="AS21" s="25" t="str">
        <f t="shared" si="41"/>
        <v/>
      </c>
      <c r="AT21" t="str">
        <f t="shared" si="42"/>
        <v/>
      </c>
      <c r="AU21" s="25" t="str">
        <f t="shared" si="43"/>
        <v/>
      </c>
      <c r="AV21">
        <f t="shared" si="44"/>
        <v>70.5</v>
      </c>
      <c r="AW21" s="25">
        <f t="shared" si="43"/>
        <v>6</v>
      </c>
      <c r="AX21" t="str">
        <f t="shared" si="45"/>
        <v/>
      </c>
      <c r="AY21" s="25" t="str">
        <f t="shared" si="3"/>
        <v/>
      </c>
      <c r="AZ21" t="str">
        <f t="shared" si="46"/>
        <v/>
      </c>
      <c r="BA21" s="25" t="str">
        <f t="shared" si="4"/>
        <v/>
      </c>
      <c r="BB21" t="str">
        <f t="shared" si="47"/>
        <v/>
      </c>
      <c r="BC21" s="25" t="str">
        <f t="shared" si="48"/>
        <v/>
      </c>
      <c r="BD21" t="str">
        <f t="shared" si="49"/>
        <v/>
      </c>
      <c r="BE21" s="25" t="str">
        <f t="shared" si="5"/>
        <v/>
      </c>
      <c r="BF21" t="str">
        <f t="shared" si="50"/>
        <v/>
      </c>
      <c r="BG21" s="25" t="str">
        <f t="shared" si="6"/>
        <v/>
      </c>
      <c r="BH21" t="str">
        <f t="shared" si="51"/>
        <v/>
      </c>
      <c r="BI21" s="25" t="str">
        <f t="shared" si="7"/>
        <v/>
      </c>
      <c r="BJ21" t="str">
        <f t="shared" si="52"/>
        <v/>
      </c>
      <c r="BK21" s="25" t="str">
        <f t="shared" si="8"/>
        <v/>
      </c>
      <c r="CW21" t="str">
        <f t="shared" si="9"/>
        <v/>
      </c>
      <c r="CX21" t="str">
        <f t="shared" si="10"/>
        <v/>
      </c>
      <c r="CY21">
        <f t="shared" si="11"/>
        <v>0</v>
      </c>
      <c r="CZ21" t="str">
        <f t="shared" si="12"/>
        <v/>
      </c>
      <c r="DA21" t="str">
        <f t="shared" si="13"/>
        <v/>
      </c>
      <c r="DB21" t="str">
        <f t="shared" si="14"/>
        <v/>
      </c>
      <c r="DC21" t="str">
        <f t="shared" si="15"/>
        <v/>
      </c>
      <c r="DD21" t="str">
        <f t="shared" si="16"/>
        <v/>
      </c>
      <c r="DE21" t="str">
        <f t="shared" si="17"/>
        <v/>
      </c>
      <c r="DF21" t="str">
        <f t="shared" si="18"/>
        <v/>
      </c>
      <c r="DG21" t="str">
        <f t="shared" si="19"/>
        <v/>
      </c>
      <c r="DH21" t="str">
        <f t="shared" si="20"/>
        <v/>
      </c>
      <c r="DI21" t="str">
        <f t="shared" si="21"/>
        <v/>
      </c>
      <c r="DJ21" t="str">
        <f t="shared" si="22"/>
        <v/>
      </c>
      <c r="DL21" t="str">
        <f t="shared" si="23"/>
        <v/>
      </c>
      <c r="DM21" t="str">
        <f t="shared" si="24"/>
        <v/>
      </c>
      <c r="DN21" t="str">
        <f t="shared" si="25"/>
        <v/>
      </c>
      <c r="DO21" t="str">
        <f t="shared" si="26"/>
        <v/>
      </c>
      <c r="DP21" t="str">
        <f t="shared" si="27"/>
        <v/>
      </c>
      <c r="DQ21">
        <f t="shared" si="28"/>
        <v>0</v>
      </c>
      <c r="DR21" t="str">
        <f t="shared" si="29"/>
        <v/>
      </c>
      <c r="DS21" t="str">
        <f t="shared" si="30"/>
        <v/>
      </c>
      <c r="DT21" t="str">
        <f t="shared" si="31"/>
        <v/>
      </c>
      <c r="DU21" t="str">
        <f t="shared" si="32"/>
        <v/>
      </c>
      <c r="DV21" t="str">
        <f t="shared" si="33"/>
        <v/>
      </c>
      <c r="DW21" t="str">
        <f t="shared" si="34"/>
        <v/>
      </c>
      <c r="DX21" t="str">
        <f t="shared" si="35"/>
        <v/>
      </c>
      <c r="DY21" t="str">
        <f t="shared" si="36"/>
        <v/>
      </c>
    </row>
    <row r="22" spans="1:129">
      <c r="A22">
        <v>13</v>
      </c>
      <c r="B22">
        <v>10</v>
      </c>
      <c r="C22">
        <v>52.7</v>
      </c>
      <c r="D22">
        <v>2</v>
      </c>
      <c r="E22">
        <v>6</v>
      </c>
      <c r="F22">
        <v>3473</v>
      </c>
      <c r="G22">
        <v>84.9</v>
      </c>
      <c r="H22">
        <v>32.5</v>
      </c>
      <c r="L22">
        <f t="shared" si="37"/>
        <v>1.6215384615384616</v>
      </c>
      <c r="M22">
        <f t="shared" si="38"/>
        <v>20.200000000000003</v>
      </c>
      <c r="O22">
        <f t="shared" si="0"/>
        <v>52.7</v>
      </c>
      <c r="P22">
        <f t="shared" si="39"/>
        <v>1.6215384615384616</v>
      </c>
      <c r="V22" t="str">
        <f t="shared" si="1"/>
        <v/>
      </c>
      <c r="W22" t="str">
        <f t="shared" si="2"/>
        <v/>
      </c>
      <c r="AJ22">
        <v>18</v>
      </c>
      <c r="AK22">
        <f>AI105</f>
        <v>0</v>
      </c>
      <c r="AL22" s="25" t="str">
        <f>IFERROR(RANK(AK22,AK5:AK22,0),"")</f>
        <v/>
      </c>
      <c r="AR22" t="str">
        <f t="shared" si="40"/>
        <v/>
      </c>
      <c r="AS22" s="25" t="str">
        <f t="shared" si="41"/>
        <v/>
      </c>
      <c r="AT22">
        <f t="shared" si="42"/>
        <v>84.9</v>
      </c>
      <c r="AU22" s="25">
        <f t="shared" si="43"/>
        <v>6</v>
      </c>
      <c r="AV22" t="str">
        <f t="shared" si="44"/>
        <v/>
      </c>
      <c r="AW22" s="25" t="str">
        <f t="shared" si="43"/>
        <v/>
      </c>
      <c r="AX22" t="str">
        <f t="shared" si="45"/>
        <v/>
      </c>
      <c r="AY22" s="25" t="str">
        <f t="shared" si="3"/>
        <v/>
      </c>
      <c r="AZ22" t="str">
        <f t="shared" si="46"/>
        <v/>
      </c>
      <c r="BA22" s="25" t="str">
        <f t="shared" si="4"/>
        <v/>
      </c>
      <c r="BB22" t="str">
        <f t="shared" si="47"/>
        <v/>
      </c>
      <c r="BC22" s="25" t="str">
        <f t="shared" si="48"/>
        <v/>
      </c>
      <c r="BD22" t="str">
        <f t="shared" si="49"/>
        <v/>
      </c>
      <c r="BE22" s="25" t="str">
        <f t="shared" si="5"/>
        <v/>
      </c>
      <c r="BF22" t="str">
        <f t="shared" si="50"/>
        <v/>
      </c>
      <c r="BG22" s="25" t="str">
        <f t="shared" si="6"/>
        <v/>
      </c>
      <c r="BH22" t="str">
        <f t="shared" si="51"/>
        <v/>
      </c>
      <c r="BI22" s="25" t="str">
        <f t="shared" si="7"/>
        <v/>
      </c>
      <c r="BJ22" t="str">
        <f t="shared" si="52"/>
        <v/>
      </c>
      <c r="BK22" s="25" t="str">
        <f t="shared" si="8"/>
        <v/>
      </c>
      <c r="CW22" t="str">
        <f t="shared" si="9"/>
        <v/>
      </c>
      <c r="CX22">
        <f t="shared" si="10"/>
        <v>0</v>
      </c>
      <c r="CY22" t="str">
        <f t="shared" si="11"/>
        <v/>
      </c>
      <c r="CZ22" t="str">
        <f t="shared" si="12"/>
        <v/>
      </c>
      <c r="DA22" t="str">
        <f t="shared" si="13"/>
        <v/>
      </c>
      <c r="DB22" t="str">
        <f t="shared" si="14"/>
        <v/>
      </c>
      <c r="DC22" t="str">
        <f t="shared" si="15"/>
        <v/>
      </c>
      <c r="DD22" t="str">
        <f t="shared" si="16"/>
        <v/>
      </c>
      <c r="DE22" t="str">
        <f t="shared" si="17"/>
        <v/>
      </c>
      <c r="DF22" t="str">
        <f t="shared" si="18"/>
        <v/>
      </c>
      <c r="DG22" t="str">
        <f t="shared" si="19"/>
        <v/>
      </c>
      <c r="DH22" t="str">
        <f t="shared" si="20"/>
        <v/>
      </c>
      <c r="DI22" t="str">
        <f t="shared" si="21"/>
        <v/>
      </c>
      <c r="DJ22" t="str">
        <f t="shared" si="22"/>
        <v/>
      </c>
      <c r="DL22" t="str">
        <f t="shared" si="23"/>
        <v/>
      </c>
      <c r="DM22" t="str">
        <f t="shared" si="24"/>
        <v/>
      </c>
      <c r="DN22" t="str">
        <f t="shared" si="25"/>
        <v/>
      </c>
      <c r="DO22" t="str">
        <f t="shared" si="26"/>
        <v/>
      </c>
      <c r="DP22" t="str">
        <f t="shared" si="27"/>
        <v/>
      </c>
      <c r="DQ22">
        <f t="shared" si="28"/>
        <v>0</v>
      </c>
      <c r="DR22" t="str">
        <f t="shared" si="29"/>
        <v/>
      </c>
      <c r="DS22" t="str">
        <f t="shared" si="30"/>
        <v/>
      </c>
      <c r="DT22" t="str">
        <f t="shared" si="31"/>
        <v/>
      </c>
      <c r="DU22" t="str">
        <f t="shared" si="32"/>
        <v/>
      </c>
      <c r="DV22" t="str">
        <f t="shared" si="33"/>
        <v/>
      </c>
      <c r="DW22" t="str">
        <f t="shared" si="34"/>
        <v/>
      </c>
      <c r="DX22" t="str">
        <f t="shared" si="35"/>
        <v/>
      </c>
      <c r="DY22" t="str">
        <f t="shared" si="36"/>
        <v/>
      </c>
    </row>
    <row r="23" spans="1:129">
      <c r="A23">
        <v>13</v>
      </c>
      <c r="B23">
        <v>6</v>
      </c>
      <c r="C23">
        <v>53.5</v>
      </c>
      <c r="D23">
        <v>2</v>
      </c>
      <c r="E23">
        <v>4</v>
      </c>
      <c r="F23">
        <v>3423</v>
      </c>
      <c r="G23">
        <v>63.9</v>
      </c>
      <c r="H23">
        <v>29.1</v>
      </c>
      <c r="L23">
        <f t="shared" si="37"/>
        <v>1.838487972508591</v>
      </c>
      <c r="M23">
        <f t="shared" si="38"/>
        <v>24.4</v>
      </c>
      <c r="O23">
        <f t="shared" si="0"/>
        <v>53.5</v>
      </c>
      <c r="P23">
        <f t="shared" si="39"/>
        <v>1.838487972508591</v>
      </c>
      <c r="V23" t="str">
        <f t="shared" si="1"/>
        <v/>
      </c>
      <c r="W23" t="str">
        <f t="shared" si="2"/>
        <v/>
      </c>
      <c r="AR23" t="str">
        <f t="shared" si="40"/>
        <v/>
      </c>
      <c r="AS23" s="25" t="str">
        <f t="shared" si="41"/>
        <v/>
      </c>
      <c r="AT23">
        <f t="shared" si="42"/>
        <v>63.9</v>
      </c>
      <c r="AU23" s="25">
        <f t="shared" si="43"/>
        <v>4</v>
      </c>
      <c r="AV23" t="str">
        <f t="shared" si="44"/>
        <v/>
      </c>
      <c r="AW23" s="25" t="str">
        <f t="shared" si="43"/>
        <v/>
      </c>
      <c r="AX23" t="str">
        <f t="shared" si="45"/>
        <v/>
      </c>
      <c r="AY23" s="25" t="str">
        <f t="shared" si="3"/>
        <v/>
      </c>
      <c r="AZ23" t="str">
        <f t="shared" si="46"/>
        <v/>
      </c>
      <c r="BA23" s="25" t="str">
        <f t="shared" si="4"/>
        <v/>
      </c>
      <c r="BB23" t="str">
        <f t="shared" si="47"/>
        <v/>
      </c>
      <c r="BC23" s="25" t="str">
        <f t="shared" si="48"/>
        <v/>
      </c>
      <c r="BD23" t="str">
        <f t="shared" si="49"/>
        <v/>
      </c>
      <c r="BE23" s="25" t="str">
        <f t="shared" si="5"/>
        <v/>
      </c>
      <c r="BF23" t="str">
        <f t="shared" si="50"/>
        <v/>
      </c>
      <c r="BG23" s="25" t="str">
        <f t="shared" si="6"/>
        <v/>
      </c>
      <c r="BH23" t="str">
        <f t="shared" si="51"/>
        <v/>
      </c>
      <c r="BI23" s="25" t="str">
        <f t="shared" si="7"/>
        <v/>
      </c>
      <c r="BJ23" t="str">
        <f t="shared" si="52"/>
        <v/>
      </c>
      <c r="BK23" s="25" t="str">
        <f t="shared" si="8"/>
        <v/>
      </c>
      <c r="CW23" t="str">
        <f t="shared" si="9"/>
        <v/>
      </c>
      <c r="CX23">
        <f t="shared" si="10"/>
        <v>0</v>
      </c>
      <c r="CY23" t="str">
        <f t="shared" si="11"/>
        <v/>
      </c>
      <c r="CZ23" t="str">
        <f t="shared" si="12"/>
        <v/>
      </c>
      <c r="DA23" t="str">
        <f t="shared" si="13"/>
        <v/>
      </c>
      <c r="DB23" t="str">
        <f t="shared" si="14"/>
        <v/>
      </c>
      <c r="DC23" t="str">
        <f t="shared" si="15"/>
        <v/>
      </c>
      <c r="DD23" t="str">
        <f t="shared" si="16"/>
        <v/>
      </c>
      <c r="DE23" t="str">
        <f t="shared" si="17"/>
        <v/>
      </c>
      <c r="DF23" t="str">
        <f t="shared" si="18"/>
        <v/>
      </c>
      <c r="DG23" t="str">
        <f t="shared" si="19"/>
        <v/>
      </c>
      <c r="DH23" t="str">
        <f t="shared" si="20"/>
        <v/>
      </c>
      <c r="DI23" t="str">
        <f t="shared" si="21"/>
        <v/>
      </c>
      <c r="DJ23" t="str">
        <f t="shared" si="22"/>
        <v/>
      </c>
      <c r="DL23" t="str">
        <f t="shared" si="23"/>
        <v/>
      </c>
      <c r="DM23" t="str">
        <f t="shared" si="24"/>
        <v/>
      </c>
      <c r="DN23" t="str">
        <f t="shared" si="25"/>
        <v/>
      </c>
      <c r="DO23">
        <f t="shared" si="26"/>
        <v>0</v>
      </c>
      <c r="DP23" t="str">
        <f t="shared" si="27"/>
        <v/>
      </c>
      <c r="DQ23" t="str">
        <f t="shared" si="28"/>
        <v/>
      </c>
      <c r="DR23" t="str">
        <f t="shared" si="29"/>
        <v/>
      </c>
      <c r="DS23" t="str">
        <f t="shared" si="30"/>
        <v/>
      </c>
      <c r="DT23" t="str">
        <f t="shared" si="31"/>
        <v/>
      </c>
      <c r="DU23" t="str">
        <f t="shared" si="32"/>
        <v/>
      </c>
      <c r="DV23" t="str">
        <f t="shared" si="33"/>
        <v/>
      </c>
      <c r="DW23" t="str">
        <f t="shared" si="34"/>
        <v/>
      </c>
      <c r="DX23" t="str">
        <f t="shared" si="35"/>
        <v/>
      </c>
      <c r="DY23" t="str">
        <f t="shared" si="36"/>
        <v/>
      </c>
    </row>
    <row r="24" spans="1:129">
      <c r="A24">
        <v>6</v>
      </c>
      <c r="B24">
        <v>13</v>
      </c>
      <c r="C24">
        <v>63.9</v>
      </c>
      <c r="D24">
        <v>4</v>
      </c>
      <c r="E24">
        <v>2</v>
      </c>
      <c r="F24">
        <v>2862</v>
      </c>
      <c r="G24">
        <v>53.5</v>
      </c>
      <c r="H24">
        <v>29.1</v>
      </c>
      <c r="L24">
        <f t="shared" si="37"/>
        <v>2.1958762886597936</v>
      </c>
      <c r="M24">
        <f t="shared" si="38"/>
        <v>34.799999999999997</v>
      </c>
      <c r="O24" t="str">
        <f t="shared" si="0"/>
        <v/>
      </c>
      <c r="P24" t="str">
        <f t="shared" si="39"/>
        <v/>
      </c>
      <c r="V24">
        <f t="shared" si="1"/>
        <v>63.9</v>
      </c>
      <c r="W24">
        <f t="shared" si="2"/>
        <v>2.1958762886597936</v>
      </c>
      <c r="AR24" t="str">
        <f t="shared" si="40"/>
        <v/>
      </c>
      <c r="AS24" s="25" t="str">
        <f t="shared" si="41"/>
        <v/>
      </c>
      <c r="AT24" t="str">
        <f t="shared" si="42"/>
        <v/>
      </c>
      <c r="AU24" s="25" t="str">
        <f t="shared" si="43"/>
        <v/>
      </c>
      <c r="AV24" t="str">
        <f t="shared" si="44"/>
        <v/>
      </c>
      <c r="AW24" s="25" t="str">
        <f t="shared" si="43"/>
        <v/>
      </c>
      <c r="AX24">
        <f t="shared" si="45"/>
        <v>53.5</v>
      </c>
      <c r="AY24" s="25">
        <f t="shared" si="3"/>
        <v>2</v>
      </c>
      <c r="AZ24" t="str">
        <f t="shared" si="46"/>
        <v/>
      </c>
      <c r="BA24" s="25" t="str">
        <f t="shared" si="4"/>
        <v/>
      </c>
      <c r="BB24" t="str">
        <f t="shared" si="47"/>
        <v/>
      </c>
      <c r="BC24" s="25" t="str">
        <f t="shared" si="48"/>
        <v/>
      </c>
      <c r="BD24" t="str">
        <f t="shared" si="49"/>
        <v/>
      </c>
      <c r="BE24" s="25" t="str">
        <f t="shared" si="5"/>
        <v/>
      </c>
      <c r="BF24" t="str">
        <f t="shared" si="50"/>
        <v/>
      </c>
      <c r="BG24" s="25" t="str">
        <f t="shared" si="6"/>
        <v/>
      </c>
      <c r="BH24" t="str">
        <f t="shared" si="51"/>
        <v/>
      </c>
      <c r="BI24" s="25" t="str">
        <f t="shared" si="7"/>
        <v/>
      </c>
      <c r="BJ24" t="str">
        <f t="shared" si="52"/>
        <v/>
      </c>
      <c r="BK24" s="25" t="str">
        <f t="shared" si="8"/>
        <v/>
      </c>
      <c r="CW24" t="str">
        <f t="shared" si="9"/>
        <v/>
      </c>
      <c r="CX24" t="str">
        <f t="shared" si="10"/>
        <v/>
      </c>
      <c r="CY24" t="str">
        <f t="shared" si="11"/>
        <v/>
      </c>
      <c r="CZ24">
        <f t="shared" si="12"/>
        <v>0</v>
      </c>
      <c r="DA24" t="str">
        <f t="shared" si="13"/>
        <v/>
      </c>
      <c r="DB24" t="str">
        <f t="shared" si="14"/>
        <v/>
      </c>
      <c r="DC24" t="str">
        <f t="shared" si="15"/>
        <v/>
      </c>
      <c r="DD24" t="str">
        <f t="shared" si="16"/>
        <v/>
      </c>
      <c r="DE24" t="str">
        <f t="shared" si="17"/>
        <v/>
      </c>
      <c r="DF24" t="str">
        <f t="shared" si="18"/>
        <v/>
      </c>
      <c r="DG24" t="str">
        <f t="shared" si="19"/>
        <v/>
      </c>
      <c r="DH24" t="str">
        <f t="shared" si="20"/>
        <v/>
      </c>
      <c r="DI24" t="str">
        <f t="shared" si="21"/>
        <v/>
      </c>
      <c r="DJ24" t="str">
        <f t="shared" si="22"/>
        <v/>
      </c>
      <c r="DL24" t="str">
        <f t="shared" si="23"/>
        <v/>
      </c>
      <c r="DM24">
        <f t="shared" si="24"/>
        <v>0</v>
      </c>
      <c r="DN24" t="str">
        <f t="shared" si="25"/>
        <v/>
      </c>
      <c r="DO24" t="str">
        <f t="shared" si="26"/>
        <v/>
      </c>
      <c r="DP24" t="str">
        <f t="shared" si="27"/>
        <v/>
      </c>
      <c r="DQ24" t="str">
        <f t="shared" si="28"/>
        <v/>
      </c>
      <c r="DR24" t="str">
        <f t="shared" si="29"/>
        <v/>
      </c>
      <c r="DS24" t="str">
        <f t="shared" si="30"/>
        <v/>
      </c>
      <c r="DT24" t="str">
        <f t="shared" si="31"/>
        <v/>
      </c>
      <c r="DU24" t="str">
        <f t="shared" si="32"/>
        <v/>
      </c>
      <c r="DV24" t="str">
        <f t="shared" si="33"/>
        <v/>
      </c>
      <c r="DW24" t="str">
        <f t="shared" si="34"/>
        <v/>
      </c>
      <c r="DX24" t="str">
        <f t="shared" si="35"/>
        <v/>
      </c>
      <c r="DY24" t="str">
        <f t="shared" si="36"/>
        <v/>
      </c>
    </row>
    <row r="25" spans="1:129">
      <c r="A25">
        <v>9</v>
      </c>
      <c r="B25">
        <v>5</v>
      </c>
      <c r="C25">
        <v>65.099999999999994</v>
      </c>
      <c r="D25">
        <v>3</v>
      </c>
      <c r="E25">
        <v>5</v>
      </c>
      <c r="F25">
        <v>2812</v>
      </c>
      <c r="G25">
        <v>77.3</v>
      </c>
      <c r="H25">
        <v>35.299999999999997</v>
      </c>
      <c r="L25">
        <f t="shared" si="37"/>
        <v>1.8441926345609065</v>
      </c>
      <c r="M25">
        <f t="shared" si="38"/>
        <v>29.799999999999997</v>
      </c>
      <c r="O25">
        <f t="shared" si="0"/>
        <v>65.099999999999994</v>
      </c>
      <c r="P25">
        <f t="shared" si="39"/>
        <v>1.8441926345609065</v>
      </c>
      <c r="V25" t="str">
        <f t="shared" si="1"/>
        <v/>
      </c>
      <c r="W25" t="str">
        <f t="shared" si="2"/>
        <v/>
      </c>
      <c r="AR25" t="str">
        <f t="shared" si="40"/>
        <v/>
      </c>
      <c r="AS25" s="25" t="str">
        <f t="shared" si="41"/>
        <v/>
      </c>
      <c r="AT25" t="str">
        <f t="shared" si="42"/>
        <v/>
      </c>
      <c r="AU25" s="25" t="str">
        <f t="shared" si="43"/>
        <v/>
      </c>
      <c r="AV25">
        <f t="shared" si="44"/>
        <v>77.3</v>
      </c>
      <c r="AW25" s="25">
        <f t="shared" si="43"/>
        <v>5</v>
      </c>
      <c r="AX25" t="str">
        <f t="shared" si="45"/>
        <v/>
      </c>
      <c r="AY25" s="25" t="str">
        <f t="shared" si="3"/>
        <v/>
      </c>
      <c r="AZ25" t="str">
        <f t="shared" si="46"/>
        <v/>
      </c>
      <c r="BA25" s="25" t="str">
        <f t="shared" si="4"/>
        <v/>
      </c>
      <c r="BB25" t="str">
        <f t="shared" si="47"/>
        <v/>
      </c>
      <c r="BC25" s="25" t="str">
        <f t="shared" si="48"/>
        <v/>
      </c>
      <c r="BD25" t="str">
        <f t="shared" si="49"/>
        <v/>
      </c>
      <c r="BE25" s="25" t="str">
        <f t="shared" si="5"/>
        <v/>
      </c>
      <c r="BF25" t="str">
        <f t="shared" si="50"/>
        <v/>
      </c>
      <c r="BG25" s="25" t="str">
        <f t="shared" si="6"/>
        <v/>
      </c>
      <c r="BH25" t="str">
        <f t="shared" si="51"/>
        <v/>
      </c>
      <c r="BI25" s="25" t="str">
        <f t="shared" si="7"/>
        <v/>
      </c>
      <c r="BJ25" t="str">
        <f t="shared" si="52"/>
        <v/>
      </c>
      <c r="BK25" s="25" t="str">
        <f t="shared" si="8"/>
        <v/>
      </c>
      <c r="CW25" t="str">
        <f t="shared" si="9"/>
        <v/>
      </c>
      <c r="CX25" t="str">
        <f t="shared" si="10"/>
        <v/>
      </c>
      <c r="CY25">
        <f t="shared" si="11"/>
        <v>0</v>
      </c>
      <c r="CZ25" t="str">
        <f t="shared" si="12"/>
        <v/>
      </c>
      <c r="DA25" t="str">
        <f t="shared" si="13"/>
        <v/>
      </c>
      <c r="DB25" t="str">
        <f t="shared" si="14"/>
        <v/>
      </c>
      <c r="DC25" t="str">
        <f t="shared" si="15"/>
        <v/>
      </c>
      <c r="DD25" t="str">
        <f t="shared" si="16"/>
        <v/>
      </c>
      <c r="DE25" t="str">
        <f t="shared" si="17"/>
        <v/>
      </c>
      <c r="DF25" t="str">
        <f t="shared" si="18"/>
        <v/>
      </c>
      <c r="DG25" t="str">
        <f t="shared" si="19"/>
        <v/>
      </c>
      <c r="DH25" t="str">
        <f t="shared" si="20"/>
        <v/>
      </c>
      <c r="DI25" t="str">
        <f t="shared" si="21"/>
        <v/>
      </c>
      <c r="DJ25" t="str">
        <f t="shared" si="22"/>
        <v/>
      </c>
      <c r="DL25" t="str">
        <f t="shared" si="23"/>
        <v/>
      </c>
      <c r="DM25" t="str">
        <f t="shared" si="24"/>
        <v/>
      </c>
      <c r="DN25" t="str">
        <f t="shared" si="25"/>
        <v/>
      </c>
      <c r="DO25" t="str">
        <f t="shared" si="26"/>
        <v/>
      </c>
      <c r="DP25">
        <f t="shared" si="27"/>
        <v>0</v>
      </c>
      <c r="DQ25" t="str">
        <f t="shared" si="28"/>
        <v/>
      </c>
      <c r="DR25" t="str">
        <f t="shared" si="29"/>
        <v/>
      </c>
      <c r="DS25" t="str">
        <f t="shared" si="30"/>
        <v/>
      </c>
      <c r="DT25" t="str">
        <f t="shared" si="31"/>
        <v/>
      </c>
      <c r="DU25" t="str">
        <f t="shared" si="32"/>
        <v/>
      </c>
      <c r="DV25" t="str">
        <f t="shared" si="33"/>
        <v/>
      </c>
      <c r="DW25" t="str">
        <f t="shared" si="34"/>
        <v/>
      </c>
      <c r="DX25" t="str">
        <f t="shared" si="35"/>
        <v/>
      </c>
      <c r="DY25" t="str">
        <f t="shared" si="36"/>
        <v/>
      </c>
    </row>
    <row r="26" spans="1:129">
      <c r="A26">
        <v>13</v>
      </c>
      <c r="B26">
        <v>5</v>
      </c>
      <c r="C26">
        <v>66.2</v>
      </c>
      <c r="D26">
        <v>2</v>
      </c>
      <c r="E26">
        <v>5</v>
      </c>
      <c r="F26">
        <v>2766</v>
      </c>
      <c r="G26">
        <v>84.4</v>
      </c>
      <c r="H26">
        <v>37.1</v>
      </c>
      <c r="L26">
        <f t="shared" si="37"/>
        <v>1.784366576819407</v>
      </c>
      <c r="M26">
        <f t="shared" si="38"/>
        <v>29.1</v>
      </c>
      <c r="O26">
        <f t="shared" si="0"/>
        <v>66.2</v>
      </c>
      <c r="P26">
        <f t="shared" si="39"/>
        <v>1.784366576819407</v>
      </c>
      <c r="V26" t="str">
        <f t="shared" si="1"/>
        <v/>
      </c>
      <c r="W26" t="str">
        <f t="shared" si="2"/>
        <v/>
      </c>
      <c r="AR26" t="str">
        <f t="shared" si="40"/>
        <v/>
      </c>
      <c r="AS26" s="25" t="str">
        <f t="shared" si="41"/>
        <v/>
      </c>
      <c r="AT26">
        <f t="shared" si="42"/>
        <v>84.4</v>
      </c>
      <c r="AU26" s="25">
        <f t="shared" si="43"/>
        <v>5</v>
      </c>
      <c r="AV26" t="str">
        <f t="shared" si="44"/>
        <v/>
      </c>
      <c r="AW26" s="25" t="str">
        <f t="shared" si="43"/>
        <v/>
      </c>
      <c r="AX26" t="str">
        <f t="shared" si="45"/>
        <v/>
      </c>
      <c r="AY26" s="25" t="str">
        <f t="shared" si="3"/>
        <v/>
      </c>
      <c r="AZ26" t="str">
        <f t="shared" si="46"/>
        <v/>
      </c>
      <c r="BA26" s="25" t="str">
        <f t="shared" si="4"/>
        <v/>
      </c>
      <c r="BB26" t="str">
        <f t="shared" si="47"/>
        <v/>
      </c>
      <c r="BC26" s="25" t="str">
        <f t="shared" si="48"/>
        <v/>
      </c>
      <c r="BD26" t="str">
        <f t="shared" si="49"/>
        <v/>
      </c>
      <c r="BE26" s="25" t="str">
        <f t="shared" si="5"/>
        <v/>
      </c>
      <c r="BF26" t="str">
        <f t="shared" si="50"/>
        <v/>
      </c>
      <c r="BG26" s="25" t="str">
        <f t="shared" si="6"/>
        <v/>
      </c>
      <c r="BH26" t="str">
        <f t="shared" si="51"/>
        <v/>
      </c>
      <c r="BI26" s="25" t="str">
        <f t="shared" si="7"/>
        <v/>
      </c>
      <c r="BJ26" t="str">
        <f t="shared" si="52"/>
        <v/>
      </c>
      <c r="BK26" s="25" t="str">
        <f t="shared" si="8"/>
        <v/>
      </c>
      <c r="CW26" t="str">
        <f t="shared" si="9"/>
        <v/>
      </c>
      <c r="CX26">
        <f t="shared" si="10"/>
        <v>0</v>
      </c>
      <c r="CY26" t="str">
        <f t="shared" si="11"/>
        <v/>
      </c>
      <c r="CZ26" t="str">
        <f t="shared" si="12"/>
        <v/>
      </c>
      <c r="DA26" t="str">
        <f t="shared" si="13"/>
        <v/>
      </c>
      <c r="DB26" t="str">
        <f t="shared" si="14"/>
        <v/>
      </c>
      <c r="DC26" t="str">
        <f t="shared" si="15"/>
        <v/>
      </c>
      <c r="DD26" t="str">
        <f t="shared" si="16"/>
        <v/>
      </c>
      <c r="DE26" t="str">
        <f t="shared" si="17"/>
        <v/>
      </c>
      <c r="DF26" t="str">
        <f t="shared" si="18"/>
        <v/>
      </c>
      <c r="DG26" t="str">
        <f t="shared" si="19"/>
        <v/>
      </c>
      <c r="DH26" t="str">
        <f t="shared" si="20"/>
        <v/>
      </c>
      <c r="DI26" t="str">
        <f t="shared" si="21"/>
        <v/>
      </c>
      <c r="DJ26" t="str">
        <f t="shared" si="22"/>
        <v/>
      </c>
      <c r="DL26" t="str">
        <f t="shared" si="23"/>
        <v/>
      </c>
      <c r="DM26" t="str">
        <f t="shared" si="24"/>
        <v/>
      </c>
      <c r="DN26" t="str">
        <f t="shared" si="25"/>
        <v/>
      </c>
      <c r="DO26" t="str">
        <f t="shared" si="26"/>
        <v/>
      </c>
      <c r="DP26">
        <f t="shared" si="27"/>
        <v>0</v>
      </c>
      <c r="DQ26" t="str">
        <f t="shared" si="28"/>
        <v/>
      </c>
      <c r="DR26" t="str">
        <f t="shared" si="29"/>
        <v/>
      </c>
      <c r="DS26" t="str">
        <f t="shared" si="30"/>
        <v/>
      </c>
      <c r="DT26" t="str">
        <f t="shared" si="31"/>
        <v/>
      </c>
      <c r="DU26" t="str">
        <f t="shared" si="32"/>
        <v/>
      </c>
      <c r="DV26" t="str">
        <f t="shared" si="33"/>
        <v/>
      </c>
      <c r="DW26" t="str">
        <f t="shared" si="34"/>
        <v/>
      </c>
      <c r="DX26" t="str">
        <f t="shared" si="35"/>
        <v/>
      </c>
      <c r="DY26" t="str">
        <f t="shared" si="36"/>
        <v/>
      </c>
    </row>
    <row r="27" spans="1:129">
      <c r="A27">
        <v>10</v>
      </c>
      <c r="B27">
        <v>9</v>
      </c>
      <c r="C27">
        <v>70.5</v>
      </c>
      <c r="D27">
        <v>6</v>
      </c>
      <c r="E27">
        <v>3</v>
      </c>
      <c r="F27">
        <v>2595</v>
      </c>
      <c r="G27">
        <v>49.5</v>
      </c>
      <c r="H27">
        <v>29.1</v>
      </c>
      <c r="L27">
        <f t="shared" si="37"/>
        <v>2.4226804123711339</v>
      </c>
      <c r="M27">
        <f t="shared" si="38"/>
        <v>41.4</v>
      </c>
      <c r="O27" t="str">
        <f t="shared" si="0"/>
        <v/>
      </c>
      <c r="P27" t="str">
        <f t="shared" si="39"/>
        <v/>
      </c>
      <c r="V27">
        <f t="shared" si="1"/>
        <v>70.5</v>
      </c>
      <c r="W27">
        <f t="shared" si="2"/>
        <v>2.4226804123711339</v>
      </c>
      <c r="AR27" t="str">
        <f t="shared" si="40"/>
        <v/>
      </c>
      <c r="AS27" s="25" t="str">
        <f t="shared" si="41"/>
        <v/>
      </c>
      <c r="AT27" t="str">
        <f t="shared" si="42"/>
        <v/>
      </c>
      <c r="AU27" s="25" t="str">
        <f t="shared" si="43"/>
        <v/>
      </c>
      <c r="AV27" t="str">
        <f t="shared" si="44"/>
        <v/>
      </c>
      <c r="AW27" s="25" t="str">
        <f t="shared" si="43"/>
        <v/>
      </c>
      <c r="AX27" t="str">
        <f t="shared" si="45"/>
        <v/>
      </c>
      <c r="AY27" s="25" t="str">
        <f t="shared" si="3"/>
        <v/>
      </c>
      <c r="AZ27" t="str">
        <f t="shared" si="46"/>
        <v/>
      </c>
      <c r="BA27" s="25" t="str">
        <f t="shared" si="4"/>
        <v/>
      </c>
      <c r="BB27">
        <f t="shared" si="47"/>
        <v>49.5</v>
      </c>
      <c r="BC27" s="25">
        <f t="shared" si="48"/>
        <v>3</v>
      </c>
      <c r="BD27" t="str">
        <f t="shared" si="49"/>
        <v/>
      </c>
      <c r="BE27" s="25" t="str">
        <f t="shared" si="5"/>
        <v/>
      </c>
      <c r="BF27" t="str">
        <f t="shared" si="50"/>
        <v/>
      </c>
      <c r="BG27" s="25" t="str">
        <f t="shared" si="6"/>
        <v/>
      </c>
      <c r="BH27" t="str">
        <f t="shared" si="51"/>
        <v/>
      </c>
      <c r="BI27" s="25" t="str">
        <f t="shared" si="7"/>
        <v/>
      </c>
      <c r="BJ27" t="str">
        <f t="shared" si="52"/>
        <v/>
      </c>
      <c r="BK27" s="25" t="str">
        <f t="shared" si="8"/>
        <v/>
      </c>
      <c r="CW27" t="str">
        <f t="shared" si="9"/>
        <v/>
      </c>
      <c r="CX27" t="str">
        <f t="shared" si="10"/>
        <v/>
      </c>
      <c r="CY27" t="str">
        <f t="shared" si="11"/>
        <v/>
      </c>
      <c r="CZ27" t="str">
        <f t="shared" si="12"/>
        <v/>
      </c>
      <c r="DA27" t="str">
        <f t="shared" si="13"/>
        <v/>
      </c>
      <c r="DB27">
        <f t="shared" si="14"/>
        <v>0</v>
      </c>
      <c r="DC27" t="str">
        <f t="shared" si="15"/>
        <v/>
      </c>
      <c r="DD27" t="str">
        <f t="shared" si="16"/>
        <v/>
      </c>
      <c r="DE27" t="str">
        <f t="shared" si="17"/>
        <v/>
      </c>
      <c r="DF27" t="str">
        <f t="shared" si="18"/>
        <v/>
      </c>
      <c r="DG27" t="str">
        <f t="shared" si="19"/>
        <v/>
      </c>
      <c r="DH27" t="str">
        <f t="shared" si="20"/>
        <v/>
      </c>
      <c r="DI27" t="str">
        <f t="shared" si="21"/>
        <v/>
      </c>
      <c r="DJ27" t="str">
        <f t="shared" si="22"/>
        <v/>
      </c>
      <c r="DL27" t="str">
        <f t="shared" si="23"/>
        <v/>
      </c>
      <c r="DM27" t="str">
        <f t="shared" si="24"/>
        <v/>
      </c>
      <c r="DN27">
        <f t="shared" si="25"/>
        <v>0</v>
      </c>
      <c r="DO27" t="str">
        <f t="shared" si="26"/>
        <v/>
      </c>
      <c r="DP27" t="str">
        <f t="shared" si="27"/>
        <v/>
      </c>
      <c r="DQ27" t="str">
        <f t="shared" si="28"/>
        <v/>
      </c>
      <c r="DR27" t="str">
        <f t="shared" si="29"/>
        <v/>
      </c>
      <c r="DS27" t="str">
        <f t="shared" si="30"/>
        <v/>
      </c>
      <c r="DT27" t="str">
        <f t="shared" si="31"/>
        <v/>
      </c>
      <c r="DU27" t="str">
        <f t="shared" si="32"/>
        <v/>
      </c>
      <c r="DV27" t="str">
        <f t="shared" si="33"/>
        <v/>
      </c>
      <c r="DW27" t="str">
        <f t="shared" si="34"/>
        <v/>
      </c>
      <c r="DX27" t="str">
        <f t="shared" si="35"/>
        <v/>
      </c>
      <c r="DY27" t="str">
        <f t="shared" si="36"/>
        <v/>
      </c>
    </row>
    <row r="28" spans="1:129">
      <c r="A28">
        <v>3</v>
      </c>
      <c r="B28">
        <v>2</v>
      </c>
      <c r="C28">
        <v>71.3</v>
      </c>
      <c r="D28">
        <v>1</v>
      </c>
      <c r="E28">
        <v>10</v>
      </c>
      <c r="F28">
        <v>2566</v>
      </c>
      <c r="G28">
        <v>145</v>
      </c>
      <c r="H28">
        <v>47.8</v>
      </c>
      <c r="L28">
        <f t="shared" si="37"/>
        <v>1.49163179916318</v>
      </c>
      <c r="M28">
        <f t="shared" si="38"/>
        <v>23.5</v>
      </c>
      <c r="O28">
        <f t="shared" si="0"/>
        <v>71.3</v>
      </c>
      <c r="P28">
        <f t="shared" si="39"/>
        <v>1.49163179916318</v>
      </c>
      <c r="V28" t="str">
        <f t="shared" si="1"/>
        <v/>
      </c>
      <c r="W28" t="str">
        <f t="shared" si="2"/>
        <v/>
      </c>
      <c r="AR28">
        <f t="shared" si="40"/>
        <v>145</v>
      </c>
      <c r="AS28" s="25">
        <f t="shared" si="41"/>
        <v>10</v>
      </c>
      <c r="AT28" t="str">
        <f t="shared" si="42"/>
        <v/>
      </c>
      <c r="AU28" s="25" t="str">
        <f t="shared" si="43"/>
        <v/>
      </c>
      <c r="AV28" t="str">
        <f t="shared" si="44"/>
        <v/>
      </c>
      <c r="AW28" s="25" t="str">
        <f t="shared" si="43"/>
        <v/>
      </c>
      <c r="AX28" t="str">
        <f t="shared" si="45"/>
        <v/>
      </c>
      <c r="AY28" s="25" t="str">
        <f t="shared" si="3"/>
        <v/>
      </c>
      <c r="AZ28" t="str">
        <f t="shared" si="46"/>
        <v/>
      </c>
      <c r="BA28" s="25" t="str">
        <f t="shared" si="4"/>
        <v/>
      </c>
      <c r="BB28" t="str">
        <f t="shared" si="47"/>
        <v/>
      </c>
      <c r="BC28" s="25" t="str">
        <f t="shared" si="48"/>
        <v/>
      </c>
      <c r="BD28" t="str">
        <f t="shared" si="49"/>
        <v/>
      </c>
      <c r="BE28" s="25" t="str">
        <f t="shared" si="5"/>
        <v/>
      </c>
      <c r="BF28" t="str">
        <f t="shared" si="50"/>
        <v/>
      </c>
      <c r="BG28" s="25" t="str">
        <f t="shared" si="6"/>
        <v/>
      </c>
      <c r="BH28" t="str">
        <f t="shared" si="51"/>
        <v/>
      </c>
      <c r="BI28" s="25" t="str">
        <f t="shared" si="7"/>
        <v/>
      </c>
      <c r="BJ28" t="str">
        <f t="shared" si="52"/>
        <v/>
      </c>
      <c r="BK28" s="25" t="str">
        <f t="shared" si="8"/>
        <v/>
      </c>
      <c r="CW28">
        <f t="shared" si="9"/>
        <v>0</v>
      </c>
      <c r="CX28" t="str">
        <f t="shared" si="10"/>
        <v/>
      </c>
      <c r="CY28" t="str">
        <f t="shared" si="11"/>
        <v/>
      </c>
      <c r="CZ28" t="str">
        <f t="shared" si="12"/>
        <v/>
      </c>
      <c r="DA28" t="str">
        <f t="shared" si="13"/>
        <v/>
      </c>
      <c r="DB28" t="str">
        <f t="shared" si="14"/>
        <v/>
      </c>
      <c r="DC28" t="str">
        <f t="shared" si="15"/>
        <v/>
      </c>
      <c r="DD28" t="str">
        <f t="shared" si="16"/>
        <v/>
      </c>
      <c r="DE28" t="str">
        <f t="shared" si="17"/>
        <v/>
      </c>
      <c r="DF28" t="str">
        <f t="shared" si="18"/>
        <v/>
      </c>
      <c r="DG28" t="str">
        <f t="shared" si="19"/>
        <v/>
      </c>
      <c r="DH28" t="str">
        <f t="shared" si="20"/>
        <v/>
      </c>
      <c r="DI28" t="str">
        <f t="shared" si="21"/>
        <v/>
      </c>
      <c r="DJ28" t="str">
        <f t="shared" si="22"/>
        <v/>
      </c>
      <c r="DL28" t="str">
        <f t="shared" si="23"/>
        <v/>
      </c>
      <c r="DM28" t="str">
        <f t="shared" si="24"/>
        <v/>
      </c>
      <c r="DN28" t="str">
        <f t="shared" si="25"/>
        <v/>
      </c>
      <c r="DO28" t="str">
        <f t="shared" si="26"/>
        <v/>
      </c>
      <c r="DP28" t="str">
        <f t="shared" si="27"/>
        <v/>
      </c>
      <c r="DQ28" t="str">
        <f t="shared" si="28"/>
        <v/>
      </c>
      <c r="DR28" t="str">
        <f t="shared" si="29"/>
        <v/>
      </c>
      <c r="DS28" t="str">
        <f t="shared" si="30"/>
        <v/>
      </c>
      <c r="DT28" t="str">
        <f t="shared" si="31"/>
        <v/>
      </c>
      <c r="DU28">
        <f t="shared" si="32"/>
        <v>0</v>
      </c>
      <c r="DV28" t="str">
        <f t="shared" si="33"/>
        <v/>
      </c>
      <c r="DW28" t="str">
        <f t="shared" si="34"/>
        <v/>
      </c>
      <c r="DX28" t="str">
        <f t="shared" si="35"/>
        <v/>
      </c>
      <c r="DY28" t="str">
        <f t="shared" si="36"/>
        <v/>
      </c>
    </row>
    <row r="29" spans="1:129">
      <c r="A29">
        <v>3</v>
      </c>
      <c r="B29">
        <v>15</v>
      </c>
      <c r="C29">
        <v>73</v>
      </c>
      <c r="D29">
        <v>1</v>
      </c>
      <c r="E29">
        <v>8</v>
      </c>
      <c r="F29">
        <v>2508</v>
      </c>
      <c r="G29">
        <v>143.6</v>
      </c>
      <c r="H29">
        <v>48.4</v>
      </c>
      <c r="L29">
        <f t="shared" si="37"/>
        <v>1.5082644628099173</v>
      </c>
      <c r="M29">
        <f t="shared" si="38"/>
        <v>24.6</v>
      </c>
      <c r="O29">
        <f t="shared" si="0"/>
        <v>73</v>
      </c>
      <c r="P29">
        <f t="shared" si="39"/>
        <v>1.5082644628099173</v>
      </c>
      <c r="V29" t="str">
        <f t="shared" si="1"/>
        <v/>
      </c>
      <c r="W29" t="str">
        <f t="shared" si="2"/>
        <v/>
      </c>
      <c r="AR29">
        <f t="shared" si="40"/>
        <v>143.6</v>
      </c>
      <c r="AS29" s="25">
        <f t="shared" si="41"/>
        <v>8</v>
      </c>
      <c r="AT29" t="str">
        <f t="shared" si="42"/>
        <v/>
      </c>
      <c r="AU29" s="25" t="str">
        <f t="shared" si="43"/>
        <v/>
      </c>
      <c r="AV29" t="str">
        <f t="shared" si="44"/>
        <v/>
      </c>
      <c r="AW29" s="25" t="str">
        <f t="shared" si="43"/>
        <v/>
      </c>
      <c r="AX29" t="str">
        <f t="shared" si="45"/>
        <v/>
      </c>
      <c r="AY29" s="25" t="str">
        <f t="shared" si="3"/>
        <v/>
      </c>
      <c r="AZ29" t="str">
        <f t="shared" si="46"/>
        <v/>
      </c>
      <c r="BA29" s="25" t="str">
        <f t="shared" si="4"/>
        <v/>
      </c>
      <c r="BB29" t="str">
        <f t="shared" si="47"/>
        <v/>
      </c>
      <c r="BC29" s="25" t="str">
        <f t="shared" si="48"/>
        <v/>
      </c>
      <c r="BD29" t="str">
        <f t="shared" si="49"/>
        <v/>
      </c>
      <c r="BE29" s="25" t="str">
        <f t="shared" si="5"/>
        <v/>
      </c>
      <c r="BF29" t="str">
        <f t="shared" si="50"/>
        <v/>
      </c>
      <c r="BG29" s="25" t="str">
        <f t="shared" si="6"/>
        <v/>
      </c>
      <c r="BH29" t="str">
        <f t="shared" si="51"/>
        <v/>
      </c>
      <c r="BI29" s="25" t="str">
        <f t="shared" si="7"/>
        <v/>
      </c>
      <c r="BJ29" t="str">
        <f t="shared" si="52"/>
        <v/>
      </c>
      <c r="BK29" s="25" t="str">
        <f t="shared" si="8"/>
        <v/>
      </c>
      <c r="CW29">
        <f t="shared" si="9"/>
        <v>0</v>
      </c>
      <c r="CX29" t="str">
        <f t="shared" si="10"/>
        <v/>
      </c>
      <c r="CY29" t="str">
        <f t="shared" si="11"/>
        <v/>
      </c>
      <c r="CZ29" t="str">
        <f t="shared" si="12"/>
        <v/>
      </c>
      <c r="DA29" t="str">
        <f t="shared" si="13"/>
        <v/>
      </c>
      <c r="DB29" t="str">
        <f t="shared" si="14"/>
        <v/>
      </c>
      <c r="DC29" t="str">
        <f t="shared" si="15"/>
        <v/>
      </c>
      <c r="DD29" t="str">
        <f t="shared" si="16"/>
        <v/>
      </c>
      <c r="DE29" t="str">
        <f t="shared" si="17"/>
        <v/>
      </c>
      <c r="DF29" t="str">
        <f t="shared" si="18"/>
        <v/>
      </c>
      <c r="DG29" t="str">
        <f t="shared" si="19"/>
        <v/>
      </c>
      <c r="DH29" t="str">
        <f t="shared" si="20"/>
        <v/>
      </c>
      <c r="DI29" t="str">
        <f t="shared" si="21"/>
        <v/>
      </c>
      <c r="DJ29" t="str">
        <f t="shared" si="22"/>
        <v/>
      </c>
      <c r="DL29" t="str">
        <f t="shared" si="23"/>
        <v/>
      </c>
      <c r="DM29" t="str">
        <f t="shared" si="24"/>
        <v/>
      </c>
      <c r="DN29" t="str">
        <f t="shared" si="25"/>
        <v/>
      </c>
      <c r="DO29" t="str">
        <f t="shared" si="26"/>
        <v/>
      </c>
      <c r="DP29" t="str">
        <f t="shared" si="27"/>
        <v/>
      </c>
      <c r="DQ29" t="str">
        <f t="shared" si="28"/>
        <v/>
      </c>
      <c r="DR29" t="str">
        <f t="shared" si="29"/>
        <v/>
      </c>
      <c r="DS29">
        <f t="shared" si="30"/>
        <v>0</v>
      </c>
      <c r="DT29" t="str">
        <f t="shared" si="31"/>
        <v/>
      </c>
      <c r="DU29" t="str">
        <f t="shared" si="32"/>
        <v/>
      </c>
      <c r="DV29" t="str">
        <f t="shared" si="33"/>
        <v/>
      </c>
      <c r="DW29" t="str">
        <f t="shared" si="34"/>
        <v/>
      </c>
      <c r="DX29" t="str">
        <f t="shared" si="35"/>
        <v/>
      </c>
      <c r="DY29" t="str">
        <f t="shared" si="36"/>
        <v/>
      </c>
    </row>
    <row r="30" spans="1:129">
      <c r="A30">
        <v>5</v>
      </c>
      <c r="B30">
        <v>9</v>
      </c>
      <c r="C30">
        <v>77.3</v>
      </c>
      <c r="D30">
        <v>5</v>
      </c>
      <c r="E30">
        <v>3</v>
      </c>
      <c r="F30">
        <v>2368</v>
      </c>
      <c r="G30">
        <v>65.099999999999994</v>
      </c>
      <c r="H30">
        <v>35.299999999999997</v>
      </c>
      <c r="L30">
        <f t="shared" si="37"/>
        <v>2.189801699716714</v>
      </c>
      <c r="M30">
        <f t="shared" si="38"/>
        <v>42</v>
      </c>
      <c r="O30" t="str">
        <f t="shared" si="0"/>
        <v/>
      </c>
      <c r="P30" t="str">
        <f t="shared" si="39"/>
        <v/>
      </c>
      <c r="V30">
        <f t="shared" si="1"/>
        <v>77.3</v>
      </c>
      <c r="W30">
        <f t="shared" si="2"/>
        <v>2.189801699716714</v>
      </c>
      <c r="AR30" t="str">
        <f t="shared" si="40"/>
        <v/>
      </c>
      <c r="AS30" s="25" t="str">
        <f t="shared" si="41"/>
        <v/>
      </c>
      <c r="AT30" t="str">
        <f t="shared" si="42"/>
        <v/>
      </c>
      <c r="AU30" s="25" t="str">
        <f t="shared" si="43"/>
        <v/>
      </c>
      <c r="AV30" t="str">
        <f t="shared" si="44"/>
        <v/>
      </c>
      <c r="AW30" s="25" t="str">
        <f t="shared" si="43"/>
        <v/>
      </c>
      <c r="AX30" t="str">
        <f t="shared" si="45"/>
        <v/>
      </c>
      <c r="AY30" s="25" t="str">
        <f t="shared" si="3"/>
        <v/>
      </c>
      <c r="AZ30">
        <f t="shared" si="46"/>
        <v>65.099999999999994</v>
      </c>
      <c r="BA30" s="25">
        <f t="shared" si="4"/>
        <v>3</v>
      </c>
      <c r="BB30" t="str">
        <f t="shared" si="47"/>
        <v/>
      </c>
      <c r="BC30" s="25" t="str">
        <f t="shared" si="48"/>
        <v/>
      </c>
      <c r="BD30" t="str">
        <f t="shared" si="49"/>
        <v/>
      </c>
      <c r="BE30" s="25" t="str">
        <f t="shared" si="5"/>
        <v/>
      </c>
      <c r="BF30" t="str">
        <f t="shared" si="50"/>
        <v/>
      </c>
      <c r="BG30" s="25" t="str">
        <f t="shared" si="6"/>
        <v/>
      </c>
      <c r="BH30" t="str">
        <f t="shared" si="51"/>
        <v/>
      </c>
      <c r="BI30" s="25" t="str">
        <f t="shared" si="7"/>
        <v/>
      </c>
      <c r="BJ30" t="str">
        <f t="shared" si="52"/>
        <v/>
      </c>
      <c r="BK30" s="25" t="str">
        <f t="shared" si="8"/>
        <v/>
      </c>
      <c r="CW30" t="str">
        <f t="shared" si="9"/>
        <v/>
      </c>
      <c r="CX30" t="str">
        <f t="shared" si="10"/>
        <v/>
      </c>
      <c r="CY30" t="str">
        <f t="shared" si="11"/>
        <v/>
      </c>
      <c r="CZ30" t="str">
        <f t="shared" si="12"/>
        <v/>
      </c>
      <c r="DA30">
        <f t="shared" si="13"/>
        <v>0</v>
      </c>
      <c r="DB30" t="str">
        <f t="shared" si="14"/>
        <v/>
      </c>
      <c r="DC30" t="str">
        <f t="shared" si="15"/>
        <v/>
      </c>
      <c r="DD30" t="str">
        <f t="shared" si="16"/>
        <v/>
      </c>
      <c r="DE30" t="str">
        <f t="shared" si="17"/>
        <v/>
      </c>
      <c r="DF30" t="str">
        <f t="shared" si="18"/>
        <v/>
      </c>
      <c r="DG30" t="str">
        <f t="shared" si="19"/>
        <v/>
      </c>
      <c r="DH30" t="str">
        <f t="shared" si="20"/>
        <v/>
      </c>
      <c r="DI30" t="str">
        <f t="shared" si="21"/>
        <v/>
      </c>
      <c r="DJ30" t="str">
        <f t="shared" si="22"/>
        <v/>
      </c>
      <c r="DL30" t="str">
        <f t="shared" si="23"/>
        <v/>
      </c>
      <c r="DM30" t="str">
        <f t="shared" si="24"/>
        <v/>
      </c>
      <c r="DN30">
        <f t="shared" si="25"/>
        <v>0</v>
      </c>
      <c r="DO30" t="str">
        <f t="shared" si="26"/>
        <v/>
      </c>
      <c r="DP30" t="str">
        <f t="shared" si="27"/>
        <v/>
      </c>
      <c r="DQ30" t="str">
        <f t="shared" si="28"/>
        <v/>
      </c>
      <c r="DR30" t="str">
        <f t="shared" si="29"/>
        <v/>
      </c>
      <c r="DS30" t="str">
        <f t="shared" si="30"/>
        <v/>
      </c>
      <c r="DT30" t="str">
        <f t="shared" si="31"/>
        <v/>
      </c>
      <c r="DU30" t="str">
        <f t="shared" si="32"/>
        <v/>
      </c>
      <c r="DV30" t="str">
        <f t="shared" si="33"/>
        <v/>
      </c>
      <c r="DW30" t="str">
        <f t="shared" si="34"/>
        <v/>
      </c>
      <c r="DX30" t="str">
        <f t="shared" si="35"/>
        <v/>
      </c>
      <c r="DY30" t="str">
        <f t="shared" si="36"/>
        <v/>
      </c>
    </row>
    <row r="31" spans="1:129">
      <c r="A31">
        <v>6</v>
      </c>
      <c r="B31">
        <v>10</v>
      </c>
      <c r="C31">
        <v>78.599999999999994</v>
      </c>
      <c r="D31">
        <v>4</v>
      </c>
      <c r="E31">
        <v>6</v>
      </c>
      <c r="F31">
        <v>2329</v>
      </c>
      <c r="G31">
        <v>96.6</v>
      </c>
      <c r="H31">
        <v>43.3</v>
      </c>
      <c r="L31">
        <f t="shared" si="37"/>
        <v>1.8152424942263279</v>
      </c>
      <c r="M31">
        <f t="shared" si="38"/>
        <v>35.299999999999997</v>
      </c>
      <c r="AR31" t="str">
        <f t="shared" si="40"/>
        <v/>
      </c>
      <c r="AS31" s="25" t="str">
        <f t="shared" si="41"/>
        <v/>
      </c>
      <c r="AT31" t="str">
        <f t="shared" si="42"/>
        <v/>
      </c>
      <c r="AU31" s="25" t="str">
        <f t="shared" si="43"/>
        <v/>
      </c>
      <c r="AV31" t="str">
        <f t="shared" si="44"/>
        <v/>
      </c>
      <c r="AW31" s="25" t="str">
        <f t="shared" si="43"/>
        <v/>
      </c>
      <c r="AX31">
        <f t="shared" si="45"/>
        <v>96.6</v>
      </c>
      <c r="AY31" s="25">
        <f t="shared" si="3"/>
        <v>6</v>
      </c>
      <c r="AZ31" t="str">
        <f t="shared" si="46"/>
        <v/>
      </c>
      <c r="BA31" s="25" t="str">
        <f t="shared" si="4"/>
        <v/>
      </c>
      <c r="BB31" t="str">
        <f t="shared" si="47"/>
        <v/>
      </c>
      <c r="BC31" s="25" t="str">
        <f t="shared" si="48"/>
        <v/>
      </c>
      <c r="BD31" t="str">
        <f t="shared" si="49"/>
        <v/>
      </c>
      <c r="BE31" s="25" t="str">
        <f t="shared" si="5"/>
        <v/>
      </c>
      <c r="BF31" t="str">
        <f t="shared" si="50"/>
        <v/>
      </c>
      <c r="BG31" s="25" t="str">
        <f t="shared" si="6"/>
        <v/>
      </c>
      <c r="BH31" t="str">
        <f t="shared" si="51"/>
        <v/>
      </c>
      <c r="BI31" s="25" t="str">
        <f t="shared" si="7"/>
        <v/>
      </c>
      <c r="BJ31" t="str">
        <f t="shared" si="52"/>
        <v/>
      </c>
      <c r="BK31" s="25" t="str">
        <f t="shared" si="8"/>
        <v/>
      </c>
      <c r="CW31" t="str">
        <f t="shared" si="9"/>
        <v/>
      </c>
      <c r="CX31" t="str">
        <f t="shared" si="10"/>
        <v/>
      </c>
      <c r="CY31" t="str">
        <f t="shared" si="11"/>
        <v/>
      </c>
      <c r="CZ31">
        <f t="shared" si="12"/>
        <v>0</v>
      </c>
      <c r="DA31" t="str">
        <f t="shared" si="13"/>
        <v/>
      </c>
      <c r="DB31" t="str">
        <f t="shared" si="14"/>
        <v/>
      </c>
      <c r="DC31" t="str">
        <f t="shared" si="15"/>
        <v/>
      </c>
      <c r="DD31" t="str">
        <f t="shared" si="16"/>
        <v/>
      </c>
      <c r="DE31" t="str">
        <f t="shared" si="17"/>
        <v/>
      </c>
      <c r="DF31" t="str">
        <f t="shared" si="18"/>
        <v/>
      </c>
      <c r="DG31" t="str">
        <f t="shared" si="19"/>
        <v/>
      </c>
      <c r="DH31" t="str">
        <f t="shared" si="20"/>
        <v/>
      </c>
      <c r="DI31" t="str">
        <f t="shared" si="21"/>
        <v/>
      </c>
      <c r="DJ31" t="str">
        <f t="shared" si="22"/>
        <v/>
      </c>
      <c r="DL31" t="str">
        <f t="shared" si="23"/>
        <v/>
      </c>
      <c r="DM31" t="str">
        <f t="shared" si="24"/>
        <v/>
      </c>
      <c r="DN31" t="str">
        <f t="shared" si="25"/>
        <v/>
      </c>
      <c r="DO31" t="str">
        <f t="shared" si="26"/>
        <v/>
      </c>
      <c r="DP31" t="str">
        <f t="shared" si="27"/>
        <v/>
      </c>
      <c r="DQ31">
        <f t="shared" si="28"/>
        <v>0</v>
      </c>
      <c r="DR31" t="str">
        <f t="shared" si="29"/>
        <v/>
      </c>
      <c r="DS31" t="str">
        <f t="shared" si="30"/>
        <v/>
      </c>
      <c r="DT31" t="str">
        <f t="shared" si="31"/>
        <v/>
      </c>
      <c r="DU31" t="str">
        <f t="shared" si="32"/>
        <v/>
      </c>
      <c r="DV31" t="str">
        <f t="shared" si="33"/>
        <v/>
      </c>
      <c r="DW31" t="str">
        <f t="shared" si="34"/>
        <v/>
      </c>
      <c r="DX31" t="str">
        <f t="shared" si="35"/>
        <v/>
      </c>
      <c r="DY31" t="str">
        <f t="shared" si="36"/>
        <v/>
      </c>
    </row>
    <row r="32" spans="1:129">
      <c r="A32">
        <v>11</v>
      </c>
      <c r="B32">
        <v>3</v>
      </c>
      <c r="C32">
        <v>83.2</v>
      </c>
      <c r="D32">
        <v>7</v>
      </c>
      <c r="E32">
        <v>1</v>
      </c>
      <c r="F32">
        <v>2199</v>
      </c>
      <c r="G32">
        <v>39.6</v>
      </c>
      <c r="H32">
        <v>26.8</v>
      </c>
      <c r="L32">
        <f t="shared" si="37"/>
        <v>3.1044776119402986</v>
      </c>
      <c r="AR32" t="str">
        <f t="shared" si="40"/>
        <v/>
      </c>
      <c r="AS32" s="25" t="str">
        <f t="shared" si="41"/>
        <v/>
      </c>
      <c r="AT32" t="str">
        <f t="shared" si="42"/>
        <v/>
      </c>
      <c r="AU32" s="25" t="str">
        <f t="shared" si="43"/>
        <v/>
      </c>
      <c r="AV32" t="str">
        <f t="shared" si="44"/>
        <v/>
      </c>
      <c r="AW32" s="25" t="str">
        <f t="shared" si="43"/>
        <v/>
      </c>
      <c r="AX32" t="str">
        <f t="shared" si="45"/>
        <v/>
      </c>
      <c r="AY32" s="25" t="str">
        <f t="shared" si="3"/>
        <v/>
      </c>
      <c r="AZ32" t="str">
        <f t="shared" si="46"/>
        <v/>
      </c>
      <c r="BA32" s="25" t="str">
        <f t="shared" si="4"/>
        <v/>
      </c>
      <c r="BB32" t="str">
        <f t="shared" si="47"/>
        <v/>
      </c>
      <c r="BC32" s="25" t="str">
        <f t="shared" si="48"/>
        <v/>
      </c>
      <c r="BD32">
        <f t="shared" si="49"/>
        <v>39.6</v>
      </c>
      <c r="BE32" s="25">
        <f t="shared" si="5"/>
        <v>1</v>
      </c>
      <c r="BF32" t="str">
        <f t="shared" si="50"/>
        <v/>
      </c>
      <c r="BG32" s="25" t="str">
        <f t="shared" si="6"/>
        <v/>
      </c>
      <c r="BH32" t="str">
        <f t="shared" si="51"/>
        <v/>
      </c>
      <c r="BI32" s="25" t="str">
        <f t="shared" si="7"/>
        <v/>
      </c>
      <c r="BJ32" t="str">
        <f t="shared" si="52"/>
        <v/>
      </c>
      <c r="BK32" s="25" t="str">
        <f t="shared" si="8"/>
        <v/>
      </c>
      <c r="CW32" t="str">
        <f t="shared" si="9"/>
        <v/>
      </c>
      <c r="CX32" t="str">
        <f t="shared" si="10"/>
        <v/>
      </c>
      <c r="CY32" t="str">
        <f t="shared" si="11"/>
        <v/>
      </c>
      <c r="CZ32" t="str">
        <f t="shared" si="12"/>
        <v/>
      </c>
      <c r="DA32" t="str">
        <f t="shared" si="13"/>
        <v/>
      </c>
      <c r="DB32" t="str">
        <f t="shared" si="14"/>
        <v/>
      </c>
      <c r="DC32">
        <f t="shared" si="15"/>
        <v>0</v>
      </c>
      <c r="DD32" t="str">
        <f t="shared" si="16"/>
        <v/>
      </c>
      <c r="DE32" t="str">
        <f t="shared" si="17"/>
        <v/>
      </c>
      <c r="DF32" t="str">
        <f t="shared" si="18"/>
        <v/>
      </c>
      <c r="DG32" t="str">
        <f t="shared" si="19"/>
        <v/>
      </c>
      <c r="DH32" t="str">
        <f t="shared" si="20"/>
        <v/>
      </c>
      <c r="DI32" t="str">
        <f t="shared" si="21"/>
        <v/>
      </c>
      <c r="DJ32" t="str">
        <f t="shared" si="22"/>
        <v/>
      </c>
      <c r="DL32">
        <f t="shared" si="23"/>
        <v>0</v>
      </c>
      <c r="DM32" t="str">
        <f t="shared" si="24"/>
        <v/>
      </c>
      <c r="DN32" t="str">
        <f t="shared" si="25"/>
        <v/>
      </c>
      <c r="DO32" t="str">
        <f t="shared" si="26"/>
        <v/>
      </c>
      <c r="DP32" t="str">
        <f t="shared" si="27"/>
        <v/>
      </c>
      <c r="DQ32" t="str">
        <f t="shared" si="28"/>
        <v/>
      </c>
      <c r="DR32" t="str">
        <f t="shared" si="29"/>
        <v/>
      </c>
      <c r="DS32" t="str">
        <f t="shared" si="30"/>
        <v/>
      </c>
      <c r="DT32" t="str">
        <f t="shared" si="31"/>
        <v/>
      </c>
      <c r="DU32" t="str">
        <f t="shared" si="32"/>
        <v/>
      </c>
      <c r="DV32" t="str">
        <f t="shared" si="33"/>
        <v/>
      </c>
      <c r="DW32" t="str">
        <f t="shared" si="34"/>
        <v/>
      </c>
      <c r="DX32" t="str">
        <f t="shared" si="35"/>
        <v/>
      </c>
      <c r="DY32" t="str">
        <f t="shared" si="36"/>
        <v/>
      </c>
    </row>
    <row r="33" spans="1:134">
      <c r="A33">
        <v>5</v>
      </c>
      <c r="B33">
        <v>13</v>
      </c>
      <c r="C33">
        <v>84.4</v>
      </c>
      <c r="D33">
        <v>5</v>
      </c>
      <c r="E33">
        <v>2</v>
      </c>
      <c r="F33">
        <v>2169</v>
      </c>
      <c r="G33">
        <v>66.2</v>
      </c>
      <c r="H33">
        <v>37.1</v>
      </c>
      <c r="L33" s="25"/>
      <c r="O33" s="25"/>
      <c r="AR33" t="str">
        <f t="shared" si="40"/>
        <v/>
      </c>
      <c r="AS33" s="25" t="str">
        <f t="shared" si="41"/>
        <v/>
      </c>
      <c r="AT33" t="str">
        <f t="shared" si="42"/>
        <v/>
      </c>
      <c r="AU33" s="25" t="str">
        <f t="shared" si="43"/>
        <v/>
      </c>
      <c r="AV33" t="str">
        <f t="shared" si="44"/>
        <v/>
      </c>
      <c r="AW33" s="25" t="str">
        <f t="shared" si="43"/>
        <v/>
      </c>
      <c r="AX33" t="str">
        <f t="shared" si="45"/>
        <v/>
      </c>
      <c r="AY33" s="25" t="str">
        <f t="shared" si="3"/>
        <v/>
      </c>
      <c r="AZ33">
        <f t="shared" si="46"/>
        <v>66.2</v>
      </c>
      <c r="BA33" s="25">
        <f t="shared" si="4"/>
        <v>2</v>
      </c>
      <c r="BB33" t="str">
        <f t="shared" si="47"/>
        <v/>
      </c>
      <c r="BC33" s="25" t="str">
        <f t="shared" si="48"/>
        <v/>
      </c>
      <c r="BD33" t="str">
        <f t="shared" si="49"/>
        <v/>
      </c>
      <c r="BE33" s="25" t="str">
        <f t="shared" si="5"/>
        <v/>
      </c>
      <c r="BF33" t="str">
        <f t="shared" si="50"/>
        <v/>
      </c>
      <c r="BG33" s="25" t="str">
        <f t="shared" si="6"/>
        <v/>
      </c>
      <c r="BH33" t="str">
        <f t="shared" si="51"/>
        <v/>
      </c>
      <c r="BI33" s="25" t="str">
        <f t="shared" si="7"/>
        <v/>
      </c>
      <c r="BJ33" t="str">
        <f t="shared" si="52"/>
        <v/>
      </c>
      <c r="BK33" s="25" t="str">
        <f t="shared" si="8"/>
        <v/>
      </c>
      <c r="CW33">
        <f>IFERROR(SUM(CW5:CW32),0)</f>
        <v>0</v>
      </c>
      <c r="CX33">
        <f t="shared" ref="CX33:DL33" si="64">IFERROR(SUM(CX5:CX32),0)</f>
        <v>0</v>
      </c>
      <c r="CY33">
        <f t="shared" si="64"/>
        <v>0</v>
      </c>
      <c r="CZ33">
        <f t="shared" si="64"/>
        <v>0</v>
      </c>
      <c r="DA33">
        <f t="shared" si="64"/>
        <v>0</v>
      </c>
      <c r="DB33">
        <f t="shared" si="64"/>
        <v>0</v>
      </c>
      <c r="DC33">
        <f t="shared" si="64"/>
        <v>0</v>
      </c>
      <c r="DD33">
        <f t="shared" si="64"/>
        <v>0</v>
      </c>
      <c r="DE33">
        <f t="shared" si="64"/>
        <v>0</v>
      </c>
      <c r="DF33">
        <f t="shared" si="64"/>
        <v>0</v>
      </c>
      <c r="DG33">
        <f t="shared" si="64"/>
        <v>0</v>
      </c>
      <c r="DH33">
        <f t="shared" si="64"/>
        <v>0</v>
      </c>
      <c r="DI33">
        <f t="shared" si="64"/>
        <v>0</v>
      </c>
      <c r="DJ33">
        <f t="shared" si="64"/>
        <v>0</v>
      </c>
      <c r="DL33">
        <f t="shared" si="64"/>
        <v>0</v>
      </c>
      <c r="DM33">
        <f t="shared" ref="DM33" si="65">IFERROR(SUM(DM5:DM32),0)</f>
        <v>0</v>
      </c>
      <c r="DN33">
        <f t="shared" ref="DN33" si="66">IFERROR(SUM(DN5:DN32),0)</f>
        <v>0</v>
      </c>
      <c r="DO33">
        <f t="shared" ref="DO33" si="67">IFERROR(SUM(DO5:DO32),0)</f>
        <v>0</v>
      </c>
      <c r="DP33">
        <f t="shared" ref="DP33" si="68">IFERROR(SUM(DP5:DP32),0)</f>
        <v>0</v>
      </c>
      <c r="DQ33">
        <f t="shared" ref="DQ33" si="69">IFERROR(SUM(DQ5:DQ32),0)</f>
        <v>0</v>
      </c>
      <c r="DR33">
        <f t="shared" ref="DR33" si="70">IFERROR(SUM(DR5:DR32),0)</f>
        <v>0</v>
      </c>
      <c r="DS33">
        <f t="shared" ref="DS33" si="71">IFERROR(SUM(DS5:DS32),0)</f>
        <v>0</v>
      </c>
      <c r="DT33">
        <f t="shared" ref="DT33" si="72">IFERROR(SUM(DT5:DT32),0)</f>
        <v>0</v>
      </c>
      <c r="DU33">
        <f t="shared" ref="DU33" si="73">IFERROR(SUM(DU5:DU32),0)</f>
        <v>0</v>
      </c>
      <c r="DV33">
        <f t="shared" ref="DV33" si="74">IFERROR(SUM(DV5:DV32),0)</f>
        <v>0</v>
      </c>
      <c r="DW33">
        <f t="shared" ref="DW33" si="75">IFERROR(SUM(DW5:DW32),0)</f>
        <v>0</v>
      </c>
      <c r="DX33">
        <f t="shared" ref="DX33" si="76">IFERROR(SUM(DX5:DX32),0)</f>
        <v>0</v>
      </c>
      <c r="DY33">
        <f t="shared" ref="DY33" si="77">IFERROR(SUM(DY5:DY32),0)</f>
        <v>0</v>
      </c>
      <c r="EB33" t="s">
        <v>139</v>
      </c>
      <c r="EC33" t="s">
        <v>140</v>
      </c>
    </row>
    <row r="34" spans="1:134">
      <c r="A34">
        <v>10</v>
      </c>
      <c r="B34">
        <v>13</v>
      </c>
      <c r="C34">
        <v>84.9</v>
      </c>
      <c r="D34">
        <v>6</v>
      </c>
      <c r="E34">
        <v>2</v>
      </c>
      <c r="F34">
        <v>2156</v>
      </c>
      <c r="G34">
        <v>52.7</v>
      </c>
      <c r="H34">
        <v>32.5</v>
      </c>
      <c r="AR34" t="str">
        <f t="shared" si="40"/>
        <v/>
      </c>
      <c r="AS34" s="25" t="str">
        <f t="shared" si="41"/>
        <v/>
      </c>
      <c r="AT34" t="str">
        <f t="shared" si="42"/>
        <v/>
      </c>
      <c r="AU34" s="25" t="str">
        <f t="shared" si="43"/>
        <v/>
      </c>
      <c r="AV34" t="str">
        <f t="shared" si="44"/>
        <v/>
      </c>
      <c r="AW34" s="25" t="str">
        <f t="shared" si="43"/>
        <v/>
      </c>
      <c r="AX34" t="str">
        <f t="shared" si="45"/>
        <v/>
      </c>
      <c r="AY34" s="25" t="str">
        <f t="shared" si="3"/>
        <v/>
      </c>
      <c r="AZ34" t="str">
        <f t="shared" si="46"/>
        <v/>
      </c>
      <c r="BA34" s="25" t="str">
        <f t="shared" si="4"/>
        <v/>
      </c>
      <c r="BB34">
        <f t="shared" si="47"/>
        <v>52.7</v>
      </c>
      <c r="BC34" s="25">
        <f t="shared" si="48"/>
        <v>2</v>
      </c>
      <c r="BD34" t="str">
        <f t="shared" si="49"/>
        <v/>
      </c>
      <c r="BE34" s="25" t="str">
        <f t="shared" si="5"/>
        <v/>
      </c>
      <c r="BF34" t="str">
        <f t="shared" si="50"/>
        <v/>
      </c>
      <c r="BG34" s="25" t="str">
        <f t="shared" si="6"/>
        <v/>
      </c>
      <c r="BH34" t="str">
        <f t="shared" si="51"/>
        <v/>
      </c>
      <c r="BI34" s="25" t="str">
        <f t="shared" si="7"/>
        <v/>
      </c>
      <c r="BJ34" t="str">
        <f t="shared" si="52"/>
        <v/>
      </c>
      <c r="BK34" s="25" t="str">
        <f t="shared" si="8"/>
        <v/>
      </c>
      <c r="CV34" t="s">
        <v>116</v>
      </c>
      <c r="CW34">
        <f>IFERROR(SUM(CW5:CW32),0)</f>
        <v>0</v>
      </c>
      <c r="DK34" t="s">
        <v>116</v>
      </c>
      <c r="DL34">
        <f>IFERROR(SUM(DL5:DL32),0)</f>
        <v>0</v>
      </c>
      <c r="EA34" t="s">
        <v>116</v>
      </c>
      <c r="EB34">
        <f>CW34</f>
        <v>0</v>
      </c>
      <c r="EC34">
        <f>DL34</f>
        <v>0</v>
      </c>
      <c r="ED34" t="str">
        <f>IFERROR(EC34/EB34,"")</f>
        <v/>
      </c>
    </row>
    <row r="35" spans="1:134">
      <c r="A35">
        <v>10</v>
      </c>
      <c r="B35">
        <v>6</v>
      </c>
      <c r="C35">
        <v>96.6</v>
      </c>
      <c r="D35">
        <v>6</v>
      </c>
      <c r="E35">
        <v>4</v>
      </c>
      <c r="F35">
        <v>1895</v>
      </c>
      <c r="G35">
        <v>78.599999999999994</v>
      </c>
      <c r="H35">
        <v>43.3</v>
      </c>
      <c r="AR35" t="str">
        <f t="shared" si="40"/>
        <v/>
      </c>
      <c r="AS35" s="25" t="str">
        <f t="shared" si="41"/>
        <v/>
      </c>
      <c r="AT35" t="str">
        <f t="shared" si="42"/>
        <v/>
      </c>
      <c r="AU35" s="25" t="str">
        <f t="shared" si="43"/>
        <v/>
      </c>
      <c r="AV35" t="str">
        <f t="shared" si="44"/>
        <v/>
      </c>
      <c r="AW35" s="25" t="str">
        <f t="shared" si="43"/>
        <v/>
      </c>
      <c r="AX35" t="str">
        <f t="shared" si="45"/>
        <v/>
      </c>
      <c r="AY35" s="25" t="str">
        <f t="shared" si="3"/>
        <v/>
      </c>
      <c r="AZ35" t="str">
        <f t="shared" si="46"/>
        <v/>
      </c>
      <c r="BA35" s="25" t="str">
        <f t="shared" si="4"/>
        <v/>
      </c>
      <c r="BB35">
        <f t="shared" si="47"/>
        <v>78.599999999999994</v>
      </c>
      <c r="BC35" s="25">
        <f t="shared" si="48"/>
        <v>4</v>
      </c>
      <c r="BD35" t="str">
        <f t="shared" si="49"/>
        <v/>
      </c>
      <c r="BE35" s="25" t="str">
        <f t="shared" si="5"/>
        <v/>
      </c>
      <c r="BF35" t="str">
        <f t="shared" si="50"/>
        <v/>
      </c>
      <c r="BG35" s="25" t="str">
        <f t="shared" si="6"/>
        <v/>
      </c>
      <c r="BH35" t="str">
        <f t="shared" si="51"/>
        <v/>
      </c>
      <c r="BI35" s="25" t="str">
        <f t="shared" si="7"/>
        <v/>
      </c>
      <c r="BJ35" t="str">
        <f t="shared" si="52"/>
        <v/>
      </c>
      <c r="BK35" s="25" t="str">
        <f t="shared" si="8"/>
        <v/>
      </c>
      <c r="CV35" t="s">
        <v>117</v>
      </c>
      <c r="CW35">
        <f>IFERROR(SUM(CX5:CX32),0)</f>
        <v>0</v>
      </c>
      <c r="DK35" t="s">
        <v>117</v>
      </c>
      <c r="DL35">
        <f>IFERROR(SUM(DM5:DM32),0)</f>
        <v>0</v>
      </c>
      <c r="EA35" t="s">
        <v>117</v>
      </c>
      <c r="EB35">
        <f t="shared" ref="EB35:EB47" si="78">CW35</f>
        <v>0</v>
      </c>
      <c r="EC35">
        <f t="shared" ref="EC35:EC47" si="79">DL35</f>
        <v>0</v>
      </c>
      <c r="ED35" t="str">
        <f t="shared" ref="ED35:ED47" si="80">IFERROR(EC35/EB35,"")</f>
        <v/>
      </c>
    </row>
    <row r="36" spans="1:134">
      <c r="A36">
        <v>9</v>
      </c>
      <c r="B36">
        <v>11</v>
      </c>
      <c r="C36">
        <v>99.1</v>
      </c>
      <c r="D36">
        <v>3</v>
      </c>
      <c r="E36">
        <v>7</v>
      </c>
      <c r="F36">
        <v>1848</v>
      </c>
      <c r="G36">
        <v>151.19999999999999</v>
      </c>
      <c r="H36">
        <v>59.9</v>
      </c>
      <c r="AR36" t="str">
        <f t="shared" si="40"/>
        <v/>
      </c>
      <c r="AS36" s="25" t="str">
        <f t="shared" si="41"/>
        <v/>
      </c>
      <c r="AT36" t="str">
        <f t="shared" si="42"/>
        <v/>
      </c>
      <c r="AU36" s="25" t="str">
        <f t="shared" si="43"/>
        <v/>
      </c>
      <c r="AV36">
        <f t="shared" si="44"/>
        <v>151.19999999999999</v>
      </c>
      <c r="AW36" s="25">
        <f t="shared" si="43"/>
        <v>7</v>
      </c>
      <c r="AX36" t="str">
        <f t="shared" si="45"/>
        <v/>
      </c>
      <c r="AY36" s="25" t="str">
        <f t="shared" si="3"/>
        <v/>
      </c>
      <c r="AZ36" t="str">
        <f t="shared" si="46"/>
        <v/>
      </c>
      <c r="BA36" s="25" t="str">
        <f t="shared" si="4"/>
        <v/>
      </c>
      <c r="BB36" t="str">
        <f t="shared" si="47"/>
        <v/>
      </c>
      <c r="BC36" s="25" t="str">
        <f t="shared" si="48"/>
        <v/>
      </c>
      <c r="BD36" t="str">
        <f t="shared" si="49"/>
        <v/>
      </c>
      <c r="BE36" s="25" t="str">
        <f t="shared" si="5"/>
        <v/>
      </c>
      <c r="BF36" t="str">
        <f t="shared" si="50"/>
        <v/>
      </c>
      <c r="BG36" s="25" t="str">
        <f t="shared" si="6"/>
        <v/>
      </c>
      <c r="BH36" t="str">
        <f t="shared" si="51"/>
        <v/>
      </c>
      <c r="BI36" s="25" t="str">
        <f t="shared" si="7"/>
        <v/>
      </c>
      <c r="BJ36" t="str">
        <f t="shared" si="52"/>
        <v/>
      </c>
      <c r="BK36" s="25" t="str">
        <f t="shared" si="8"/>
        <v/>
      </c>
      <c r="CV36" t="s">
        <v>118</v>
      </c>
      <c r="CW36">
        <f>IFERROR(SUM(CY5:CY32),0)</f>
        <v>0</v>
      </c>
      <c r="DK36" t="s">
        <v>118</v>
      </c>
      <c r="DL36">
        <f>IFERROR(SUM(DN5:DN32),0)</f>
        <v>0</v>
      </c>
      <c r="EA36" t="s">
        <v>118</v>
      </c>
      <c r="EB36">
        <f t="shared" si="78"/>
        <v>0</v>
      </c>
      <c r="EC36">
        <f t="shared" si="79"/>
        <v>0</v>
      </c>
      <c r="ED36" t="str">
        <f t="shared" si="80"/>
        <v/>
      </c>
    </row>
    <row r="37" spans="1:134">
      <c r="A37">
        <v>5</v>
      </c>
      <c r="B37">
        <v>6</v>
      </c>
      <c r="C37">
        <v>100.7</v>
      </c>
      <c r="D37">
        <v>5</v>
      </c>
      <c r="E37">
        <v>4</v>
      </c>
      <c r="F37">
        <v>1818</v>
      </c>
      <c r="G37">
        <v>104.7</v>
      </c>
      <c r="H37">
        <v>51.3</v>
      </c>
      <c r="AR37" t="str">
        <f t="shared" si="40"/>
        <v/>
      </c>
      <c r="AS37" s="25" t="str">
        <f t="shared" si="41"/>
        <v/>
      </c>
      <c r="AT37" t="str">
        <f t="shared" si="42"/>
        <v/>
      </c>
      <c r="AU37" s="25" t="str">
        <f t="shared" si="43"/>
        <v/>
      </c>
      <c r="AV37" t="str">
        <f t="shared" si="44"/>
        <v/>
      </c>
      <c r="AW37" s="25" t="str">
        <f t="shared" si="43"/>
        <v/>
      </c>
      <c r="AX37" t="str">
        <f t="shared" si="45"/>
        <v/>
      </c>
      <c r="AY37" s="25" t="str">
        <f t="shared" si="3"/>
        <v/>
      </c>
      <c r="AZ37">
        <f t="shared" si="46"/>
        <v>104.7</v>
      </c>
      <c r="BA37" s="25">
        <f t="shared" si="4"/>
        <v>4</v>
      </c>
      <c r="BB37" t="str">
        <f t="shared" si="47"/>
        <v/>
      </c>
      <c r="BC37" s="25" t="str">
        <f t="shared" si="48"/>
        <v/>
      </c>
      <c r="BD37" t="str">
        <f t="shared" si="49"/>
        <v/>
      </c>
      <c r="BE37" s="25" t="str">
        <f t="shared" si="5"/>
        <v/>
      </c>
      <c r="BF37" t="str">
        <f t="shared" si="50"/>
        <v/>
      </c>
      <c r="BG37" s="25" t="str">
        <f t="shared" si="6"/>
        <v/>
      </c>
      <c r="BH37" t="str">
        <f t="shared" si="51"/>
        <v/>
      </c>
      <c r="BI37" s="25" t="str">
        <f t="shared" si="7"/>
        <v/>
      </c>
      <c r="BJ37" t="str">
        <f t="shared" si="52"/>
        <v/>
      </c>
      <c r="BK37" s="25" t="str">
        <f t="shared" si="8"/>
        <v/>
      </c>
      <c r="CV37" t="s">
        <v>119</v>
      </c>
      <c r="CW37">
        <f>IFERROR(SUM(CZ5:CZ32),0)</f>
        <v>0</v>
      </c>
      <c r="DK37" t="s">
        <v>119</v>
      </c>
      <c r="DL37">
        <f>IFERROR(SUM(DO5:DO32),0)</f>
        <v>0</v>
      </c>
      <c r="EA37" t="s">
        <v>119</v>
      </c>
      <c r="EB37">
        <f t="shared" si="78"/>
        <v>0</v>
      </c>
      <c r="EC37">
        <f t="shared" si="79"/>
        <v>0</v>
      </c>
      <c r="ED37" t="str">
        <f t="shared" si="80"/>
        <v/>
      </c>
    </row>
    <row r="38" spans="1:134">
      <c r="A38">
        <v>1</v>
      </c>
      <c r="B38">
        <v>3</v>
      </c>
      <c r="C38">
        <v>104.3</v>
      </c>
      <c r="D38">
        <v>9</v>
      </c>
      <c r="E38">
        <v>1</v>
      </c>
      <c r="F38">
        <v>1755</v>
      </c>
      <c r="G38">
        <v>38</v>
      </c>
      <c r="H38">
        <v>27.9</v>
      </c>
      <c r="AR38" t="str">
        <f t="shared" si="40"/>
        <v/>
      </c>
      <c r="AS38" s="25" t="str">
        <f t="shared" si="41"/>
        <v/>
      </c>
      <c r="AT38" t="str">
        <f t="shared" si="42"/>
        <v/>
      </c>
      <c r="AU38" s="25" t="str">
        <f t="shared" si="43"/>
        <v/>
      </c>
      <c r="AV38" t="str">
        <f t="shared" si="44"/>
        <v/>
      </c>
      <c r="AW38" s="25" t="str">
        <f t="shared" si="43"/>
        <v/>
      </c>
      <c r="AX38" t="str">
        <f t="shared" si="45"/>
        <v/>
      </c>
      <c r="AY38" s="25" t="str">
        <f t="shared" si="3"/>
        <v/>
      </c>
      <c r="AZ38" t="str">
        <f t="shared" si="46"/>
        <v/>
      </c>
      <c r="BA38" s="25" t="str">
        <f t="shared" si="4"/>
        <v/>
      </c>
      <c r="BB38" t="str">
        <f t="shared" si="47"/>
        <v/>
      </c>
      <c r="BC38" s="25" t="str">
        <f t="shared" si="48"/>
        <v/>
      </c>
      <c r="BD38" t="str">
        <f t="shared" si="49"/>
        <v/>
      </c>
      <c r="BE38" s="25" t="str">
        <f t="shared" si="5"/>
        <v/>
      </c>
      <c r="BF38" t="str">
        <f t="shared" si="50"/>
        <v/>
      </c>
      <c r="BG38" s="25" t="str">
        <f t="shared" si="6"/>
        <v/>
      </c>
      <c r="BH38">
        <f t="shared" si="51"/>
        <v>38</v>
      </c>
      <c r="BI38" s="25">
        <f t="shared" si="7"/>
        <v>1</v>
      </c>
      <c r="BJ38" t="str">
        <f t="shared" si="52"/>
        <v/>
      </c>
      <c r="BK38" s="25" t="str">
        <f t="shared" si="8"/>
        <v/>
      </c>
      <c r="CV38" t="s">
        <v>120</v>
      </c>
      <c r="CW38">
        <f>IFERROR(SUM(DA5:DA32),0)</f>
        <v>0</v>
      </c>
      <c r="DK38" t="s">
        <v>120</v>
      </c>
      <c r="DL38">
        <f>IFERROR(SUM(DP5:DP32),0)</f>
        <v>0</v>
      </c>
      <c r="EA38" t="s">
        <v>120</v>
      </c>
      <c r="EB38">
        <f t="shared" si="78"/>
        <v>0</v>
      </c>
      <c r="EC38">
        <f t="shared" si="79"/>
        <v>0</v>
      </c>
      <c r="ED38" t="str">
        <f t="shared" si="80"/>
        <v/>
      </c>
    </row>
    <row r="39" spans="1:134">
      <c r="A39">
        <v>6</v>
      </c>
      <c r="B39">
        <v>5</v>
      </c>
      <c r="C39">
        <v>104.7</v>
      </c>
      <c r="D39">
        <v>4</v>
      </c>
      <c r="E39">
        <v>5</v>
      </c>
      <c r="F39">
        <v>1748</v>
      </c>
      <c r="G39">
        <v>100.7</v>
      </c>
      <c r="H39">
        <v>51.3</v>
      </c>
      <c r="AR39" t="str">
        <f t="shared" si="40"/>
        <v/>
      </c>
      <c r="AS39" s="25" t="str">
        <f t="shared" si="41"/>
        <v/>
      </c>
      <c r="AT39" t="str">
        <f t="shared" si="42"/>
        <v/>
      </c>
      <c r="AU39" s="25" t="str">
        <f t="shared" si="43"/>
        <v/>
      </c>
      <c r="AV39" t="str">
        <f t="shared" si="44"/>
        <v/>
      </c>
      <c r="AW39" s="25" t="str">
        <f t="shared" si="43"/>
        <v/>
      </c>
      <c r="AX39">
        <f t="shared" si="45"/>
        <v>100.7</v>
      </c>
      <c r="AY39" s="25">
        <f t="shared" si="3"/>
        <v>5</v>
      </c>
      <c r="AZ39" t="str">
        <f t="shared" si="46"/>
        <v/>
      </c>
      <c r="BA39" s="25" t="str">
        <f t="shared" si="4"/>
        <v/>
      </c>
      <c r="BB39" t="str">
        <f t="shared" si="47"/>
        <v/>
      </c>
      <c r="BC39" s="25" t="str">
        <f t="shared" si="48"/>
        <v/>
      </c>
      <c r="BD39" t="str">
        <f t="shared" si="49"/>
        <v/>
      </c>
      <c r="BE39" s="25" t="str">
        <f t="shared" si="5"/>
        <v/>
      </c>
      <c r="BF39" t="str">
        <f t="shared" si="50"/>
        <v/>
      </c>
      <c r="BG39" s="25" t="str">
        <f t="shared" si="6"/>
        <v/>
      </c>
      <c r="BH39" t="str">
        <f t="shared" si="51"/>
        <v/>
      </c>
      <c r="BI39" s="25" t="str">
        <f t="shared" si="7"/>
        <v/>
      </c>
      <c r="BJ39" t="str">
        <f t="shared" si="52"/>
        <v/>
      </c>
      <c r="BK39" s="25" t="str">
        <f t="shared" si="8"/>
        <v/>
      </c>
      <c r="CV39" t="s">
        <v>121</v>
      </c>
      <c r="CW39">
        <f>IFERROR(SUM(DB5:DB32),0)</f>
        <v>0</v>
      </c>
      <c r="DK39" t="s">
        <v>121</v>
      </c>
      <c r="DL39">
        <f>IFERROR(SUM(DQ5:DQ32),0)</f>
        <v>0</v>
      </c>
      <c r="EA39" t="s">
        <v>121</v>
      </c>
      <c r="EB39">
        <f t="shared" si="78"/>
        <v>0</v>
      </c>
      <c r="EC39">
        <f t="shared" si="79"/>
        <v>0</v>
      </c>
      <c r="ED39" t="str">
        <f t="shared" si="80"/>
        <v/>
      </c>
    </row>
    <row r="40" spans="1:134">
      <c r="A40">
        <v>13</v>
      </c>
      <c r="B40">
        <v>11</v>
      </c>
      <c r="C40">
        <v>115.5</v>
      </c>
      <c r="D40">
        <v>2</v>
      </c>
      <c r="E40">
        <v>7</v>
      </c>
      <c r="F40">
        <v>1585</v>
      </c>
      <c r="G40">
        <v>185.3</v>
      </c>
      <c r="H40">
        <v>71.2</v>
      </c>
      <c r="AR40" t="str">
        <f t="shared" si="40"/>
        <v/>
      </c>
      <c r="AS40" s="25" t="str">
        <f t="shared" si="41"/>
        <v/>
      </c>
      <c r="AT40">
        <f t="shared" si="42"/>
        <v>185.3</v>
      </c>
      <c r="AU40" s="25">
        <f t="shared" si="43"/>
        <v>7</v>
      </c>
      <c r="AV40" t="str">
        <f t="shared" si="44"/>
        <v/>
      </c>
      <c r="AW40" s="25" t="str">
        <f t="shared" si="43"/>
        <v/>
      </c>
      <c r="AX40" t="str">
        <f t="shared" si="45"/>
        <v/>
      </c>
      <c r="AY40" s="25" t="str">
        <f t="shared" si="3"/>
        <v/>
      </c>
      <c r="AZ40" t="str">
        <f t="shared" si="46"/>
        <v/>
      </c>
      <c r="BA40" s="25" t="str">
        <f t="shared" si="4"/>
        <v/>
      </c>
      <c r="BB40" t="str">
        <f t="shared" si="47"/>
        <v/>
      </c>
      <c r="BC40" s="25" t="str">
        <f t="shared" si="48"/>
        <v/>
      </c>
      <c r="BD40" t="str">
        <f t="shared" si="49"/>
        <v/>
      </c>
      <c r="BE40" s="25" t="str">
        <f t="shared" si="5"/>
        <v/>
      </c>
      <c r="BF40" t="str">
        <f t="shared" si="50"/>
        <v/>
      </c>
      <c r="BG40" s="25" t="str">
        <f t="shared" si="6"/>
        <v/>
      </c>
      <c r="BH40" t="str">
        <f t="shared" si="51"/>
        <v/>
      </c>
      <c r="BI40" s="25" t="str">
        <f t="shared" si="7"/>
        <v/>
      </c>
      <c r="BJ40" t="str">
        <f t="shared" si="52"/>
        <v/>
      </c>
      <c r="BK40" s="25" t="str">
        <f t="shared" si="8"/>
        <v/>
      </c>
      <c r="CV40" t="s">
        <v>122</v>
      </c>
      <c r="CW40">
        <f>IFERROR(SUM(DC5:DC32),0)</f>
        <v>0</v>
      </c>
      <c r="DK40" t="s">
        <v>122</v>
      </c>
      <c r="DL40">
        <f>IFERROR(SUM(DR5:DR32),0)</f>
        <v>0</v>
      </c>
      <c r="EA40" t="s">
        <v>122</v>
      </c>
      <c r="EB40">
        <f t="shared" si="78"/>
        <v>0</v>
      </c>
      <c r="EC40">
        <f t="shared" si="79"/>
        <v>0</v>
      </c>
      <c r="ED40" t="str">
        <f t="shared" si="80"/>
        <v/>
      </c>
    </row>
    <row r="41" spans="1:134">
      <c r="A41">
        <v>13</v>
      </c>
      <c r="B41">
        <v>1</v>
      </c>
      <c r="C41">
        <v>130</v>
      </c>
      <c r="D41">
        <v>2</v>
      </c>
      <c r="E41">
        <v>9</v>
      </c>
      <c r="F41">
        <v>1408</v>
      </c>
      <c r="G41">
        <v>246.4</v>
      </c>
      <c r="H41">
        <v>85.1</v>
      </c>
      <c r="AR41" t="str">
        <f t="shared" si="40"/>
        <v/>
      </c>
      <c r="AS41" s="25" t="str">
        <f t="shared" si="41"/>
        <v/>
      </c>
      <c r="AT41">
        <f t="shared" si="42"/>
        <v>246.4</v>
      </c>
      <c r="AU41" s="25">
        <f t="shared" si="43"/>
        <v>9</v>
      </c>
      <c r="AV41" t="str">
        <f t="shared" si="44"/>
        <v/>
      </c>
      <c r="AW41" s="25" t="str">
        <f t="shared" si="43"/>
        <v/>
      </c>
      <c r="AX41" t="str">
        <f t="shared" si="45"/>
        <v/>
      </c>
      <c r="AY41" s="25" t="str">
        <f t="shared" si="3"/>
        <v/>
      </c>
      <c r="AZ41" t="str">
        <f t="shared" si="46"/>
        <v/>
      </c>
      <c r="BA41" s="25" t="str">
        <f t="shared" si="4"/>
        <v/>
      </c>
      <c r="BB41" t="str">
        <f t="shared" si="47"/>
        <v/>
      </c>
      <c r="BC41" s="25" t="str">
        <f t="shared" si="48"/>
        <v/>
      </c>
      <c r="BD41" t="str">
        <f t="shared" si="49"/>
        <v/>
      </c>
      <c r="BE41" s="25" t="str">
        <f t="shared" si="5"/>
        <v/>
      </c>
      <c r="BF41" t="str">
        <f t="shared" si="50"/>
        <v/>
      </c>
      <c r="BG41" s="25" t="str">
        <f t="shared" si="6"/>
        <v/>
      </c>
      <c r="BH41" t="str">
        <f t="shared" si="51"/>
        <v/>
      </c>
      <c r="BI41" s="25" t="str">
        <f t="shared" si="7"/>
        <v/>
      </c>
      <c r="BJ41" t="str">
        <f t="shared" si="52"/>
        <v/>
      </c>
      <c r="BK41" s="25" t="str">
        <f t="shared" si="8"/>
        <v/>
      </c>
      <c r="CV41" t="s">
        <v>123</v>
      </c>
      <c r="CW41">
        <f>IFERROR(SUM(DD5:DD32),0)</f>
        <v>0</v>
      </c>
      <c r="DK41" t="s">
        <v>123</v>
      </c>
      <c r="DL41">
        <f>IFERROR(SUM(DS5:DS32),0)</f>
        <v>0</v>
      </c>
      <c r="EA41" t="s">
        <v>123</v>
      </c>
      <c r="EB41">
        <f t="shared" si="78"/>
        <v>0</v>
      </c>
      <c r="EC41">
        <f t="shared" si="79"/>
        <v>0</v>
      </c>
      <c r="ED41" t="str">
        <f t="shared" si="80"/>
        <v/>
      </c>
    </row>
    <row r="42" spans="1:134">
      <c r="A42">
        <v>5</v>
      </c>
      <c r="B42">
        <v>10</v>
      </c>
      <c r="C42">
        <v>139.80000000000001</v>
      </c>
      <c r="D42">
        <v>5</v>
      </c>
      <c r="E42">
        <v>6</v>
      </c>
      <c r="F42">
        <v>1310</v>
      </c>
      <c r="G42">
        <v>145.30000000000001</v>
      </c>
      <c r="H42">
        <v>71.2</v>
      </c>
      <c r="AR42" t="str">
        <f t="shared" si="40"/>
        <v/>
      </c>
      <c r="AS42" s="25" t="str">
        <f t="shared" si="41"/>
        <v/>
      </c>
      <c r="AT42" t="str">
        <f t="shared" si="42"/>
        <v/>
      </c>
      <c r="AU42" s="25" t="str">
        <f t="shared" si="43"/>
        <v/>
      </c>
      <c r="AV42" t="str">
        <f t="shared" si="44"/>
        <v/>
      </c>
      <c r="AW42" s="25" t="str">
        <f t="shared" si="43"/>
        <v/>
      </c>
      <c r="AX42" t="str">
        <f t="shared" si="45"/>
        <v/>
      </c>
      <c r="AY42" s="25" t="str">
        <f t="shared" si="3"/>
        <v/>
      </c>
      <c r="AZ42">
        <f t="shared" si="46"/>
        <v>145.30000000000001</v>
      </c>
      <c r="BA42" s="25">
        <f t="shared" si="4"/>
        <v>6</v>
      </c>
      <c r="BB42" t="str">
        <f t="shared" si="47"/>
        <v/>
      </c>
      <c r="BC42" s="25" t="str">
        <f t="shared" si="48"/>
        <v/>
      </c>
      <c r="BD42" t="str">
        <f t="shared" si="49"/>
        <v/>
      </c>
      <c r="BE42" s="25" t="str">
        <f t="shared" si="5"/>
        <v/>
      </c>
      <c r="BF42" t="str">
        <f t="shared" si="50"/>
        <v/>
      </c>
      <c r="BG42" s="25" t="str">
        <f t="shared" si="6"/>
        <v/>
      </c>
      <c r="BH42" t="str">
        <f t="shared" si="51"/>
        <v/>
      </c>
      <c r="BI42" s="25" t="str">
        <f t="shared" si="7"/>
        <v/>
      </c>
      <c r="BJ42" t="str">
        <f t="shared" si="52"/>
        <v/>
      </c>
      <c r="BK42" s="25" t="str">
        <f t="shared" si="8"/>
        <v/>
      </c>
      <c r="CV42" t="s">
        <v>124</v>
      </c>
      <c r="CW42">
        <f>IFERROR(SUM(DE5:DE32),0)</f>
        <v>0</v>
      </c>
      <c r="DK42" t="s">
        <v>124</v>
      </c>
      <c r="DL42">
        <f>IFERROR(SUM(DT5:DT32),0)</f>
        <v>0</v>
      </c>
      <c r="EA42" t="s">
        <v>124</v>
      </c>
      <c r="EB42">
        <f t="shared" si="78"/>
        <v>0</v>
      </c>
      <c r="EC42">
        <f t="shared" si="79"/>
        <v>0</v>
      </c>
      <c r="ED42" t="str">
        <f t="shared" si="80"/>
        <v/>
      </c>
    </row>
    <row r="43" spans="1:134">
      <c r="A43">
        <v>9</v>
      </c>
      <c r="B43">
        <v>1</v>
      </c>
      <c r="C43">
        <v>139.80000000000001</v>
      </c>
      <c r="D43">
        <v>3</v>
      </c>
      <c r="E43">
        <v>9</v>
      </c>
      <c r="F43">
        <v>1310</v>
      </c>
      <c r="G43">
        <v>216.7</v>
      </c>
      <c r="H43">
        <v>85</v>
      </c>
      <c r="AR43" t="str">
        <f t="shared" si="40"/>
        <v/>
      </c>
      <c r="AS43" s="25" t="str">
        <f t="shared" si="41"/>
        <v/>
      </c>
      <c r="AT43" t="str">
        <f t="shared" si="42"/>
        <v/>
      </c>
      <c r="AU43" s="25" t="str">
        <f t="shared" si="43"/>
        <v/>
      </c>
      <c r="AV43">
        <f t="shared" si="44"/>
        <v>216.7</v>
      </c>
      <c r="AW43" s="25">
        <f t="shared" si="43"/>
        <v>9</v>
      </c>
      <c r="AX43" t="str">
        <f t="shared" si="45"/>
        <v/>
      </c>
      <c r="AY43" s="25" t="str">
        <f t="shared" si="3"/>
        <v/>
      </c>
      <c r="AZ43" t="str">
        <f t="shared" si="46"/>
        <v/>
      </c>
      <c r="BA43" s="25" t="str">
        <f t="shared" si="4"/>
        <v/>
      </c>
      <c r="BB43" t="str">
        <f t="shared" si="47"/>
        <v/>
      </c>
      <c r="BC43" s="25" t="str">
        <f t="shared" si="48"/>
        <v/>
      </c>
      <c r="BD43" t="str">
        <f t="shared" si="49"/>
        <v/>
      </c>
      <c r="BE43" s="25" t="str">
        <f t="shared" si="5"/>
        <v/>
      </c>
      <c r="BF43" t="str">
        <f t="shared" si="50"/>
        <v/>
      </c>
      <c r="BG43" s="25" t="str">
        <f t="shared" si="6"/>
        <v/>
      </c>
      <c r="BH43" t="str">
        <f t="shared" si="51"/>
        <v/>
      </c>
      <c r="BI43" s="25" t="str">
        <f t="shared" si="7"/>
        <v/>
      </c>
      <c r="BJ43" t="str">
        <f t="shared" si="52"/>
        <v/>
      </c>
      <c r="BK43" s="25" t="str">
        <f t="shared" si="8"/>
        <v/>
      </c>
      <c r="CV43" s="25" t="s">
        <v>125</v>
      </c>
      <c r="CW43">
        <f>IFERROR(SUM(DF5:DF32),0)</f>
        <v>0</v>
      </c>
      <c r="DK43" s="25" t="s">
        <v>125</v>
      </c>
      <c r="DL43">
        <f>IFERROR(SUM(DU5:DU32),0)</f>
        <v>0</v>
      </c>
      <c r="EA43" s="25" t="s">
        <v>125</v>
      </c>
      <c r="EB43">
        <f t="shared" si="78"/>
        <v>0</v>
      </c>
      <c r="EC43">
        <f t="shared" si="79"/>
        <v>0</v>
      </c>
      <c r="ED43" t="str">
        <f t="shared" si="80"/>
        <v/>
      </c>
    </row>
    <row r="44" spans="1:134">
      <c r="A44">
        <v>13</v>
      </c>
      <c r="B44">
        <v>15</v>
      </c>
      <c r="C44">
        <v>143.5</v>
      </c>
      <c r="D44">
        <v>2</v>
      </c>
      <c r="E44">
        <v>8</v>
      </c>
      <c r="F44">
        <v>1276</v>
      </c>
      <c r="G44">
        <v>285.2</v>
      </c>
      <c r="H44">
        <v>95.5</v>
      </c>
      <c r="AR44" t="str">
        <f t="shared" si="40"/>
        <v/>
      </c>
      <c r="AS44" s="25" t="str">
        <f t="shared" si="41"/>
        <v/>
      </c>
      <c r="AT44">
        <f t="shared" si="42"/>
        <v>285.2</v>
      </c>
      <c r="AU44" s="25">
        <f t="shared" si="43"/>
        <v>8</v>
      </c>
      <c r="AV44" t="str">
        <f t="shared" si="44"/>
        <v/>
      </c>
      <c r="AW44" s="25" t="str">
        <f t="shared" si="43"/>
        <v/>
      </c>
      <c r="AX44" t="str">
        <f t="shared" si="45"/>
        <v/>
      </c>
      <c r="AY44" s="25" t="str">
        <f t="shared" si="3"/>
        <v/>
      </c>
      <c r="AZ44" t="str">
        <f t="shared" si="46"/>
        <v/>
      </c>
      <c r="BA44" s="25" t="str">
        <f t="shared" si="4"/>
        <v/>
      </c>
      <c r="BB44" t="str">
        <f t="shared" si="47"/>
        <v/>
      </c>
      <c r="BC44" s="25" t="str">
        <f t="shared" si="48"/>
        <v/>
      </c>
      <c r="BD44" t="str">
        <f t="shared" si="49"/>
        <v/>
      </c>
      <c r="BE44" s="25" t="str">
        <f t="shared" si="5"/>
        <v/>
      </c>
      <c r="BF44" t="str">
        <f t="shared" si="50"/>
        <v/>
      </c>
      <c r="BG44" s="25" t="str">
        <f t="shared" si="6"/>
        <v/>
      </c>
      <c r="BH44" t="str">
        <f t="shared" si="51"/>
        <v/>
      </c>
      <c r="BI44" s="25" t="str">
        <f t="shared" si="7"/>
        <v/>
      </c>
      <c r="BJ44" t="str">
        <f t="shared" si="52"/>
        <v/>
      </c>
      <c r="BK44" s="25" t="str">
        <f t="shared" si="8"/>
        <v/>
      </c>
      <c r="CV44" s="25" t="s">
        <v>126</v>
      </c>
      <c r="CW44">
        <f>IFERROR(SUM(DG5:DG32),0)</f>
        <v>0</v>
      </c>
      <c r="DK44" s="25" t="s">
        <v>126</v>
      </c>
      <c r="DL44">
        <f>IFERROR(SUM(DV5:DV32),0)</f>
        <v>0</v>
      </c>
      <c r="EA44" s="25" t="s">
        <v>126</v>
      </c>
      <c r="EB44">
        <f t="shared" si="78"/>
        <v>0</v>
      </c>
      <c r="EC44">
        <f t="shared" si="79"/>
        <v>0</v>
      </c>
      <c r="ED44" t="str">
        <f t="shared" si="80"/>
        <v/>
      </c>
    </row>
    <row r="45" spans="1:134">
      <c r="A45">
        <v>15</v>
      </c>
      <c r="B45">
        <v>3</v>
      </c>
      <c r="C45">
        <v>143.6</v>
      </c>
      <c r="D45">
        <v>8</v>
      </c>
      <c r="E45">
        <v>1</v>
      </c>
      <c r="F45">
        <v>1275</v>
      </c>
      <c r="G45">
        <v>73</v>
      </c>
      <c r="H45">
        <v>48.4</v>
      </c>
      <c r="AR45" t="str">
        <f t="shared" si="40"/>
        <v/>
      </c>
      <c r="AS45" s="25" t="str">
        <f t="shared" si="41"/>
        <v/>
      </c>
      <c r="AT45" t="str">
        <f t="shared" si="42"/>
        <v/>
      </c>
      <c r="AU45" s="25" t="str">
        <f t="shared" si="43"/>
        <v/>
      </c>
      <c r="AV45" t="str">
        <f t="shared" si="44"/>
        <v/>
      </c>
      <c r="AW45" s="25" t="str">
        <f t="shared" si="43"/>
        <v/>
      </c>
      <c r="AX45" t="str">
        <f t="shared" si="45"/>
        <v/>
      </c>
      <c r="AY45" s="25" t="str">
        <f t="shared" si="3"/>
        <v/>
      </c>
      <c r="AZ45" t="str">
        <f t="shared" si="46"/>
        <v/>
      </c>
      <c r="BA45" s="25" t="str">
        <f t="shared" si="4"/>
        <v/>
      </c>
      <c r="BB45" t="str">
        <f t="shared" si="47"/>
        <v/>
      </c>
      <c r="BC45" s="25" t="str">
        <f t="shared" si="48"/>
        <v/>
      </c>
      <c r="BD45" t="str">
        <f t="shared" si="49"/>
        <v/>
      </c>
      <c r="BE45" s="25" t="str">
        <f t="shared" si="5"/>
        <v/>
      </c>
      <c r="BF45">
        <f t="shared" si="50"/>
        <v>73</v>
      </c>
      <c r="BG45" s="25">
        <f t="shared" si="6"/>
        <v>1</v>
      </c>
      <c r="BH45" t="str">
        <f t="shared" si="51"/>
        <v/>
      </c>
      <c r="BI45" s="25" t="str">
        <f t="shared" si="7"/>
        <v/>
      </c>
      <c r="BJ45" t="str">
        <f t="shared" si="52"/>
        <v/>
      </c>
      <c r="BK45" s="25" t="str">
        <f t="shared" si="8"/>
        <v/>
      </c>
      <c r="CV45" s="25" t="s">
        <v>127</v>
      </c>
      <c r="CW45">
        <f>IFERROR(SUM(DH5:DH32),0)</f>
        <v>0</v>
      </c>
      <c r="DK45" s="25" t="s">
        <v>127</v>
      </c>
      <c r="DL45">
        <f>IFERROR(SUM(DW5:DW32),0)</f>
        <v>0</v>
      </c>
      <c r="EA45" s="25" t="s">
        <v>127</v>
      </c>
      <c r="EB45">
        <f t="shared" si="78"/>
        <v>0</v>
      </c>
      <c r="EC45">
        <f t="shared" si="79"/>
        <v>0</v>
      </c>
      <c r="ED45" t="str">
        <f t="shared" si="80"/>
        <v/>
      </c>
    </row>
    <row r="46" spans="1:134">
      <c r="A46">
        <v>2</v>
      </c>
      <c r="B46">
        <v>3</v>
      </c>
      <c r="C46">
        <v>145</v>
      </c>
      <c r="D46">
        <v>10</v>
      </c>
      <c r="E46">
        <v>1</v>
      </c>
      <c r="F46">
        <v>1263</v>
      </c>
      <c r="G46">
        <v>71.3</v>
      </c>
      <c r="H46">
        <v>47.8</v>
      </c>
      <c r="AR46" t="str">
        <f t="shared" si="40"/>
        <v/>
      </c>
      <c r="AS46" s="25" t="str">
        <f t="shared" si="41"/>
        <v/>
      </c>
      <c r="AT46" t="str">
        <f t="shared" si="42"/>
        <v/>
      </c>
      <c r="AU46" s="25" t="str">
        <f t="shared" si="43"/>
        <v/>
      </c>
      <c r="AV46" t="str">
        <f t="shared" si="44"/>
        <v/>
      </c>
      <c r="AW46" s="25" t="str">
        <f t="shared" si="43"/>
        <v/>
      </c>
      <c r="AX46" t="str">
        <f t="shared" si="45"/>
        <v/>
      </c>
      <c r="AY46" s="25" t="str">
        <f t="shared" si="3"/>
        <v/>
      </c>
      <c r="AZ46" t="str">
        <f t="shared" si="46"/>
        <v/>
      </c>
      <c r="BA46" s="25" t="str">
        <f t="shared" si="4"/>
        <v/>
      </c>
      <c r="BB46" t="str">
        <f t="shared" si="47"/>
        <v/>
      </c>
      <c r="BC46" s="25" t="str">
        <f t="shared" si="48"/>
        <v/>
      </c>
      <c r="BD46" t="str">
        <f t="shared" si="49"/>
        <v/>
      </c>
      <c r="BE46" s="25" t="str">
        <f t="shared" si="5"/>
        <v/>
      </c>
      <c r="BF46" t="str">
        <f t="shared" si="50"/>
        <v/>
      </c>
      <c r="BG46" s="25" t="str">
        <f t="shared" si="6"/>
        <v/>
      </c>
      <c r="BH46" t="str">
        <f t="shared" si="51"/>
        <v/>
      </c>
      <c r="BI46" s="25" t="str">
        <f t="shared" si="7"/>
        <v/>
      </c>
      <c r="BJ46">
        <f t="shared" si="52"/>
        <v>71.3</v>
      </c>
      <c r="BK46" s="25">
        <f t="shared" si="8"/>
        <v>1</v>
      </c>
      <c r="CV46" s="25" t="s">
        <v>128</v>
      </c>
      <c r="CW46">
        <f>IFERROR(SUM(DI5:DI32),0)</f>
        <v>0</v>
      </c>
      <c r="DK46" s="25" t="s">
        <v>128</v>
      </c>
      <c r="DL46">
        <f>IFERROR(SUM(DX5:DX32),0)</f>
        <v>0</v>
      </c>
      <c r="EA46" s="25" t="s">
        <v>128</v>
      </c>
      <c r="EB46">
        <f t="shared" si="78"/>
        <v>0</v>
      </c>
      <c r="EC46">
        <f t="shared" si="79"/>
        <v>0</v>
      </c>
      <c r="ED46" t="str">
        <f t="shared" si="80"/>
        <v/>
      </c>
    </row>
    <row r="47" spans="1:134">
      <c r="A47">
        <v>10</v>
      </c>
      <c r="B47">
        <v>5</v>
      </c>
      <c r="C47">
        <v>145.30000000000001</v>
      </c>
      <c r="D47">
        <v>6</v>
      </c>
      <c r="E47">
        <v>5</v>
      </c>
      <c r="F47">
        <v>1260</v>
      </c>
      <c r="G47">
        <v>139.80000000000001</v>
      </c>
      <c r="H47">
        <v>71.2</v>
      </c>
      <c r="AR47" t="str">
        <f t="shared" si="40"/>
        <v/>
      </c>
      <c r="AS47" s="25" t="str">
        <f t="shared" si="41"/>
        <v/>
      </c>
      <c r="AT47" t="str">
        <f t="shared" si="42"/>
        <v/>
      </c>
      <c r="AU47" s="25" t="str">
        <f t="shared" si="43"/>
        <v/>
      </c>
      <c r="AV47" t="str">
        <f t="shared" si="44"/>
        <v/>
      </c>
      <c r="AW47" s="25" t="str">
        <f t="shared" si="43"/>
        <v/>
      </c>
      <c r="AX47" t="str">
        <f t="shared" si="45"/>
        <v/>
      </c>
      <c r="AY47" s="25" t="str">
        <f t="shared" si="3"/>
        <v/>
      </c>
      <c r="AZ47" t="str">
        <f t="shared" si="46"/>
        <v/>
      </c>
      <c r="BA47" s="25" t="str">
        <f t="shared" si="4"/>
        <v/>
      </c>
      <c r="BB47">
        <f t="shared" si="47"/>
        <v>139.80000000000001</v>
      </c>
      <c r="BC47" s="25">
        <f t="shared" si="48"/>
        <v>5</v>
      </c>
      <c r="BD47" t="str">
        <f t="shared" si="49"/>
        <v/>
      </c>
      <c r="BE47" s="25" t="str">
        <f t="shared" si="5"/>
        <v/>
      </c>
      <c r="BF47" t="str">
        <f t="shared" si="50"/>
        <v/>
      </c>
      <c r="BG47" s="25" t="str">
        <f t="shared" si="6"/>
        <v/>
      </c>
      <c r="BH47" t="str">
        <f t="shared" si="51"/>
        <v/>
      </c>
      <c r="BI47" s="25" t="str">
        <f t="shared" si="7"/>
        <v/>
      </c>
      <c r="BJ47" t="str">
        <f t="shared" si="52"/>
        <v/>
      </c>
      <c r="BK47" s="25" t="str">
        <f t="shared" si="8"/>
        <v/>
      </c>
      <c r="CV47" s="25" t="s">
        <v>138</v>
      </c>
      <c r="CW47">
        <f>IFERROR(SUM(DJ5:DJ32),0)</f>
        <v>0</v>
      </c>
      <c r="DK47" s="25" t="s">
        <v>138</v>
      </c>
      <c r="DL47">
        <f>IFERROR(SUM(DY5:DY32),0)</f>
        <v>0</v>
      </c>
      <c r="EA47" s="25" t="s">
        <v>138</v>
      </c>
      <c r="EB47">
        <f t="shared" si="78"/>
        <v>0</v>
      </c>
      <c r="EC47">
        <f t="shared" si="79"/>
        <v>0</v>
      </c>
      <c r="ED47" t="str">
        <f t="shared" si="80"/>
        <v/>
      </c>
    </row>
    <row r="48" spans="1:134">
      <c r="A48">
        <v>3</v>
      </c>
      <c r="B48">
        <v>12</v>
      </c>
      <c r="C48">
        <v>148.4</v>
      </c>
      <c r="D48">
        <v>1</v>
      </c>
      <c r="E48">
        <v>11</v>
      </c>
      <c r="F48">
        <v>1234</v>
      </c>
      <c r="G48">
        <v>430.9</v>
      </c>
      <c r="H48">
        <v>110.4</v>
      </c>
      <c r="AR48">
        <f t="shared" si="40"/>
        <v>430.9</v>
      </c>
      <c r="AS48" s="25">
        <f t="shared" si="41"/>
        <v>11</v>
      </c>
      <c r="AT48" t="str">
        <f t="shared" si="42"/>
        <v/>
      </c>
      <c r="AU48" s="25" t="str">
        <f t="shared" si="43"/>
        <v/>
      </c>
      <c r="AV48" t="str">
        <f t="shared" si="44"/>
        <v/>
      </c>
      <c r="AW48" s="25" t="str">
        <f t="shared" si="43"/>
        <v/>
      </c>
      <c r="AX48" t="str">
        <f t="shared" si="45"/>
        <v/>
      </c>
      <c r="AY48" s="25" t="str">
        <f t="shared" si="3"/>
        <v/>
      </c>
      <c r="AZ48" t="str">
        <f t="shared" si="46"/>
        <v/>
      </c>
      <c r="BA48" s="25" t="str">
        <f t="shared" si="4"/>
        <v/>
      </c>
      <c r="BB48" t="str">
        <f t="shared" si="47"/>
        <v/>
      </c>
      <c r="BC48" s="25" t="str">
        <f t="shared" si="48"/>
        <v/>
      </c>
      <c r="BD48" t="str">
        <f t="shared" si="49"/>
        <v/>
      </c>
      <c r="BE48" s="25" t="str">
        <f t="shared" si="5"/>
        <v/>
      </c>
      <c r="BF48" t="str">
        <f t="shared" si="50"/>
        <v/>
      </c>
      <c r="BG48" s="25" t="str">
        <f t="shared" si="6"/>
        <v/>
      </c>
      <c r="BH48" t="str">
        <f t="shared" si="51"/>
        <v/>
      </c>
      <c r="BI48" s="25" t="str">
        <f t="shared" si="7"/>
        <v/>
      </c>
      <c r="BJ48" t="str">
        <f t="shared" si="52"/>
        <v/>
      </c>
      <c r="BK48" s="25" t="str">
        <f t="shared" si="8"/>
        <v/>
      </c>
    </row>
    <row r="49" spans="1:63">
      <c r="A49">
        <v>11</v>
      </c>
      <c r="B49">
        <v>9</v>
      </c>
      <c r="C49">
        <v>151.19999999999999</v>
      </c>
      <c r="D49">
        <v>7</v>
      </c>
      <c r="E49">
        <v>3</v>
      </c>
      <c r="F49">
        <v>1211</v>
      </c>
      <c r="G49">
        <v>99.1</v>
      </c>
      <c r="H49">
        <v>59.9</v>
      </c>
      <c r="AR49" t="str">
        <f t="shared" si="40"/>
        <v/>
      </c>
      <c r="AS49" s="25" t="str">
        <f t="shared" si="41"/>
        <v/>
      </c>
      <c r="AT49" t="str">
        <f t="shared" si="42"/>
        <v/>
      </c>
      <c r="AU49" s="25" t="str">
        <f t="shared" si="43"/>
        <v/>
      </c>
      <c r="AV49" t="str">
        <f t="shared" si="44"/>
        <v/>
      </c>
      <c r="AW49" s="25" t="str">
        <f t="shared" si="43"/>
        <v/>
      </c>
      <c r="AX49" t="str">
        <f t="shared" si="45"/>
        <v/>
      </c>
      <c r="AY49" s="25" t="str">
        <f t="shared" si="3"/>
        <v/>
      </c>
      <c r="AZ49" t="str">
        <f t="shared" si="46"/>
        <v/>
      </c>
      <c r="BA49" s="25" t="str">
        <f t="shared" si="4"/>
        <v/>
      </c>
      <c r="BB49" t="str">
        <f t="shared" si="47"/>
        <v/>
      </c>
      <c r="BC49" s="25" t="str">
        <f t="shared" si="48"/>
        <v/>
      </c>
      <c r="BD49">
        <f t="shared" si="49"/>
        <v>99.1</v>
      </c>
      <c r="BE49" s="25">
        <f t="shared" si="5"/>
        <v>3</v>
      </c>
      <c r="BF49" t="str">
        <f t="shared" si="50"/>
        <v/>
      </c>
      <c r="BG49" s="25" t="str">
        <f t="shared" si="6"/>
        <v/>
      </c>
      <c r="BH49" t="str">
        <f t="shared" si="51"/>
        <v/>
      </c>
      <c r="BI49" s="25" t="str">
        <f t="shared" si="7"/>
        <v/>
      </c>
      <c r="BJ49" t="str">
        <f t="shared" si="52"/>
        <v/>
      </c>
      <c r="BK49" s="25" t="str">
        <f t="shared" si="8"/>
        <v/>
      </c>
    </row>
    <row r="50" spans="1:63">
      <c r="A50">
        <v>6</v>
      </c>
      <c r="B50">
        <v>11</v>
      </c>
      <c r="C50">
        <v>175.5</v>
      </c>
      <c r="D50">
        <v>4</v>
      </c>
      <c r="E50">
        <v>7</v>
      </c>
      <c r="F50">
        <v>1043</v>
      </c>
      <c r="G50">
        <v>241.9</v>
      </c>
      <c r="H50">
        <v>101.7</v>
      </c>
      <c r="AR50" t="str">
        <f t="shared" ref="AR50:AR59" si="81">IF($D50=AR$4,$H50,"")</f>
        <v/>
      </c>
      <c r="AS50" s="25" t="str">
        <f t="shared" si="41"/>
        <v/>
      </c>
      <c r="AT50" t="str">
        <f t="shared" ref="AT50:AT59" si="82">IF($D50=AT$4,$H50,"")</f>
        <v/>
      </c>
      <c r="AU50" s="25" t="str">
        <f t="shared" si="43"/>
        <v/>
      </c>
      <c r="AV50" t="str">
        <f t="shared" ref="AV50:AV59" si="83">IF($D50=AV$4,$H50,"")</f>
        <v/>
      </c>
      <c r="AW50" s="25" t="str">
        <f t="shared" si="43"/>
        <v/>
      </c>
      <c r="AX50">
        <f t="shared" ref="AX50:AX59" si="84">IF($D50=AX$4,$H50,"")</f>
        <v>101.7</v>
      </c>
      <c r="AY50" s="25">
        <f t="shared" si="3"/>
        <v>7</v>
      </c>
      <c r="AZ50" t="str">
        <f t="shared" ref="AZ50:AZ59" si="85">IF($D50=AZ$4,$H50,"")</f>
        <v/>
      </c>
      <c r="BA50" s="25" t="str">
        <f t="shared" si="4"/>
        <v/>
      </c>
      <c r="BB50" t="str">
        <f t="shared" ref="BB50:BB59" si="86">IF($D50=BB$4,$H50,"")</f>
        <v/>
      </c>
      <c r="BC50" s="25" t="str">
        <f t="shared" si="48"/>
        <v/>
      </c>
      <c r="BD50" t="str">
        <f t="shared" ref="BD50:BD59" si="87">IF($D50=BD$4,$H50,"")</f>
        <v/>
      </c>
      <c r="BE50" s="25" t="str">
        <f t="shared" si="5"/>
        <v/>
      </c>
      <c r="BF50" t="str">
        <f t="shared" ref="BF50:BF59" si="88">IF($D50=BF$4,$H50,"")</f>
        <v/>
      </c>
      <c r="BG50" s="25" t="str">
        <f t="shared" si="6"/>
        <v/>
      </c>
      <c r="BH50" t="str">
        <f t="shared" ref="BH50:BH59" si="89">IF($D50=BH$4,$H50,"")</f>
        <v/>
      </c>
      <c r="BI50" s="25" t="str">
        <f t="shared" si="7"/>
        <v/>
      </c>
      <c r="BJ50" t="str">
        <f t="shared" ref="BJ50:BJ59" si="90">IF($D50=BJ$4,$H50,"")</f>
        <v/>
      </c>
      <c r="BK50" s="25" t="str">
        <f t="shared" si="8"/>
        <v/>
      </c>
    </row>
    <row r="51" spans="1:63">
      <c r="A51">
        <v>11</v>
      </c>
      <c r="B51">
        <v>13</v>
      </c>
      <c r="C51">
        <v>185.3</v>
      </c>
      <c r="D51">
        <v>7</v>
      </c>
      <c r="E51">
        <v>2</v>
      </c>
      <c r="F51">
        <v>988</v>
      </c>
      <c r="G51">
        <v>115.5</v>
      </c>
      <c r="H51">
        <v>71.2</v>
      </c>
      <c r="AR51" t="str">
        <f t="shared" si="81"/>
        <v/>
      </c>
      <c r="AS51" s="25" t="str">
        <f t="shared" si="41"/>
        <v/>
      </c>
      <c r="AT51" t="str">
        <f t="shared" si="82"/>
        <v/>
      </c>
      <c r="AU51" s="25" t="str">
        <f t="shared" si="43"/>
        <v/>
      </c>
      <c r="AV51" t="str">
        <f t="shared" si="83"/>
        <v/>
      </c>
      <c r="AW51" s="25" t="str">
        <f t="shared" si="43"/>
        <v/>
      </c>
      <c r="AX51" t="str">
        <f t="shared" si="84"/>
        <v/>
      </c>
      <c r="AY51" s="25" t="str">
        <f t="shared" si="3"/>
        <v/>
      </c>
      <c r="AZ51" t="str">
        <f t="shared" si="85"/>
        <v/>
      </c>
      <c r="BA51" s="25" t="str">
        <f t="shared" si="4"/>
        <v/>
      </c>
      <c r="BB51" t="str">
        <f t="shared" si="86"/>
        <v/>
      </c>
      <c r="BC51" s="25" t="str">
        <f t="shared" si="48"/>
        <v/>
      </c>
      <c r="BD51">
        <f t="shared" si="87"/>
        <v>71.2</v>
      </c>
      <c r="BE51" s="25">
        <f t="shared" si="5"/>
        <v>2</v>
      </c>
      <c r="BF51" t="str">
        <f t="shared" si="88"/>
        <v/>
      </c>
      <c r="BG51" s="25" t="str">
        <f t="shared" si="6"/>
        <v/>
      </c>
      <c r="BH51" t="str">
        <f t="shared" si="89"/>
        <v/>
      </c>
      <c r="BI51" s="25" t="str">
        <f t="shared" si="7"/>
        <v/>
      </c>
      <c r="BJ51" t="str">
        <f t="shared" si="90"/>
        <v/>
      </c>
      <c r="BK51" s="25" t="str">
        <f t="shared" si="8"/>
        <v/>
      </c>
    </row>
    <row r="52" spans="1:63">
      <c r="A52">
        <v>9</v>
      </c>
      <c r="B52">
        <v>15</v>
      </c>
      <c r="C52">
        <v>192.5</v>
      </c>
      <c r="D52">
        <v>3</v>
      </c>
      <c r="E52">
        <v>8</v>
      </c>
      <c r="F52">
        <v>951</v>
      </c>
      <c r="G52">
        <v>330.5</v>
      </c>
      <c r="H52">
        <v>121.6</v>
      </c>
      <c r="AR52" t="str">
        <f t="shared" si="81"/>
        <v/>
      </c>
      <c r="AS52" s="25" t="str">
        <f t="shared" si="41"/>
        <v/>
      </c>
      <c r="AT52" t="str">
        <f t="shared" si="82"/>
        <v/>
      </c>
      <c r="AU52" s="25" t="str">
        <f t="shared" si="43"/>
        <v/>
      </c>
      <c r="AV52">
        <f t="shared" si="83"/>
        <v>121.6</v>
      </c>
      <c r="AW52" s="25">
        <f t="shared" si="43"/>
        <v>8</v>
      </c>
      <c r="AX52" t="str">
        <f t="shared" si="84"/>
        <v/>
      </c>
      <c r="AY52" s="25" t="str">
        <f t="shared" si="3"/>
        <v/>
      </c>
      <c r="AZ52" t="str">
        <f t="shared" si="85"/>
        <v/>
      </c>
      <c r="BA52" s="25" t="str">
        <f t="shared" si="4"/>
        <v/>
      </c>
      <c r="BB52" t="str">
        <f t="shared" si="86"/>
        <v/>
      </c>
      <c r="BC52" s="25" t="str">
        <f t="shared" si="48"/>
        <v/>
      </c>
      <c r="BD52" t="str">
        <f t="shared" si="87"/>
        <v/>
      </c>
      <c r="BE52" s="25" t="str">
        <f t="shared" si="5"/>
        <v/>
      </c>
      <c r="BF52" t="str">
        <f t="shared" si="88"/>
        <v/>
      </c>
      <c r="BG52" s="25" t="str">
        <f t="shared" si="6"/>
        <v/>
      </c>
      <c r="BH52" t="str">
        <f t="shared" si="89"/>
        <v/>
      </c>
      <c r="BI52" s="25" t="str">
        <f t="shared" si="7"/>
        <v/>
      </c>
      <c r="BJ52" t="str">
        <f t="shared" si="90"/>
        <v/>
      </c>
      <c r="BK52" s="25" t="str">
        <f t="shared" si="8"/>
        <v/>
      </c>
    </row>
    <row r="53" spans="1:63">
      <c r="A53">
        <v>5</v>
      </c>
      <c r="B53">
        <v>11</v>
      </c>
      <c r="C53">
        <v>194</v>
      </c>
      <c r="D53">
        <v>5</v>
      </c>
      <c r="E53">
        <v>7</v>
      </c>
      <c r="F53">
        <v>944</v>
      </c>
      <c r="G53">
        <v>225.8</v>
      </c>
      <c r="H53">
        <v>104.3</v>
      </c>
      <c r="AR53" t="str">
        <f t="shared" si="81"/>
        <v/>
      </c>
      <c r="AS53" s="25" t="str">
        <f t="shared" si="41"/>
        <v/>
      </c>
      <c r="AT53" t="str">
        <f t="shared" si="82"/>
        <v/>
      </c>
      <c r="AU53" s="25" t="str">
        <f t="shared" si="43"/>
        <v/>
      </c>
      <c r="AV53" t="str">
        <f t="shared" si="83"/>
        <v/>
      </c>
      <c r="AW53" s="25" t="str">
        <f t="shared" si="43"/>
        <v/>
      </c>
      <c r="AX53" t="str">
        <f t="shared" si="84"/>
        <v/>
      </c>
      <c r="AY53" s="25" t="str">
        <f t="shared" si="3"/>
        <v/>
      </c>
      <c r="AZ53">
        <f t="shared" si="85"/>
        <v>104.3</v>
      </c>
      <c r="BA53" s="25">
        <f t="shared" si="4"/>
        <v>7</v>
      </c>
      <c r="BB53" t="str">
        <f t="shared" si="86"/>
        <v/>
      </c>
      <c r="BC53" s="25" t="str">
        <f t="shared" si="48"/>
        <v/>
      </c>
      <c r="BD53" t="str">
        <f t="shared" si="87"/>
        <v/>
      </c>
      <c r="BE53" s="25" t="str">
        <f t="shared" si="5"/>
        <v/>
      </c>
      <c r="BF53" t="str">
        <f t="shared" si="88"/>
        <v/>
      </c>
      <c r="BG53" s="25" t="str">
        <f t="shared" si="6"/>
        <v/>
      </c>
      <c r="BH53" t="str">
        <f t="shared" si="89"/>
        <v/>
      </c>
      <c r="BI53" s="25" t="str">
        <f t="shared" si="7"/>
        <v/>
      </c>
      <c r="BJ53" t="str">
        <f t="shared" si="90"/>
        <v/>
      </c>
      <c r="BK53" s="25" t="str">
        <f t="shared" si="8"/>
        <v/>
      </c>
    </row>
    <row r="54" spans="1:63">
      <c r="A54">
        <v>9</v>
      </c>
      <c r="B54">
        <v>2</v>
      </c>
      <c r="C54">
        <v>195.2</v>
      </c>
      <c r="D54">
        <v>3</v>
      </c>
      <c r="E54">
        <v>10</v>
      </c>
      <c r="F54">
        <v>938</v>
      </c>
      <c r="G54">
        <v>282.60000000000002</v>
      </c>
      <c r="H54">
        <v>115.5</v>
      </c>
      <c r="AR54" t="str">
        <f t="shared" si="81"/>
        <v/>
      </c>
      <c r="AS54" s="25" t="str">
        <f t="shared" si="41"/>
        <v/>
      </c>
      <c r="AT54" t="str">
        <f t="shared" si="82"/>
        <v/>
      </c>
      <c r="AU54" s="25" t="str">
        <f t="shared" si="43"/>
        <v/>
      </c>
      <c r="AV54">
        <f t="shared" si="83"/>
        <v>115.5</v>
      </c>
      <c r="AW54" s="25">
        <f t="shared" si="43"/>
        <v>10</v>
      </c>
      <c r="AX54" t="str">
        <f t="shared" si="84"/>
        <v/>
      </c>
      <c r="AY54" s="25" t="str">
        <f t="shared" si="3"/>
        <v/>
      </c>
      <c r="AZ54" t="str">
        <f t="shared" si="85"/>
        <v/>
      </c>
      <c r="BA54" s="25" t="str">
        <f t="shared" si="4"/>
        <v/>
      </c>
      <c r="BB54" t="str">
        <f t="shared" si="86"/>
        <v/>
      </c>
      <c r="BC54" s="25" t="str">
        <f t="shared" si="48"/>
        <v/>
      </c>
      <c r="BD54" t="str">
        <f t="shared" si="87"/>
        <v/>
      </c>
      <c r="BE54" s="25" t="str">
        <f t="shared" si="5"/>
        <v/>
      </c>
      <c r="BF54" t="str">
        <f t="shared" si="88"/>
        <v/>
      </c>
      <c r="BG54" s="25" t="str">
        <f t="shared" si="6"/>
        <v/>
      </c>
      <c r="BH54" t="str">
        <f t="shared" si="89"/>
        <v/>
      </c>
      <c r="BI54" s="25" t="str">
        <f t="shared" si="7"/>
        <v/>
      </c>
      <c r="BJ54" t="str">
        <f t="shared" si="90"/>
        <v/>
      </c>
      <c r="BK54" s="25" t="str">
        <f t="shared" si="8"/>
        <v/>
      </c>
    </row>
    <row r="55" spans="1:63">
      <c r="A55">
        <v>6</v>
      </c>
      <c r="B55">
        <v>1</v>
      </c>
      <c r="C55">
        <v>211.4</v>
      </c>
      <c r="D55">
        <v>4</v>
      </c>
      <c r="E55">
        <v>9</v>
      </c>
      <c r="F55">
        <v>866</v>
      </c>
      <c r="G55">
        <v>314.10000000000002</v>
      </c>
      <c r="H55">
        <v>126.4</v>
      </c>
      <c r="AR55" t="str">
        <f t="shared" si="81"/>
        <v/>
      </c>
      <c r="AS55" s="25" t="str">
        <f t="shared" si="41"/>
        <v/>
      </c>
      <c r="AT55" t="str">
        <f t="shared" si="82"/>
        <v/>
      </c>
      <c r="AU55" s="25" t="str">
        <f t="shared" si="43"/>
        <v/>
      </c>
      <c r="AV55" t="str">
        <f t="shared" si="83"/>
        <v/>
      </c>
      <c r="AW55" s="25" t="str">
        <f t="shared" si="43"/>
        <v/>
      </c>
      <c r="AX55">
        <f t="shared" si="84"/>
        <v>126.4</v>
      </c>
      <c r="AY55" s="25">
        <f t="shared" si="3"/>
        <v>9</v>
      </c>
      <c r="AZ55" t="str">
        <f t="shared" si="85"/>
        <v/>
      </c>
      <c r="BA55" s="25" t="str">
        <f t="shared" si="4"/>
        <v/>
      </c>
      <c r="BB55" t="str">
        <f t="shared" si="86"/>
        <v/>
      </c>
      <c r="BC55" s="25" t="str">
        <f t="shared" si="48"/>
        <v/>
      </c>
      <c r="BD55" t="str">
        <f t="shared" si="87"/>
        <v/>
      </c>
      <c r="BE55" s="25" t="str">
        <f t="shared" si="5"/>
        <v/>
      </c>
      <c r="BF55" t="str">
        <f t="shared" si="88"/>
        <v/>
      </c>
      <c r="BG55" s="25" t="str">
        <f t="shared" si="6"/>
        <v/>
      </c>
      <c r="BH55" t="str">
        <f t="shared" si="89"/>
        <v/>
      </c>
      <c r="BI55" s="25" t="str">
        <f t="shared" si="7"/>
        <v/>
      </c>
      <c r="BJ55" t="str">
        <f t="shared" si="90"/>
        <v/>
      </c>
      <c r="BK55" s="25" t="str">
        <f t="shared" si="8"/>
        <v/>
      </c>
    </row>
    <row r="56" spans="1:63">
      <c r="A56">
        <v>1</v>
      </c>
      <c r="B56">
        <v>9</v>
      </c>
      <c r="C56">
        <v>216.7</v>
      </c>
      <c r="D56">
        <v>9</v>
      </c>
      <c r="E56">
        <v>3</v>
      </c>
      <c r="F56">
        <v>845</v>
      </c>
      <c r="G56">
        <v>139.80000000000001</v>
      </c>
      <c r="H56">
        <v>85</v>
      </c>
      <c r="AR56" t="str">
        <f t="shared" si="81"/>
        <v/>
      </c>
      <c r="AS56" s="25" t="str">
        <f t="shared" si="41"/>
        <v/>
      </c>
      <c r="AT56" t="str">
        <f t="shared" si="82"/>
        <v/>
      </c>
      <c r="AU56" s="25" t="str">
        <f t="shared" si="43"/>
        <v/>
      </c>
      <c r="AV56" t="str">
        <f t="shared" si="83"/>
        <v/>
      </c>
      <c r="AW56" s="25" t="str">
        <f t="shared" si="43"/>
        <v/>
      </c>
      <c r="AX56" t="str">
        <f t="shared" si="84"/>
        <v/>
      </c>
      <c r="AY56" s="25" t="str">
        <f t="shared" si="3"/>
        <v/>
      </c>
      <c r="AZ56" t="str">
        <f t="shared" si="85"/>
        <v/>
      </c>
      <c r="BA56" s="25" t="str">
        <f t="shared" si="4"/>
        <v/>
      </c>
      <c r="BB56" t="str">
        <f t="shared" si="86"/>
        <v/>
      </c>
      <c r="BC56" s="25" t="str">
        <f t="shared" si="48"/>
        <v/>
      </c>
      <c r="BD56" t="str">
        <f t="shared" si="87"/>
        <v/>
      </c>
      <c r="BE56" s="25" t="str">
        <f t="shared" si="5"/>
        <v/>
      </c>
      <c r="BF56" t="str">
        <f t="shared" si="88"/>
        <v/>
      </c>
      <c r="BG56" s="25" t="str">
        <f t="shared" si="6"/>
        <v/>
      </c>
      <c r="BH56">
        <f t="shared" si="89"/>
        <v>85</v>
      </c>
      <c r="BI56" s="25">
        <f t="shared" si="7"/>
        <v>3</v>
      </c>
      <c r="BJ56" t="str">
        <f t="shared" si="90"/>
        <v/>
      </c>
      <c r="BK56" s="25" t="str">
        <f t="shared" si="8"/>
        <v/>
      </c>
    </row>
    <row r="57" spans="1:63">
      <c r="A57">
        <v>11</v>
      </c>
      <c r="B57">
        <v>5</v>
      </c>
      <c r="C57">
        <v>225.8</v>
      </c>
      <c r="D57">
        <v>7</v>
      </c>
      <c r="E57">
        <v>5</v>
      </c>
      <c r="F57">
        <v>811</v>
      </c>
      <c r="G57">
        <v>194</v>
      </c>
      <c r="H57">
        <v>104.3</v>
      </c>
      <c r="AR57" t="str">
        <f t="shared" si="81"/>
        <v/>
      </c>
      <c r="AS57" s="25" t="str">
        <f t="shared" si="41"/>
        <v/>
      </c>
      <c r="AT57" t="str">
        <f t="shared" si="82"/>
        <v/>
      </c>
      <c r="AU57" s="25" t="str">
        <f t="shared" si="43"/>
        <v/>
      </c>
      <c r="AV57" t="str">
        <f t="shared" si="83"/>
        <v/>
      </c>
      <c r="AW57" s="25" t="str">
        <f t="shared" si="43"/>
        <v/>
      </c>
      <c r="AX57" t="str">
        <f t="shared" si="84"/>
        <v/>
      </c>
      <c r="AY57" s="25" t="str">
        <f t="shared" si="3"/>
        <v/>
      </c>
      <c r="AZ57" t="str">
        <f t="shared" si="85"/>
        <v/>
      </c>
      <c r="BA57" s="25" t="str">
        <f t="shared" si="4"/>
        <v/>
      </c>
      <c r="BB57" t="str">
        <f t="shared" si="86"/>
        <v/>
      </c>
      <c r="BC57" s="25" t="str">
        <f t="shared" si="48"/>
        <v/>
      </c>
      <c r="BD57">
        <f t="shared" si="87"/>
        <v>104.3</v>
      </c>
      <c r="BE57" s="25">
        <f t="shared" si="5"/>
        <v>5</v>
      </c>
      <c r="BF57" t="str">
        <f t="shared" si="88"/>
        <v/>
      </c>
      <c r="BG57" s="25" t="str">
        <f t="shared" si="6"/>
        <v/>
      </c>
      <c r="BH57" t="str">
        <f t="shared" si="89"/>
        <v/>
      </c>
      <c r="BI57" s="25" t="str">
        <f t="shared" si="7"/>
        <v/>
      </c>
      <c r="BJ57" t="str">
        <f t="shared" si="90"/>
        <v/>
      </c>
      <c r="BK57" s="25" t="str">
        <f t="shared" si="8"/>
        <v/>
      </c>
    </row>
    <row r="58" spans="1:63">
      <c r="A58">
        <v>13</v>
      </c>
      <c r="B58">
        <v>2</v>
      </c>
      <c r="C58">
        <v>233.8</v>
      </c>
      <c r="D58">
        <v>2</v>
      </c>
      <c r="E58">
        <v>10</v>
      </c>
      <c r="F58">
        <v>783</v>
      </c>
      <c r="G58">
        <v>384.7</v>
      </c>
      <c r="H58">
        <v>145.4</v>
      </c>
      <c r="AR58" t="str">
        <f t="shared" si="81"/>
        <v/>
      </c>
      <c r="AS58" s="25" t="str">
        <f t="shared" si="41"/>
        <v/>
      </c>
      <c r="AT58">
        <f t="shared" si="82"/>
        <v>145.4</v>
      </c>
      <c r="AU58" s="25">
        <f t="shared" si="43"/>
        <v>10</v>
      </c>
      <c r="AV58" t="str">
        <f t="shared" si="83"/>
        <v/>
      </c>
      <c r="AW58" s="25" t="str">
        <f t="shared" si="43"/>
        <v/>
      </c>
      <c r="AX58" t="str">
        <f t="shared" si="84"/>
        <v/>
      </c>
      <c r="AY58" s="25" t="str">
        <f t="shared" si="3"/>
        <v/>
      </c>
      <c r="AZ58" t="str">
        <f t="shared" si="85"/>
        <v/>
      </c>
      <c r="BA58" s="25" t="str">
        <f t="shared" si="4"/>
        <v/>
      </c>
      <c r="BB58" t="str">
        <f t="shared" si="86"/>
        <v/>
      </c>
      <c r="BC58" s="25" t="str">
        <f t="shared" si="48"/>
        <v/>
      </c>
      <c r="BD58" t="str">
        <f t="shared" si="87"/>
        <v/>
      </c>
      <c r="BE58" s="25" t="str">
        <f t="shared" si="5"/>
        <v/>
      </c>
      <c r="BF58" t="str">
        <f t="shared" si="88"/>
        <v/>
      </c>
      <c r="BG58" s="25" t="str">
        <f t="shared" si="6"/>
        <v/>
      </c>
      <c r="BH58" t="str">
        <f t="shared" si="89"/>
        <v/>
      </c>
      <c r="BI58" s="25" t="str">
        <f t="shared" si="7"/>
        <v/>
      </c>
      <c r="BJ58" t="str">
        <f t="shared" si="90"/>
        <v/>
      </c>
      <c r="BK58" s="25" t="str">
        <f t="shared" si="8"/>
        <v/>
      </c>
    </row>
    <row r="59" spans="1:63">
      <c r="A59">
        <v>11</v>
      </c>
      <c r="B59">
        <v>6</v>
      </c>
      <c r="C59">
        <v>241.9</v>
      </c>
      <c r="D59">
        <v>7</v>
      </c>
      <c r="E59">
        <v>4</v>
      </c>
      <c r="F59">
        <v>757</v>
      </c>
      <c r="G59">
        <v>175.5</v>
      </c>
      <c r="H59">
        <v>101.7</v>
      </c>
      <c r="AR59" t="str">
        <f t="shared" si="81"/>
        <v/>
      </c>
      <c r="AS59" s="25" t="str">
        <f t="shared" si="41"/>
        <v/>
      </c>
      <c r="AT59" t="str">
        <f t="shared" si="82"/>
        <v/>
      </c>
      <c r="AU59" s="25" t="str">
        <f t="shared" si="43"/>
        <v/>
      </c>
      <c r="AV59" t="str">
        <f t="shared" si="83"/>
        <v/>
      </c>
      <c r="AW59" s="25" t="str">
        <f t="shared" si="43"/>
        <v/>
      </c>
      <c r="AX59" t="str">
        <f t="shared" si="84"/>
        <v/>
      </c>
      <c r="AY59" s="25" t="str">
        <f t="shared" si="3"/>
        <v/>
      </c>
      <c r="AZ59" t="str">
        <f t="shared" si="85"/>
        <v/>
      </c>
      <c r="BA59" s="25" t="str">
        <f t="shared" si="4"/>
        <v/>
      </c>
      <c r="BB59" t="str">
        <f t="shared" si="86"/>
        <v/>
      </c>
      <c r="BC59" s="25" t="str">
        <f t="shared" si="48"/>
        <v/>
      </c>
      <c r="BD59">
        <f t="shared" si="87"/>
        <v>101.7</v>
      </c>
      <c r="BE59" s="25">
        <f t="shared" si="5"/>
        <v>4</v>
      </c>
      <c r="BF59" t="str">
        <f t="shared" si="88"/>
        <v/>
      </c>
      <c r="BG59" s="25" t="str">
        <f t="shared" si="6"/>
        <v/>
      </c>
      <c r="BH59" t="str">
        <f t="shared" si="89"/>
        <v/>
      </c>
      <c r="BI59" s="25" t="str">
        <f t="shared" si="7"/>
        <v/>
      </c>
      <c r="BJ59" t="str">
        <f t="shared" si="90"/>
        <v/>
      </c>
      <c r="BK59" s="25" t="str">
        <f t="shared" si="8"/>
        <v/>
      </c>
    </row>
    <row r="60" spans="1:63">
      <c r="A60">
        <v>1</v>
      </c>
      <c r="B60">
        <v>13</v>
      </c>
      <c r="C60">
        <v>246.4</v>
      </c>
      <c r="D60">
        <v>9</v>
      </c>
      <c r="E60">
        <v>2</v>
      </c>
      <c r="F60">
        <v>743</v>
      </c>
      <c r="G60">
        <v>130</v>
      </c>
      <c r="H60">
        <v>85.1</v>
      </c>
      <c r="AR60" t="str">
        <f t="shared" si="40"/>
        <v/>
      </c>
      <c r="AS60" s="25" t="str">
        <f t="shared" si="41"/>
        <v/>
      </c>
      <c r="AT60" t="str">
        <f t="shared" si="42"/>
        <v/>
      </c>
      <c r="AU60" s="25" t="str">
        <f t="shared" si="43"/>
        <v/>
      </c>
      <c r="AV60" t="str">
        <f t="shared" si="44"/>
        <v/>
      </c>
      <c r="AW60" s="25" t="str">
        <f t="shared" si="43"/>
        <v/>
      </c>
      <c r="AX60" t="str">
        <f t="shared" si="45"/>
        <v/>
      </c>
      <c r="AY60" s="25" t="str">
        <f t="shared" si="3"/>
        <v/>
      </c>
      <c r="AZ60" t="str">
        <f t="shared" si="46"/>
        <v/>
      </c>
      <c r="BA60" s="25" t="str">
        <f t="shared" si="4"/>
        <v/>
      </c>
      <c r="BB60" t="str">
        <f t="shared" si="47"/>
        <v/>
      </c>
      <c r="BC60" s="25" t="str">
        <f t="shared" si="48"/>
        <v/>
      </c>
      <c r="BD60" t="str">
        <f t="shared" si="49"/>
        <v/>
      </c>
      <c r="BE60" s="25" t="str">
        <f t="shared" si="5"/>
        <v/>
      </c>
      <c r="BF60" t="str">
        <f t="shared" si="50"/>
        <v/>
      </c>
      <c r="BG60" s="25" t="str">
        <f t="shared" si="6"/>
        <v/>
      </c>
      <c r="BH60">
        <f t="shared" si="51"/>
        <v>130</v>
      </c>
      <c r="BI60" s="25">
        <f t="shared" si="7"/>
        <v>2</v>
      </c>
      <c r="BJ60" t="str">
        <f t="shared" si="52"/>
        <v/>
      </c>
      <c r="BK60" s="25" t="str">
        <f t="shared" si="8"/>
        <v/>
      </c>
    </row>
    <row r="61" spans="1:63">
      <c r="A61">
        <v>2</v>
      </c>
      <c r="B61">
        <v>9</v>
      </c>
      <c r="C61">
        <v>282.60000000000002</v>
      </c>
      <c r="D61">
        <v>10</v>
      </c>
      <c r="E61">
        <v>3</v>
      </c>
      <c r="F61">
        <v>648</v>
      </c>
      <c r="G61">
        <v>195.2</v>
      </c>
      <c r="H61">
        <v>115.5</v>
      </c>
      <c r="AR61" t="str">
        <f t="shared" si="40"/>
        <v/>
      </c>
      <c r="AS61" s="25" t="str">
        <f t="shared" si="41"/>
        <v/>
      </c>
      <c r="AT61" t="str">
        <f t="shared" si="42"/>
        <v/>
      </c>
      <c r="AU61" s="25" t="str">
        <f t="shared" si="43"/>
        <v/>
      </c>
      <c r="AV61" t="str">
        <f t="shared" si="44"/>
        <v/>
      </c>
      <c r="AW61" s="25" t="str">
        <f t="shared" si="43"/>
        <v/>
      </c>
      <c r="AX61" t="str">
        <f t="shared" si="45"/>
        <v/>
      </c>
      <c r="AY61" s="25" t="str">
        <f t="shared" si="3"/>
        <v/>
      </c>
      <c r="AZ61" t="str">
        <f t="shared" si="46"/>
        <v/>
      </c>
      <c r="BA61" s="25" t="str">
        <f t="shared" si="4"/>
        <v/>
      </c>
      <c r="BB61" t="str">
        <f t="shared" si="47"/>
        <v/>
      </c>
      <c r="BC61" s="25" t="str">
        <f t="shared" si="48"/>
        <v/>
      </c>
      <c r="BD61" t="str">
        <f t="shared" si="49"/>
        <v/>
      </c>
      <c r="BE61" s="25" t="str">
        <f t="shared" si="5"/>
        <v/>
      </c>
      <c r="BF61" t="str">
        <f t="shared" si="50"/>
        <v/>
      </c>
      <c r="BG61" s="25" t="str">
        <f t="shared" si="6"/>
        <v/>
      </c>
      <c r="BH61" t="str">
        <f t="shared" si="51"/>
        <v/>
      </c>
      <c r="BI61" s="25" t="str">
        <f t="shared" si="7"/>
        <v/>
      </c>
      <c r="BJ61">
        <f t="shared" si="52"/>
        <v>195.2</v>
      </c>
      <c r="BK61" s="25">
        <f t="shared" si="8"/>
        <v>3</v>
      </c>
    </row>
    <row r="62" spans="1:63">
      <c r="A62">
        <v>10</v>
      </c>
      <c r="B62">
        <v>1</v>
      </c>
      <c r="C62">
        <v>285.2</v>
      </c>
      <c r="D62">
        <v>6</v>
      </c>
      <c r="E62">
        <v>9</v>
      </c>
      <c r="F62">
        <v>642</v>
      </c>
      <c r="G62">
        <v>376</v>
      </c>
      <c r="H62">
        <v>162.19999999999999</v>
      </c>
      <c r="AR62" t="str">
        <f t="shared" si="40"/>
        <v/>
      </c>
      <c r="AS62" s="25" t="str">
        <f t="shared" si="41"/>
        <v/>
      </c>
      <c r="AT62" t="str">
        <f t="shared" si="42"/>
        <v/>
      </c>
      <c r="AU62" s="25" t="str">
        <f t="shared" si="43"/>
        <v/>
      </c>
      <c r="AV62" t="str">
        <f t="shared" si="44"/>
        <v/>
      </c>
      <c r="AW62" s="25" t="str">
        <f t="shared" si="43"/>
        <v/>
      </c>
      <c r="AX62" t="str">
        <f t="shared" si="45"/>
        <v/>
      </c>
      <c r="AY62" s="25" t="str">
        <f t="shared" si="3"/>
        <v/>
      </c>
      <c r="AZ62" t="str">
        <f t="shared" si="46"/>
        <v/>
      </c>
      <c r="BA62" s="25" t="str">
        <f t="shared" si="4"/>
        <v/>
      </c>
      <c r="BB62">
        <f t="shared" si="47"/>
        <v>376</v>
      </c>
      <c r="BC62" s="25">
        <f t="shared" si="48"/>
        <v>9</v>
      </c>
      <c r="BD62" t="str">
        <f t="shared" si="49"/>
        <v/>
      </c>
      <c r="BE62" s="25" t="str">
        <f t="shared" si="5"/>
        <v/>
      </c>
      <c r="BF62" t="str">
        <f t="shared" si="50"/>
        <v/>
      </c>
      <c r="BG62" s="25" t="str">
        <f t="shared" si="6"/>
        <v/>
      </c>
      <c r="BH62" t="str">
        <f t="shared" si="51"/>
        <v/>
      </c>
      <c r="BI62" s="25" t="str">
        <f t="shared" si="7"/>
        <v/>
      </c>
      <c r="BJ62" t="str">
        <f t="shared" si="52"/>
        <v/>
      </c>
      <c r="BK62" s="25" t="str">
        <f t="shared" si="8"/>
        <v/>
      </c>
    </row>
    <row r="63" spans="1:63">
      <c r="A63">
        <v>15</v>
      </c>
      <c r="B63">
        <v>13</v>
      </c>
      <c r="C63">
        <v>285.2</v>
      </c>
      <c r="D63">
        <v>8</v>
      </c>
      <c r="E63">
        <v>2</v>
      </c>
      <c r="F63">
        <v>642</v>
      </c>
      <c r="G63">
        <v>143.5</v>
      </c>
      <c r="H63">
        <v>95.5</v>
      </c>
      <c r="AR63" t="str">
        <f t="shared" si="40"/>
        <v/>
      </c>
      <c r="AS63" s="25" t="str">
        <f t="shared" si="41"/>
        <v/>
      </c>
      <c r="AT63" t="str">
        <f t="shared" si="42"/>
        <v/>
      </c>
      <c r="AU63" s="25" t="str">
        <f t="shared" si="43"/>
        <v/>
      </c>
      <c r="AV63" t="str">
        <f t="shared" si="44"/>
        <v/>
      </c>
      <c r="AW63" s="25" t="str">
        <f t="shared" si="43"/>
        <v/>
      </c>
      <c r="AX63" t="str">
        <f t="shared" si="45"/>
        <v/>
      </c>
      <c r="AY63" s="25" t="str">
        <f t="shared" si="3"/>
        <v/>
      </c>
      <c r="AZ63" t="str">
        <f t="shared" si="46"/>
        <v/>
      </c>
      <c r="BA63" s="25" t="str">
        <f t="shared" si="4"/>
        <v/>
      </c>
      <c r="BB63" t="str">
        <f t="shared" si="47"/>
        <v/>
      </c>
      <c r="BC63" s="25" t="str">
        <f t="shared" si="48"/>
        <v/>
      </c>
      <c r="BD63" t="str">
        <f t="shared" si="49"/>
        <v/>
      </c>
      <c r="BE63" s="25" t="str">
        <f t="shared" si="5"/>
        <v/>
      </c>
      <c r="BF63">
        <f t="shared" si="50"/>
        <v>143.5</v>
      </c>
      <c r="BG63" s="25">
        <f t="shared" si="6"/>
        <v>2</v>
      </c>
      <c r="BH63" t="str">
        <f t="shared" si="51"/>
        <v/>
      </c>
      <c r="BI63" s="25" t="str">
        <f t="shared" si="7"/>
        <v/>
      </c>
      <c r="BJ63" t="str">
        <f t="shared" si="52"/>
        <v/>
      </c>
      <c r="BK63" s="25" t="str">
        <f t="shared" si="8"/>
        <v/>
      </c>
    </row>
    <row r="64" spans="1:63">
      <c r="A64">
        <v>6</v>
      </c>
      <c r="B64">
        <v>15</v>
      </c>
      <c r="C64">
        <v>286.60000000000002</v>
      </c>
      <c r="D64">
        <v>4</v>
      </c>
      <c r="E64">
        <v>8</v>
      </c>
      <c r="F64">
        <v>639</v>
      </c>
      <c r="G64">
        <v>454.4</v>
      </c>
      <c r="H64">
        <v>175.8</v>
      </c>
      <c r="AR64" t="str">
        <f t="shared" si="40"/>
        <v/>
      </c>
      <c r="AS64" s="25" t="str">
        <f t="shared" si="41"/>
        <v/>
      </c>
      <c r="AT64" t="str">
        <f t="shared" si="42"/>
        <v/>
      </c>
      <c r="AU64" s="25" t="str">
        <f t="shared" si="43"/>
        <v/>
      </c>
      <c r="AV64" t="str">
        <f t="shared" si="44"/>
        <v/>
      </c>
      <c r="AW64" s="25" t="str">
        <f t="shared" si="43"/>
        <v/>
      </c>
      <c r="AX64">
        <f t="shared" si="45"/>
        <v>454.4</v>
      </c>
      <c r="AY64" s="25">
        <f t="shared" si="3"/>
        <v>8</v>
      </c>
      <c r="AZ64" t="str">
        <f t="shared" si="46"/>
        <v/>
      </c>
      <c r="BA64" s="25" t="str">
        <f t="shared" si="4"/>
        <v/>
      </c>
      <c r="BB64" t="str">
        <f t="shared" si="47"/>
        <v/>
      </c>
      <c r="BC64" s="25" t="str">
        <f t="shared" si="48"/>
        <v/>
      </c>
      <c r="BD64" t="str">
        <f t="shared" si="49"/>
        <v/>
      </c>
      <c r="BE64" s="25" t="str">
        <f t="shared" si="5"/>
        <v/>
      </c>
      <c r="BF64" t="str">
        <f t="shared" si="50"/>
        <v/>
      </c>
      <c r="BG64" s="25" t="str">
        <f t="shared" si="6"/>
        <v/>
      </c>
      <c r="BH64" t="str">
        <f t="shared" si="51"/>
        <v/>
      </c>
      <c r="BI64" s="25" t="str">
        <f t="shared" si="7"/>
        <v/>
      </c>
      <c r="BJ64" t="str">
        <f t="shared" si="52"/>
        <v/>
      </c>
      <c r="BK64" s="25" t="str">
        <f t="shared" si="8"/>
        <v/>
      </c>
    </row>
    <row r="65" spans="1:63">
      <c r="A65">
        <v>10</v>
      </c>
      <c r="B65">
        <v>11</v>
      </c>
      <c r="C65">
        <v>290.60000000000002</v>
      </c>
      <c r="D65">
        <v>6</v>
      </c>
      <c r="E65">
        <v>7</v>
      </c>
      <c r="F65">
        <v>630</v>
      </c>
      <c r="G65">
        <v>302.2</v>
      </c>
      <c r="H65">
        <v>148.1</v>
      </c>
      <c r="AR65" t="str">
        <f t="shared" si="40"/>
        <v/>
      </c>
      <c r="AS65" s="25" t="str">
        <f t="shared" si="41"/>
        <v/>
      </c>
      <c r="AT65" t="str">
        <f t="shared" si="42"/>
        <v/>
      </c>
      <c r="AU65" s="25" t="str">
        <f t="shared" si="43"/>
        <v/>
      </c>
      <c r="AV65" t="str">
        <f t="shared" si="44"/>
        <v/>
      </c>
      <c r="AW65" s="25" t="str">
        <f t="shared" si="43"/>
        <v/>
      </c>
      <c r="AX65" t="str">
        <f t="shared" si="45"/>
        <v/>
      </c>
      <c r="AY65" s="25" t="str">
        <f t="shared" si="3"/>
        <v/>
      </c>
      <c r="AZ65" t="str">
        <f t="shared" si="46"/>
        <v/>
      </c>
      <c r="BA65" s="25" t="str">
        <f t="shared" si="4"/>
        <v/>
      </c>
      <c r="BB65">
        <f t="shared" si="47"/>
        <v>302.2</v>
      </c>
      <c r="BC65" s="25">
        <f t="shared" si="48"/>
        <v>7</v>
      </c>
      <c r="BD65" t="str">
        <f t="shared" si="49"/>
        <v/>
      </c>
      <c r="BE65" s="25" t="str">
        <f t="shared" si="5"/>
        <v/>
      </c>
      <c r="BF65" t="str">
        <f t="shared" si="50"/>
        <v/>
      </c>
      <c r="BG65" s="25" t="str">
        <f t="shared" si="6"/>
        <v/>
      </c>
      <c r="BH65" t="str">
        <f t="shared" si="51"/>
        <v/>
      </c>
      <c r="BI65" s="25" t="str">
        <f t="shared" si="7"/>
        <v/>
      </c>
      <c r="BJ65" t="str">
        <f t="shared" si="52"/>
        <v/>
      </c>
      <c r="BK65" s="25" t="str">
        <f t="shared" si="8"/>
        <v/>
      </c>
    </row>
    <row r="66" spans="1:63">
      <c r="A66">
        <v>11</v>
      </c>
      <c r="B66">
        <v>10</v>
      </c>
      <c r="C66">
        <v>302.2</v>
      </c>
      <c r="D66">
        <v>7</v>
      </c>
      <c r="E66">
        <v>6</v>
      </c>
      <c r="F66">
        <v>606</v>
      </c>
      <c r="G66">
        <v>290.60000000000002</v>
      </c>
      <c r="H66">
        <v>148.1</v>
      </c>
      <c r="AR66" t="str">
        <f t="shared" si="40"/>
        <v/>
      </c>
      <c r="AS66" s="25" t="str">
        <f t="shared" si="41"/>
        <v/>
      </c>
      <c r="AT66" t="str">
        <f t="shared" si="42"/>
        <v/>
      </c>
      <c r="AU66" s="25" t="str">
        <f t="shared" si="43"/>
        <v/>
      </c>
      <c r="AV66" t="str">
        <f t="shared" si="44"/>
        <v/>
      </c>
      <c r="AW66" s="25" t="str">
        <f t="shared" si="43"/>
        <v/>
      </c>
      <c r="AX66" t="str">
        <f t="shared" si="45"/>
        <v/>
      </c>
      <c r="AY66" s="25" t="str">
        <f t="shared" si="3"/>
        <v/>
      </c>
      <c r="AZ66" t="str">
        <f t="shared" si="46"/>
        <v/>
      </c>
      <c r="BA66" s="25" t="str">
        <f t="shared" si="4"/>
        <v/>
      </c>
      <c r="BB66" t="str">
        <f t="shared" si="47"/>
        <v/>
      </c>
      <c r="BC66" s="25" t="str">
        <f t="shared" si="48"/>
        <v/>
      </c>
      <c r="BD66">
        <f t="shared" si="49"/>
        <v>290.60000000000002</v>
      </c>
      <c r="BE66" s="25">
        <f t="shared" si="5"/>
        <v>6</v>
      </c>
      <c r="BF66" t="str">
        <f t="shared" si="50"/>
        <v/>
      </c>
      <c r="BG66" s="25" t="str">
        <f t="shared" si="6"/>
        <v/>
      </c>
      <c r="BH66" t="str">
        <f t="shared" si="51"/>
        <v/>
      </c>
      <c r="BI66" s="25" t="str">
        <f t="shared" si="7"/>
        <v/>
      </c>
      <c r="BJ66" t="str">
        <f t="shared" si="52"/>
        <v/>
      </c>
      <c r="BK66" s="25" t="str">
        <f t="shared" si="8"/>
        <v/>
      </c>
    </row>
    <row r="67" spans="1:63">
      <c r="A67">
        <v>6</v>
      </c>
      <c r="B67">
        <v>2</v>
      </c>
      <c r="C67">
        <v>312.5</v>
      </c>
      <c r="D67">
        <v>4</v>
      </c>
      <c r="E67">
        <v>10</v>
      </c>
      <c r="F67">
        <v>586</v>
      </c>
      <c r="G67">
        <v>421</v>
      </c>
      <c r="H67">
        <v>179.4</v>
      </c>
      <c r="AR67" t="str">
        <f t="shared" si="40"/>
        <v/>
      </c>
      <c r="AS67" s="25" t="str">
        <f t="shared" si="41"/>
        <v/>
      </c>
      <c r="AT67" t="str">
        <f t="shared" si="42"/>
        <v/>
      </c>
      <c r="AU67" s="25" t="str">
        <f t="shared" si="43"/>
        <v/>
      </c>
      <c r="AV67" t="str">
        <f t="shared" si="44"/>
        <v/>
      </c>
      <c r="AW67" s="25" t="str">
        <f t="shared" si="43"/>
        <v/>
      </c>
      <c r="AX67">
        <f t="shared" si="45"/>
        <v>421</v>
      </c>
      <c r="AY67" s="25">
        <f t="shared" si="3"/>
        <v>10</v>
      </c>
      <c r="AZ67" t="str">
        <f t="shared" si="46"/>
        <v/>
      </c>
      <c r="BA67" s="25" t="str">
        <f t="shared" si="4"/>
        <v/>
      </c>
      <c r="BB67" t="str">
        <f t="shared" si="47"/>
        <v/>
      </c>
      <c r="BC67" s="25" t="str">
        <f t="shared" si="48"/>
        <v/>
      </c>
      <c r="BD67" t="str">
        <f t="shared" si="49"/>
        <v/>
      </c>
      <c r="BE67" s="25" t="str">
        <f t="shared" si="5"/>
        <v/>
      </c>
      <c r="BF67" t="str">
        <f t="shared" si="50"/>
        <v/>
      </c>
      <c r="BG67" s="25" t="str">
        <f t="shared" si="6"/>
        <v/>
      </c>
      <c r="BH67" t="str">
        <f t="shared" si="51"/>
        <v/>
      </c>
      <c r="BI67" s="25" t="str">
        <f t="shared" si="7"/>
        <v/>
      </c>
      <c r="BJ67" t="str">
        <f t="shared" si="52"/>
        <v/>
      </c>
      <c r="BK67" s="25" t="str">
        <f t="shared" si="8"/>
        <v/>
      </c>
    </row>
    <row r="68" spans="1:63">
      <c r="A68">
        <v>1</v>
      </c>
      <c r="B68">
        <v>6</v>
      </c>
      <c r="C68">
        <v>314.10000000000002</v>
      </c>
      <c r="D68">
        <v>9</v>
      </c>
      <c r="E68">
        <v>4</v>
      </c>
      <c r="F68">
        <v>583</v>
      </c>
      <c r="G68">
        <v>211.4</v>
      </c>
      <c r="H68">
        <v>126.4</v>
      </c>
      <c r="AR68" t="str">
        <f t="shared" si="40"/>
        <v/>
      </c>
      <c r="AS68" s="25" t="str">
        <f t="shared" si="41"/>
        <v/>
      </c>
      <c r="AT68" t="str">
        <f t="shared" si="42"/>
        <v/>
      </c>
      <c r="AU68" s="25" t="str">
        <f t="shared" si="43"/>
        <v/>
      </c>
      <c r="AV68" t="str">
        <f t="shared" si="44"/>
        <v/>
      </c>
      <c r="AW68" s="25" t="str">
        <f t="shared" si="43"/>
        <v/>
      </c>
      <c r="AX68" t="str">
        <f t="shared" si="45"/>
        <v/>
      </c>
      <c r="AY68" s="25" t="str">
        <f t="shared" si="3"/>
        <v/>
      </c>
      <c r="AZ68" t="str">
        <f t="shared" si="46"/>
        <v/>
      </c>
      <c r="BA68" s="25" t="str">
        <f t="shared" si="4"/>
        <v/>
      </c>
      <c r="BB68" t="str">
        <f t="shared" si="47"/>
        <v/>
      </c>
      <c r="BC68" s="25" t="str">
        <f t="shared" si="48"/>
        <v/>
      </c>
      <c r="BD68" t="str">
        <f t="shared" si="49"/>
        <v/>
      </c>
      <c r="BE68" s="25" t="str">
        <f t="shared" si="5"/>
        <v/>
      </c>
      <c r="BF68" t="str">
        <f t="shared" si="50"/>
        <v/>
      </c>
      <c r="BG68" s="25" t="str">
        <f t="shared" si="6"/>
        <v/>
      </c>
      <c r="BH68">
        <f t="shared" si="51"/>
        <v>211.4</v>
      </c>
      <c r="BI68" s="25">
        <f t="shared" si="7"/>
        <v>4</v>
      </c>
      <c r="BJ68" t="str">
        <f t="shared" si="52"/>
        <v/>
      </c>
      <c r="BK68" s="25" t="str">
        <f t="shared" si="8"/>
        <v/>
      </c>
    </row>
    <row r="69" spans="1:63">
      <c r="A69">
        <v>15</v>
      </c>
      <c r="B69">
        <v>9</v>
      </c>
      <c r="C69">
        <v>330.5</v>
      </c>
      <c r="D69">
        <v>8</v>
      </c>
      <c r="E69">
        <v>3</v>
      </c>
      <c r="F69">
        <v>554</v>
      </c>
      <c r="G69">
        <v>192.5</v>
      </c>
      <c r="H69">
        <v>121.6</v>
      </c>
      <c r="AR69" t="str">
        <f t="shared" si="40"/>
        <v/>
      </c>
      <c r="AS69" s="25" t="str">
        <f t="shared" si="41"/>
        <v/>
      </c>
      <c r="AT69" t="str">
        <f t="shared" si="42"/>
        <v/>
      </c>
      <c r="AU69" s="25" t="str">
        <f t="shared" si="43"/>
        <v/>
      </c>
      <c r="AV69" t="str">
        <f t="shared" si="44"/>
        <v/>
      </c>
      <c r="AW69" s="25" t="str">
        <f t="shared" si="43"/>
        <v/>
      </c>
      <c r="AX69" t="str">
        <f t="shared" si="45"/>
        <v/>
      </c>
      <c r="AY69" s="25" t="str">
        <f t="shared" ref="AY69:AY132" si="91">IFERROR(IF(AX69="","",$E69),"")</f>
        <v/>
      </c>
      <c r="AZ69" t="str">
        <f t="shared" si="46"/>
        <v/>
      </c>
      <c r="BA69" s="25" t="str">
        <f t="shared" ref="BA69:BA132" si="92">IFERROR(IF(AZ69="","",$E69),"")</f>
        <v/>
      </c>
      <c r="BB69" t="str">
        <f t="shared" si="47"/>
        <v/>
      </c>
      <c r="BC69" s="25" t="str">
        <f t="shared" ref="BC69:BC132" si="93">IFERROR(IF(BB69="","",$E69),"")</f>
        <v/>
      </c>
      <c r="BD69" t="str">
        <f t="shared" si="49"/>
        <v/>
      </c>
      <c r="BE69" s="25" t="str">
        <f t="shared" ref="BE69:BE132" si="94">IFERROR(IF(BD69="","",$E69),"")</f>
        <v/>
      </c>
      <c r="BF69">
        <f t="shared" si="50"/>
        <v>192.5</v>
      </c>
      <c r="BG69" s="25">
        <f t="shared" ref="BG69:BG132" si="95">IFERROR(IF(BF69="","",$E69),"")</f>
        <v>3</v>
      </c>
      <c r="BH69" t="str">
        <f t="shared" si="51"/>
        <v/>
      </c>
      <c r="BI69" s="25" t="str">
        <f t="shared" ref="BI69:BI132" si="96">IFERROR(IF(BH69="","",$E69),"")</f>
        <v/>
      </c>
      <c r="BJ69" t="str">
        <f t="shared" si="52"/>
        <v/>
      </c>
      <c r="BK69" s="25" t="str">
        <f t="shared" ref="BK69:BK100" si="97">IFERROR(IF(BJ69="","",$E69),"")</f>
        <v/>
      </c>
    </row>
    <row r="70" spans="1:63">
      <c r="A70">
        <v>5</v>
      </c>
      <c r="B70">
        <v>1</v>
      </c>
      <c r="C70">
        <v>333.5</v>
      </c>
      <c r="D70">
        <v>5</v>
      </c>
      <c r="E70">
        <v>9</v>
      </c>
      <c r="F70">
        <v>549</v>
      </c>
      <c r="G70">
        <v>415.2</v>
      </c>
      <c r="H70">
        <v>184.9</v>
      </c>
      <c r="AR70" t="str">
        <f t="shared" ref="AR70:AR133" si="98">IF($D70=AR$4,$G70,"")</f>
        <v/>
      </c>
      <c r="AS70" s="25" t="str">
        <f t="shared" ref="AS70:AS133" si="99">IFERROR(IF(AR70="","",E70),"")</f>
        <v/>
      </c>
      <c r="AT70" t="str">
        <f t="shared" ref="AT70:AT133" si="100">IF($D70=AT$4,$G70,"")</f>
        <v/>
      </c>
      <c r="AU70" s="25" t="str">
        <f t="shared" ref="AU70:AW100" si="101">IFERROR(IF(AT70="","",$E70),"")</f>
        <v/>
      </c>
      <c r="AV70" t="str">
        <f t="shared" ref="AV70:AV133" si="102">IF($D70=AV$4,$G70,"")</f>
        <v/>
      </c>
      <c r="AW70" s="25" t="str">
        <f t="shared" si="101"/>
        <v/>
      </c>
      <c r="AX70" t="str">
        <f t="shared" ref="AX70:AX133" si="103">IF($D70=AX$4,$G70,"")</f>
        <v/>
      </c>
      <c r="AY70" s="25" t="str">
        <f t="shared" si="91"/>
        <v/>
      </c>
      <c r="AZ70">
        <f t="shared" ref="AZ70:AZ133" si="104">IF($D70=AZ$4,$G70,"")</f>
        <v>415.2</v>
      </c>
      <c r="BA70" s="25">
        <f t="shared" si="92"/>
        <v>9</v>
      </c>
      <c r="BB70" t="str">
        <f t="shared" ref="BB70:BB133" si="105">IF($D70=BB$4,$G70,"")</f>
        <v/>
      </c>
      <c r="BC70" s="25" t="str">
        <f t="shared" si="93"/>
        <v/>
      </c>
      <c r="BD70" t="str">
        <f t="shared" ref="BD70:BD133" si="106">IF($D70=BD$4,$G70,"")</f>
        <v/>
      </c>
      <c r="BE70" s="25" t="str">
        <f t="shared" si="94"/>
        <v/>
      </c>
      <c r="BF70" t="str">
        <f t="shared" ref="BF70:BF133" si="107">IF($D70=BF$4,$G70,"")</f>
        <v/>
      </c>
      <c r="BG70" s="25" t="str">
        <f t="shared" si="95"/>
        <v/>
      </c>
      <c r="BH70" t="str">
        <f t="shared" ref="BH70:BH133" si="108">IF($D70=BH$4,$G70,"")</f>
        <v/>
      </c>
      <c r="BI70" s="25" t="str">
        <f t="shared" si="96"/>
        <v/>
      </c>
      <c r="BJ70" t="str">
        <f t="shared" ref="BJ70:BJ133" si="109">IF($D70=BJ$4,$G70,"")</f>
        <v/>
      </c>
      <c r="BK70" s="25" t="str">
        <f t="shared" si="97"/>
        <v/>
      </c>
    </row>
    <row r="71" spans="1:63">
      <c r="A71">
        <v>3</v>
      </c>
      <c r="B71">
        <v>8</v>
      </c>
      <c r="C71">
        <v>358.3</v>
      </c>
      <c r="D71">
        <v>1</v>
      </c>
      <c r="E71">
        <v>12</v>
      </c>
      <c r="F71">
        <v>511</v>
      </c>
      <c r="G71">
        <v>934.3</v>
      </c>
      <c r="H71">
        <v>259</v>
      </c>
      <c r="AR71">
        <f t="shared" si="98"/>
        <v>934.3</v>
      </c>
      <c r="AS71" s="25">
        <f t="shared" si="99"/>
        <v>12</v>
      </c>
      <c r="AT71" t="str">
        <f t="shared" si="100"/>
        <v/>
      </c>
      <c r="AU71" s="25" t="str">
        <f t="shared" si="101"/>
        <v/>
      </c>
      <c r="AV71" t="str">
        <f t="shared" si="102"/>
        <v/>
      </c>
      <c r="AW71" s="25" t="str">
        <f t="shared" si="101"/>
        <v/>
      </c>
      <c r="AX71" t="str">
        <f t="shared" si="103"/>
        <v/>
      </c>
      <c r="AY71" s="25" t="str">
        <f t="shared" si="91"/>
        <v/>
      </c>
      <c r="AZ71" t="str">
        <f t="shared" si="104"/>
        <v/>
      </c>
      <c r="BA71" s="25" t="str">
        <f t="shared" si="92"/>
        <v/>
      </c>
      <c r="BB71" t="str">
        <f t="shared" si="105"/>
        <v/>
      </c>
      <c r="BC71" s="25" t="str">
        <f t="shared" si="93"/>
        <v/>
      </c>
      <c r="BD71" t="str">
        <f t="shared" si="106"/>
        <v/>
      </c>
      <c r="BE71" s="25" t="str">
        <f t="shared" si="94"/>
        <v/>
      </c>
      <c r="BF71" t="str">
        <f t="shared" si="107"/>
        <v/>
      </c>
      <c r="BG71" s="25" t="str">
        <f t="shared" si="95"/>
        <v/>
      </c>
      <c r="BH71" t="str">
        <f t="shared" si="108"/>
        <v/>
      </c>
      <c r="BI71" s="25" t="str">
        <f t="shared" si="96"/>
        <v/>
      </c>
      <c r="BJ71" t="str">
        <f t="shared" si="109"/>
        <v/>
      </c>
      <c r="BK71" s="25" t="str">
        <f t="shared" si="97"/>
        <v/>
      </c>
    </row>
    <row r="72" spans="1:63">
      <c r="A72">
        <v>10</v>
      </c>
      <c r="B72">
        <v>2</v>
      </c>
      <c r="C72">
        <v>373.7</v>
      </c>
      <c r="D72">
        <v>6</v>
      </c>
      <c r="E72">
        <v>10</v>
      </c>
      <c r="F72">
        <v>490</v>
      </c>
      <c r="G72">
        <v>511.5</v>
      </c>
      <c r="H72">
        <v>215.9</v>
      </c>
      <c r="AR72" t="str">
        <f t="shared" si="98"/>
        <v/>
      </c>
      <c r="AS72" s="25" t="str">
        <f t="shared" si="99"/>
        <v/>
      </c>
      <c r="AT72" t="str">
        <f t="shared" si="100"/>
        <v/>
      </c>
      <c r="AU72" s="25" t="str">
        <f t="shared" si="101"/>
        <v/>
      </c>
      <c r="AV72" t="str">
        <f t="shared" si="102"/>
        <v/>
      </c>
      <c r="AW72" s="25" t="str">
        <f t="shared" si="101"/>
        <v/>
      </c>
      <c r="AX72" t="str">
        <f t="shared" si="103"/>
        <v/>
      </c>
      <c r="AY72" s="25" t="str">
        <f t="shared" si="91"/>
        <v/>
      </c>
      <c r="AZ72" t="str">
        <f t="shared" si="104"/>
        <v/>
      </c>
      <c r="BA72" s="25" t="str">
        <f t="shared" si="92"/>
        <v/>
      </c>
      <c r="BB72">
        <f t="shared" si="105"/>
        <v>511.5</v>
      </c>
      <c r="BC72" s="25">
        <f t="shared" si="93"/>
        <v>10</v>
      </c>
      <c r="BD72" t="str">
        <f t="shared" si="106"/>
        <v/>
      </c>
      <c r="BE72" s="25" t="str">
        <f t="shared" si="94"/>
        <v/>
      </c>
      <c r="BF72" t="str">
        <f t="shared" si="107"/>
        <v/>
      </c>
      <c r="BG72" s="25" t="str">
        <f t="shared" si="95"/>
        <v/>
      </c>
      <c r="BH72" t="str">
        <f t="shared" si="108"/>
        <v/>
      </c>
      <c r="BI72" s="25" t="str">
        <f t="shared" si="96"/>
        <v/>
      </c>
      <c r="BJ72" t="str">
        <f t="shared" si="109"/>
        <v/>
      </c>
      <c r="BK72" s="25" t="str">
        <f t="shared" si="97"/>
        <v/>
      </c>
    </row>
    <row r="73" spans="1:63">
      <c r="A73">
        <v>1</v>
      </c>
      <c r="B73">
        <v>10</v>
      </c>
      <c r="C73">
        <v>376</v>
      </c>
      <c r="D73">
        <v>9</v>
      </c>
      <c r="E73">
        <v>6</v>
      </c>
      <c r="F73">
        <v>487</v>
      </c>
      <c r="G73">
        <v>285.2</v>
      </c>
      <c r="H73">
        <v>162.19999999999999</v>
      </c>
      <c r="AR73" t="str">
        <f t="shared" si="98"/>
        <v/>
      </c>
      <c r="AS73" s="25" t="str">
        <f t="shared" si="99"/>
        <v/>
      </c>
      <c r="AT73" t="str">
        <f t="shared" si="100"/>
        <v/>
      </c>
      <c r="AU73" s="25" t="str">
        <f t="shared" si="101"/>
        <v/>
      </c>
      <c r="AV73" t="str">
        <f t="shared" si="102"/>
        <v/>
      </c>
      <c r="AW73" s="25" t="str">
        <f t="shared" si="101"/>
        <v/>
      </c>
      <c r="AX73" t="str">
        <f t="shared" si="103"/>
        <v/>
      </c>
      <c r="AY73" s="25" t="str">
        <f t="shared" si="91"/>
        <v/>
      </c>
      <c r="AZ73" t="str">
        <f t="shared" si="104"/>
        <v/>
      </c>
      <c r="BA73" s="25" t="str">
        <f t="shared" si="92"/>
        <v/>
      </c>
      <c r="BB73" t="str">
        <f t="shared" si="105"/>
        <v/>
      </c>
      <c r="BC73" s="25" t="str">
        <f t="shared" si="93"/>
        <v/>
      </c>
      <c r="BD73" t="str">
        <f t="shared" si="106"/>
        <v/>
      </c>
      <c r="BE73" s="25" t="str">
        <f t="shared" si="94"/>
        <v/>
      </c>
      <c r="BF73" t="str">
        <f t="shared" si="107"/>
        <v/>
      </c>
      <c r="BG73" s="25" t="str">
        <f t="shared" si="95"/>
        <v/>
      </c>
      <c r="BH73">
        <f t="shared" si="108"/>
        <v>285.2</v>
      </c>
      <c r="BI73" s="25">
        <f t="shared" si="96"/>
        <v>6</v>
      </c>
      <c r="BJ73" t="str">
        <f t="shared" si="109"/>
        <v/>
      </c>
      <c r="BK73" s="25" t="str">
        <f t="shared" si="97"/>
        <v/>
      </c>
    </row>
    <row r="74" spans="1:63">
      <c r="A74">
        <v>2</v>
      </c>
      <c r="B74">
        <v>13</v>
      </c>
      <c r="C74">
        <v>384.7</v>
      </c>
      <c r="D74">
        <v>10</v>
      </c>
      <c r="E74">
        <v>2</v>
      </c>
      <c r="F74">
        <v>476</v>
      </c>
      <c r="G74">
        <v>233.8</v>
      </c>
      <c r="H74">
        <v>145.4</v>
      </c>
      <c r="AR74" t="str">
        <f t="shared" si="98"/>
        <v/>
      </c>
      <c r="AS74" s="25" t="str">
        <f t="shared" si="99"/>
        <v/>
      </c>
      <c r="AT74" t="str">
        <f t="shared" si="100"/>
        <v/>
      </c>
      <c r="AU74" s="25" t="str">
        <f t="shared" si="101"/>
        <v/>
      </c>
      <c r="AV74" t="str">
        <f t="shared" si="102"/>
        <v/>
      </c>
      <c r="AW74" s="25" t="str">
        <f t="shared" si="101"/>
        <v/>
      </c>
      <c r="AX74" t="str">
        <f t="shared" si="103"/>
        <v/>
      </c>
      <c r="AY74" s="25" t="str">
        <f t="shared" si="91"/>
        <v/>
      </c>
      <c r="AZ74" t="str">
        <f t="shared" si="104"/>
        <v/>
      </c>
      <c r="BA74" s="25" t="str">
        <f t="shared" si="92"/>
        <v/>
      </c>
      <c r="BB74" t="str">
        <f t="shared" si="105"/>
        <v/>
      </c>
      <c r="BC74" s="25" t="str">
        <f t="shared" si="93"/>
        <v/>
      </c>
      <c r="BD74" t="str">
        <f t="shared" si="106"/>
        <v/>
      </c>
      <c r="BE74" s="25" t="str">
        <f t="shared" si="94"/>
        <v/>
      </c>
      <c r="BF74" t="str">
        <f t="shared" si="107"/>
        <v/>
      </c>
      <c r="BG74" s="25" t="str">
        <f t="shared" si="95"/>
        <v/>
      </c>
      <c r="BH74" t="str">
        <f t="shared" si="108"/>
        <v/>
      </c>
      <c r="BI74" s="25" t="str">
        <f t="shared" si="96"/>
        <v/>
      </c>
      <c r="BJ74">
        <f t="shared" si="109"/>
        <v>233.8</v>
      </c>
      <c r="BK74" s="25">
        <f t="shared" si="97"/>
        <v>2</v>
      </c>
    </row>
    <row r="75" spans="1:63">
      <c r="A75">
        <v>9</v>
      </c>
      <c r="B75">
        <v>12</v>
      </c>
      <c r="C75">
        <v>394.6</v>
      </c>
      <c r="D75">
        <v>3</v>
      </c>
      <c r="E75">
        <v>11</v>
      </c>
      <c r="F75">
        <v>464</v>
      </c>
      <c r="G75">
        <v>836.2</v>
      </c>
      <c r="H75">
        <v>268.10000000000002</v>
      </c>
      <c r="AR75" t="str">
        <f t="shared" si="98"/>
        <v/>
      </c>
      <c r="AS75" s="25" t="str">
        <f t="shared" si="99"/>
        <v/>
      </c>
      <c r="AT75" t="str">
        <f t="shared" si="100"/>
        <v/>
      </c>
      <c r="AU75" s="25" t="str">
        <f t="shared" si="101"/>
        <v/>
      </c>
      <c r="AV75">
        <f t="shared" si="102"/>
        <v>836.2</v>
      </c>
      <c r="AW75" s="25">
        <f t="shared" si="101"/>
        <v>11</v>
      </c>
      <c r="AX75" t="str">
        <f t="shared" si="103"/>
        <v/>
      </c>
      <c r="AY75" s="25" t="str">
        <f t="shared" si="91"/>
        <v/>
      </c>
      <c r="AZ75" t="str">
        <f t="shared" si="104"/>
        <v/>
      </c>
      <c r="BA75" s="25" t="str">
        <f t="shared" si="92"/>
        <v/>
      </c>
      <c r="BB75" t="str">
        <f t="shared" si="105"/>
        <v/>
      </c>
      <c r="BC75" s="25" t="str">
        <f t="shared" si="93"/>
        <v/>
      </c>
      <c r="BD75" t="str">
        <f t="shared" si="106"/>
        <v/>
      </c>
      <c r="BE75" s="25" t="str">
        <f t="shared" si="94"/>
        <v/>
      </c>
      <c r="BF75" t="str">
        <f t="shared" si="107"/>
        <v/>
      </c>
      <c r="BG75" s="25" t="str">
        <f t="shared" si="95"/>
        <v/>
      </c>
      <c r="BH75" t="str">
        <f t="shared" si="108"/>
        <v/>
      </c>
      <c r="BI75" s="25" t="str">
        <f t="shared" si="96"/>
        <v/>
      </c>
      <c r="BJ75" t="str">
        <f t="shared" si="109"/>
        <v/>
      </c>
      <c r="BK75" s="25" t="str">
        <f t="shared" si="97"/>
        <v/>
      </c>
    </row>
    <row r="76" spans="1:63">
      <c r="A76">
        <v>3</v>
      </c>
      <c r="B76">
        <v>14</v>
      </c>
      <c r="C76">
        <v>409.7</v>
      </c>
      <c r="D76">
        <v>1</v>
      </c>
      <c r="E76">
        <v>14</v>
      </c>
      <c r="F76">
        <v>447</v>
      </c>
      <c r="G76">
        <v>1000.7</v>
      </c>
      <c r="H76">
        <v>290.7</v>
      </c>
      <c r="AR76">
        <f t="shared" si="98"/>
        <v>1000.7</v>
      </c>
      <c r="AS76" s="25">
        <f t="shared" si="99"/>
        <v>14</v>
      </c>
      <c r="AT76" t="str">
        <f t="shared" si="100"/>
        <v/>
      </c>
      <c r="AU76" s="25" t="str">
        <f t="shared" si="101"/>
        <v/>
      </c>
      <c r="AV76" t="str">
        <f t="shared" si="102"/>
        <v/>
      </c>
      <c r="AW76" s="25" t="str">
        <f t="shared" si="101"/>
        <v/>
      </c>
      <c r="AX76" t="str">
        <f t="shared" si="103"/>
        <v/>
      </c>
      <c r="AY76" s="25" t="str">
        <f t="shared" si="91"/>
        <v/>
      </c>
      <c r="AZ76" t="str">
        <f t="shared" si="104"/>
        <v/>
      </c>
      <c r="BA76" s="25" t="str">
        <f t="shared" si="92"/>
        <v/>
      </c>
      <c r="BB76" t="str">
        <f t="shared" si="105"/>
        <v/>
      </c>
      <c r="BC76" s="25" t="str">
        <f t="shared" si="93"/>
        <v/>
      </c>
      <c r="BD76" t="str">
        <f t="shared" si="106"/>
        <v/>
      </c>
      <c r="BE76" s="25" t="str">
        <f t="shared" si="94"/>
        <v/>
      </c>
      <c r="BF76" t="str">
        <f t="shared" si="107"/>
        <v/>
      </c>
      <c r="BG76" s="25" t="str">
        <f t="shared" si="95"/>
        <v/>
      </c>
      <c r="BH76" t="str">
        <f t="shared" si="108"/>
        <v/>
      </c>
      <c r="BI76" s="25" t="str">
        <f t="shared" si="96"/>
        <v/>
      </c>
      <c r="BJ76" t="str">
        <f t="shared" si="109"/>
        <v/>
      </c>
      <c r="BK76" s="25" t="str">
        <f t="shared" si="97"/>
        <v/>
      </c>
    </row>
    <row r="77" spans="1:63">
      <c r="A77">
        <v>1</v>
      </c>
      <c r="B77">
        <v>5</v>
      </c>
      <c r="C77">
        <v>415.2</v>
      </c>
      <c r="D77">
        <v>9</v>
      </c>
      <c r="E77">
        <v>5</v>
      </c>
      <c r="F77">
        <v>441</v>
      </c>
      <c r="G77">
        <v>333.5</v>
      </c>
      <c r="H77">
        <v>184.9</v>
      </c>
      <c r="AR77" t="str">
        <f t="shared" si="98"/>
        <v/>
      </c>
      <c r="AS77" s="25" t="str">
        <f t="shared" si="99"/>
        <v/>
      </c>
      <c r="AT77" t="str">
        <f t="shared" si="100"/>
        <v/>
      </c>
      <c r="AU77" s="25" t="str">
        <f t="shared" si="101"/>
        <v/>
      </c>
      <c r="AV77" t="str">
        <f t="shared" si="102"/>
        <v/>
      </c>
      <c r="AW77" s="25" t="str">
        <f t="shared" si="101"/>
        <v/>
      </c>
      <c r="AX77" t="str">
        <f t="shared" si="103"/>
        <v/>
      </c>
      <c r="AY77" s="25" t="str">
        <f t="shared" si="91"/>
        <v/>
      </c>
      <c r="AZ77" t="str">
        <f t="shared" si="104"/>
        <v/>
      </c>
      <c r="BA77" s="25" t="str">
        <f t="shared" si="92"/>
        <v/>
      </c>
      <c r="BB77" t="str">
        <f t="shared" si="105"/>
        <v/>
      </c>
      <c r="BC77" s="25" t="str">
        <f t="shared" si="93"/>
        <v/>
      </c>
      <c r="BD77" t="str">
        <f t="shared" si="106"/>
        <v/>
      </c>
      <c r="BE77" s="25" t="str">
        <f t="shared" si="94"/>
        <v/>
      </c>
      <c r="BF77" t="str">
        <f t="shared" si="107"/>
        <v/>
      </c>
      <c r="BG77" s="25" t="str">
        <f t="shared" si="95"/>
        <v/>
      </c>
      <c r="BH77">
        <f t="shared" si="108"/>
        <v>333.5</v>
      </c>
      <c r="BI77" s="25">
        <f t="shared" si="96"/>
        <v>5</v>
      </c>
      <c r="BJ77" t="str">
        <f t="shared" si="109"/>
        <v/>
      </c>
      <c r="BK77" s="25" t="str">
        <f t="shared" si="97"/>
        <v/>
      </c>
    </row>
    <row r="78" spans="1:63">
      <c r="A78">
        <v>3</v>
      </c>
      <c r="B78">
        <v>4</v>
      </c>
      <c r="C78">
        <v>418.1</v>
      </c>
      <c r="D78">
        <v>1</v>
      </c>
      <c r="E78">
        <v>13</v>
      </c>
      <c r="F78">
        <v>438</v>
      </c>
      <c r="G78">
        <v>929.6</v>
      </c>
      <c r="H78">
        <v>288.39999999999998</v>
      </c>
      <c r="AR78">
        <f t="shared" si="98"/>
        <v>929.6</v>
      </c>
      <c r="AS78" s="25">
        <f t="shared" si="99"/>
        <v>13</v>
      </c>
      <c r="AT78" t="str">
        <f t="shared" si="100"/>
        <v/>
      </c>
      <c r="AU78" s="25" t="str">
        <f t="shared" si="101"/>
        <v/>
      </c>
      <c r="AV78" t="str">
        <f t="shared" si="102"/>
        <v/>
      </c>
      <c r="AW78" s="25" t="str">
        <f t="shared" si="101"/>
        <v/>
      </c>
      <c r="AX78" t="str">
        <f t="shared" si="103"/>
        <v/>
      </c>
      <c r="AY78" s="25" t="str">
        <f t="shared" si="91"/>
        <v/>
      </c>
      <c r="AZ78" t="str">
        <f t="shared" si="104"/>
        <v/>
      </c>
      <c r="BA78" s="25" t="str">
        <f t="shared" si="92"/>
        <v/>
      </c>
      <c r="BB78" t="str">
        <f t="shared" si="105"/>
        <v/>
      </c>
      <c r="BC78" s="25" t="str">
        <f t="shared" si="93"/>
        <v/>
      </c>
      <c r="BD78" t="str">
        <f t="shared" si="106"/>
        <v/>
      </c>
      <c r="BE78" s="25" t="str">
        <f t="shared" si="94"/>
        <v/>
      </c>
      <c r="BF78" t="str">
        <f t="shared" si="107"/>
        <v/>
      </c>
      <c r="BG78" s="25" t="str">
        <f t="shared" si="95"/>
        <v/>
      </c>
      <c r="BH78" t="str">
        <f t="shared" si="108"/>
        <v/>
      </c>
      <c r="BI78" s="25" t="str">
        <f t="shared" si="96"/>
        <v/>
      </c>
      <c r="BJ78" t="str">
        <f t="shared" si="109"/>
        <v/>
      </c>
      <c r="BK78" s="25" t="str">
        <f t="shared" si="97"/>
        <v/>
      </c>
    </row>
    <row r="79" spans="1:63">
      <c r="A79">
        <v>10</v>
      </c>
      <c r="B79">
        <v>15</v>
      </c>
      <c r="C79">
        <v>419</v>
      </c>
      <c r="D79">
        <v>6</v>
      </c>
      <c r="E79">
        <v>8</v>
      </c>
      <c r="F79">
        <v>437</v>
      </c>
      <c r="G79">
        <v>581.29999999999995</v>
      </c>
      <c r="H79">
        <v>243.5</v>
      </c>
      <c r="AR79" t="str">
        <f t="shared" si="98"/>
        <v/>
      </c>
      <c r="AS79" s="25" t="str">
        <f t="shared" si="99"/>
        <v/>
      </c>
      <c r="AT79" t="str">
        <f t="shared" si="100"/>
        <v/>
      </c>
      <c r="AU79" s="25" t="str">
        <f t="shared" si="101"/>
        <v/>
      </c>
      <c r="AV79" t="str">
        <f t="shared" si="102"/>
        <v/>
      </c>
      <c r="AW79" s="25" t="str">
        <f t="shared" si="101"/>
        <v/>
      </c>
      <c r="AX79" t="str">
        <f t="shared" si="103"/>
        <v/>
      </c>
      <c r="AY79" s="25" t="str">
        <f t="shared" si="91"/>
        <v/>
      </c>
      <c r="AZ79" t="str">
        <f t="shared" si="104"/>
        <v/>
      </c>
      <c r="BA79" s="25" t="str">
        <f t="shared" si="92"/>
        <v/>
      </c>
      <c r="BB79">
        <f t="shared" si="105"/>
        <v>581.29999999999995</v>
      </c>
      <c r="BC79" s="25">
        <f t="shared" si="93"/>
        <v>8</v>
      </c>
      <c r="BD79" t="str">
        <f t="shared" si="106"/>
        <v/>
      </c>
      <c r="BE79" s="25" t="str">
        <f t="shared" si="94"/>
        <v/>
      </c>
      <c r="BF79" t="str">
        <f t="shared" si="107"/>
        <v/>
      </c>
      <c r="BG79" s="25" t="str">
        <f t="shared" si="95"/>
        <v/>
      </c>
      <c r="BH79" t="str">
        <f t="shared" si="108"/>
        <v/>
      </c>
      <c r="BI79" s="25" t="str">
        <f t="shared" si="96"/>
        <v/>
      </c>
      <c r="BJ79" t="str">
        <f t="shared" si="109"/>
        <v/>
      </c>
      <c r="BK79" s="25" t="str">
        <f t="shared" si="97"/>
        <v/>
      </c>
    </row>
    <row r="80" spans="1:63">
      <c r="A80">
        <v>2</v>
      </c>
      <c r="B80">
        <v>6</v>
      </c>
      <c r="C80">
        <v>421</v>
      </c>
      <c r="D80">
        <v>10</v>
      </c>
      <c r="E80">
        <v>4</v>
      </c>
      <c r="F80">
        <v>435</v>
      </c>
      <c r="G80">
        <v>312.5</v>
      </c>
      <c r="H80">
        <v>179.4</v>
      </c>
      <c r="AR80" t="str">
        <f t="shared" si="98"/>
        <v/>
      </c>
      <c r="AS80" s="25" t="str">
        <f t="shared" si="99"/>
        <v/>
      </c>
      <c r="AT80" t="str">
        <f t="shared" si="100"/>
        <v/>
      </c>
      <c r="AU80" s="25" t="str">
        <f t="shared" si="101"/>
        <v/>
      </c>
      <c r="AV80" t="str">
        <f t="shared" si="102"/>
        <v/>
      </c>
      <c r="AW80" s="25" t="str">
        <f t="shared" si="101"/>
        <v/>
      </c>
      <c r="AX80" t="str">
        <f t="shared" si="103"/>
        <v/>
      </c>
      <c r="AY80" s="25" t="str">
        <f t="shared" si="91"/>
        <v/>
      </c>
      <c r="AZ80" t="str">
        <f t="shared" si="104"/>
        <v/>
      </c>
      <c r="BA80" s="25" t="str">
        <f t="shared" si="92"/>
        <v/>
      </c>
      <c r="BB80" t="str">
        <f t="shared" si="105"/>
        <v/>
      </c>
      <c r="BC80" s="25" t="str">
        <f t="shared" si="93"/>
        <v/>
      </c>
      <c r="BD80" t="str">
        <f t="shared" si="106"/>
        <v/>
      </c>
      <c r="BE80" s="25" t="str">
        <f t="shared" si="94"/>
        <v/>
      </c>
      <c r="BF80" t="str">
        <f t="shared" si="107"/>
        <v/>
      </c>
      <c r="BG80" s="25" t="str">
        <f t="shared" si="95"/>
        <v/>
      </c>
      <c r="BH80" t="str">
        <f t="shared" si="108"/>
        <v/>
      </c>
      <c r="BI80" s="25" t="str">
        <f t="shared" si="96"/>
        <v/>
      </c>
      <c r="BJ80">
        <f t="shared" si="109"/>
        <v>312.5</v>
      </c>
      <c r="BK80" s="25">
        <f t="shared" si="97"/>
        <v>4</v>
      </c>
    </row>
    <row r="81" spans="1:63">
      <c r="A81">
        <v>5</v>
      </c>
      <c r="B81">
        <v>15</v>
      </c>
      <c r="C81">
        <v>421.9</v>
      </c>
      <c r="D81">
        <v>5</v>
      </c>
      <c r="E81">
        <v>8</v>
      </c>
      <c r="F81">
        <v>434</v>
      </c>
      <c r="G81">
        <v>575.9</v>
      </c>
      <c r="H81">
        <v>243.5</v>
      </c>
      <c r="AR81" t="str">
        <f t="shared" si="98"/>
        <v/>
      </c>
      <c r="AS81" s="25" t="str">
        <f t="shared" si="99"/>
        <v/>
      </c>
      <c r="AT81" t="str">
        <f t="shared" si="100"/>
        <v/>
      </c>
      <c r="AU81" s="25" t="str">
        <f t="shared" si="101"/>
        <v/>
      </c>
      <c r="AV81" t="str">
        <f t="shared" si="102"/>
        <v/>
      </c>
      <c r="AW81" s="25" t="str">
        <f t="shared" si="101"/>
        <v/>
      </c>
      <c r="AX81" t="str">
        <f t="shared" si="103"/>
        <v/>
      </c>
      <c r="AY81" s="25" t="str">
        <f t="shared" si="91"/>
        <v/>
      </c>
      <c r="AZ81">
        <f t="shared" si="104"/>
        <v>575.9</v>
      </c>
      <c r="BA81" s="25">
        <f t="shared" si="92"/>
        <v>8</v>
      </c>
      <c r="BB81" t="str">
        <f t="shared" si="105"/>
        <v/>
      </c>
      <c r="BC81" s="25" t="str">
        <f t="shared" si="93"/>
        <v/>
      </c>
      <c r="BD81" t="str">
        <f t="shared" si="106"/>
        <v/>
      </c>
      <c r="BE81" s="25" t="str">
        <f t="shared" si="94"/>
        <v/>
      </c>
      <c r="BF81" t="str">
        <f t="shared" si="107"/>
        <v/>
      </c>
      <c r="BG81" s="25" t="str">
        <f t="shared" si="95"/>
        <v/>
      </c>
      <c r="BH81" t="str">
        <f t="shared" si="108"/>
        <v/>
      </c>
      <c r="BI81" s="25" t="str">
        <f t="shared" si="96"/>
        <v/>
      </c>
      <c r="BJ81" t="str">
        <f t="shared" si="109"/>
        <v/>
      </c>
      <c r="BK81" s="25" t="str">
        <f t="shared" si="97"/>
        <v/>
      </c>
    </row>
    <row r="82" spans="1:63">
      <c r="A82">
        <v>12</v>
      </c>
      <c r="B82">
        <v>3</v>
      </c>
      <c r="C82">
        <v>430.9</v>
      </c>
      <c r="D82">
        <v>11</v>
      </c>
      <c r="E82">
        <v>1</v>
      </c>
      <c r="F82">
        <v>425</v>
      </c>
      <c r="G82">
        <v>148.4</v>
      </c>
      <c r="H82">
        <v>110.4</v>
      </c>
      <c r="AR82" t="str">
        <f t="shared" si="98"/>
        <v/>
      </c>
      <c r="AS82" s="25" t="str">
        <f t="shared" si="99"/>
        <v/>
      </c>
      <c r="AT82" t="str">
        <f t="shared" si="100"/>
        <v/>
      </c>
      <c r="AU82" s="25" t="str">
        <f t="shared" si="101"/>
        <v/>
      </c>
      <c r="AV82" t="str">
        <f t="shared" si="102"/>
        <v/>
      </c>
      <c r="AW82" s="25" t="str">
        <f t="shared" si="101"/>
        <v/>
      </c>
      <c r="AX82" t="str">
        <f t="shared" si="103"/>
        <v/>
      </c>
      <c r="AY82" s="25" t="str">
        <f t="shared" si="91"/>
        <v/>
      </c>
      <c r="AZ82" t="str">
        <f t="shared" si="104"/>
        <v/>
      </c>
      <c r="BA82" s="25" t="str">
        <f t="shared" si="92"/>
        <v/>
      </c>
      <c r="BB82" t="str">
        <f t="shared" si="105"/>
        <v/>
      </c>
      <c r="BC82" s="25" t="str">
        <f t="shared" si="93"/>
        <v/>
      </c>
      <c r="BD82" t="str">
        <f t="shared" si="106"/>
        <v/>
      </c>
      <c r="BE82" s="25" t="str">
        <f t="shared" si="94"/>
        <v/>
      </c>
      <c r="BF82" t="str">
        <f t="shared" si="107"/>
        <v/>
      </c>
      <c r="BG82" s="25" t="str">
        <f t="shared" si="95"/>
        <v/>
      </c>
      <c r="BH82" t="str">
        <f t="shared" si="108"/>
        <v/>
      </c>
      <c r="BI82" s="25" t="str">
        <f t="shared" si="96"/>
        <v/>
      </c>
      <c r="BJ82" t="str">
        <f t="shared" si="109"/>
        <v/>
      </c>
      <c r="BK82" s="25" t="str">
        <f t="shared" si="97"/>
        <v/>
      </c>
    </row>
    <row r="83" spans="1:63">
      <c r="A83">
        <v>5</v>
      </c>
      <c r="B83">
        <v>2</v>
      </c>
      <c r="C83">
        <v>445.5</v>
      </c>
      <c r="D83">
        <v>5</v>
      </c>
      <c r="E83">
        <v>10</v>
      </c>
      <c r="F83">
        <v>411</v>
      </c>
      <c r="G83">
        <v>490.9</v>
      </c>
      <c r="H83">
        <v>233.5</v>
      </c>
      <c r="AR83" t="str">
        <f t="shared" si="98"/>
        <v/>
      </c>
      <c r="AS83" s="25" t="str">
        <f t="shared" si="99"/>
        <v/>
      </c>
      <c r="AT83" t="str">
        <f t="shared" si="100"/>
        <v/>
      </c>
      <c r="AU83" s="25" t="str">
        <f t="shared" si="101"/>
        <v/>
      </c>
      <c r="AV83" t="str">
        <f t="shared" si="102"/>
        <v/>
      </c>
      <c r="AW83" s="25" t="str">
        <f t="shared" si="101"/>
        <v/>
      </c>
      <c r="AX83" t="str">
        <f t="shared" si="103"/>
        <v/>
      </c>
      <c r="AY83" s="25" t="str">
        <f t="shared" si="91"/>
        <v/>
      </c>
      <c r="AZ83">
        <f t="shared" si="104"/>
        <v>490.9</v>
      </c>
      <c r="BA83" s="25">
        <f t="shared" si="92"/>
        <v>10</v>
      </c>
      <c r="BB83" t="str">
        <f t="shared" si="105"/>
        <v/>
      </c>
      <c r="BC83" s="25" t="str">
        <f t="shared" si="93"/>
        <v/>
      </c>
      <c r="BD83" t="str">
        <f t="shared" si="106"/>
        <v/>
      </c>
      <c r="BE83" s="25" t="str">
        <f t="shared" si="94"/>
        <v/>
      </c>
      <c r="BF83" t="str">
        <f t="shared" si="107"/>
        <v/>
      </c>
      <c r="BG83" s="25" t="str">
        <f t="shared" si="95"/>
        <v/>
      </c>
      <c r="BH83" t="str">
        <f t="shared" si="108"/>
        <v/>
      </c>
      <c r="BI83" s="25" t="str">
        <f t="shared" si="96"/>
        <v/>
      </c>
      <c r="BJ83" t="str">
        <f t="shared" si="109"/>
        <v/>
      </c>
      <c r="BK83" s="25" t="str">
        <f t="shared" si="97"/>
        <v/>
      </c>
    </row>
    <row r="84" spans="1:63">
      <c r="A84">
        <v>15</v>
      </c>
      <c r="B84">
        <v>6</v>
      </c>
      <c r="C84">
        <v>454.4</v>
      </c>
      <c r="D84">
        <v>8</v>
      </c>
      <c r="E84">
        <v>4</v>
      </c>
      <c r="F84">
        <v>403</v>
      </c>
      <c r="G84">
        <v>286.60000000000002</v>
      </c>
      <c r="H84">
        <v>175.8</v>
      </c>
      <c r="AR84" t="str">
        <f t="shared" si="98"/>
        <v/>
      </c>
      <c r="AS84" s="25" t="str">
        <f t="shared" si="99"/>
        <v/>
      </c>
      <c r="AT84" t="str">
        <f t="shared" si="100"/>
        <v/>
      </c>
      <c r="AU84" s="25" t="str">
        <f t="shared" si="101"/>
        <v/>
      </c>
      <c r="AV84" t="str">
        <f t="shared" si="102"/>
        <v/>
      </c>
      <c r="AW84" s="25" t="str">
        <f t="shared" si="101"/>
        <v/>
      </c>
      <c r="AX84" t="str">
        <f t="shared" si="103"/>
        <v/>
      </c>
      <c r="AY84" s="25" t="str">
        <f t="shared" si="91"/>
        <v/>
      </c>
      <c r="AZ84" t="str">
        <f t="shared" si="104"/>
        <v/>
      </c>
      <c r="BA84" s="25" t="str">
        <f t="shared" si="92"/>
        <v/>
      </c>
      <c r="BB84" t="str">
        <f t="shared" si="105"/>
        <v/>
      </c>
      <c r="BC84" s="25" t="str">
        <f t="shared" si="93"/>
        <v/>
      </c>
      <c r="BD84" t="str">
        <f t="shared" si="106"/>
        <v/>
      </c>
      <c r="BE84" s="25" t="str">
        <f t="shared" si="94"/>
        <v/>
      </c>
      <c r="BF84">
        <f t="shared" si="107"/>
        <v>286.60000000000002</v>
      </c>
      <c r="BG84" s="25">
        <f t="shared" si="95"/>
        <v>4</v>
      </c>
      <c r="BH84" t="str">
        <f t="shared" si="108"/>
        <v/>
      </c>
      <c r="BI84" s="25" t="str">
        <f t="shared" si="96"/>
        <v/>
      </c>
      <c r="BJ84" t="str">
        <f t="shared" si="109"/>
        <v/>
      </c>
      <c r="BK84" s="25" t="str">
        <f t="shared" si="97"/>
        <v/>
      </c>
    </row>
    <row r="85" spans="1:63">
      <c r="A85">
        <v>13</v>
      </c>
      <c r="B85">
        <v>12</v>
      </c>
      <c r="C85">
        <v>488.3</v>
      </c>
      <c r="D85">
        <v>2</v>
      </c>
      <c r="E85">
        <v>11</v>
      </c>
      <c r="F85">
        <v>375</v>
      </c>
      <c r="G85">
        <v>984.6</v>
      </c>
      <c r="H85">
        <v>326.39999999999998</v>
      </c>
      <c r="AR85" t="str">
        <f t="shared" si="98"/>
        <v/>
      </c>
      <c r="AS85" s="25" t="str">
        <f t="shared" si="99"/>
        <v/>
      </c>
      <c r="AT85">
        <f t="shared" si="100"/>
        <v>984.6</v>
      </c>
      <c r="AU85" s="25">
        <f t="shared" si="101"/>
        <v>11</v>
      </c>
      <c r="AV85" t="str">
        <f t="shared" si="102"/>
        <v/>
      </c>
      <c r="AW85" s="25" t="str">
        <f t="shared" si="101"/>
        <v/>
      </c>
      <c r="AX85" t="str">
        <f t="shared" si="103"/>
        <v/>
      </c>
      <c r="AY85" s="25" t="str">
        <f t="shared" si="91"/>
        <v/>
      </c>
      <c r="AZ85" t="str">
        <f t="shared" si="104"/>
        <v/>
      </c>
      <c r="BA85" s="25" t="str">
        <f t="shared" si="92"/>
        <v/>
      </c>
      <c r="BB85" t="str">
        <f t="shared" si="105"/>
        <v/>
      </c>
      <c r="BC85" s="25" t="str">
        <f t="shared" si="93"/>
        <v/>
      </c>
      <c r="BD85" t="str">
        <f t="shared" si="106"/>
        <v/>
      </c>
      <c r="BE85" s="25" t="str">
        <f t="shared" si="94"/>
        <v/>
      </c>
      <c r="BF85" t="str">
        <f t="shared" si="107"/>
        <v/>
      </c>
      <c r="BG85" s="25" t="str">
        <f t="shared" si="95"/>
        <v/>
      </c>
      <c r="BH85" t="str">
        <f t="shared" si="108"/>
        <v/>
      </c>
      <c r="BI85" s="25" t="str">
        <f t="shared" si="96"/>
        <v/>
      </c>
      <c r="BJ85" t="str">
        <f t="shared" si="109"/>
        <v/>
      </c>
      <c r="BK85" s="25" t="str">
        <f t="shared" si="97"/>
        <v/>
      </c>
    </row>
    <row r="86" spans="1:63">
      <c r="A86">
        <v>2</v>
      </c>
      <c r="B86">
        <v>5</v>
      </c>
      <c r="C86">
        <v>490.9</v>
      </c>
      <c r="D86">
        <v>10</v>
      </c>
      <c r="E86">
        <v>5</v>
      </c>
      <c r="F86">
        <v>373</v>
      </c>
      <c r="G86">
        <v>445.5</v>
      </c>
      <c r="H86">
        <v>233.5</v>
      </c>
      <c r="AR86" t="str">
        <f t="shared" si="98"/>
        <v/>
      </c>
      <c r="AS86" s="25" t="str">
        <f t="shared" si="99"/>
        <v/>
      </c>
      <c r="AT86" t="str">
        <f t="shared" si="100"/>
        <v/>
      </c>
      <c r="AU86" s="25" t="str">
        <f t="shared" si="101"/>
        <v/>
      </c>
      <c r="AV86" t="str">
        <f t="shared" si="102"/>
        <v/>
      </c>
      <c r="AW86" s="25" t="str">
        <f t="shared" si="101"/>
        <v/>
      </c>
      <c r="AX86" t="str">
        <f t="shared" si="103"/>
        <v/>
      </c>
      <c r="AY86" s="25" t="str">
        <f t="shared" si="91"/>
        <v/>
      </c>
      <c r="AZ86" t="str">
        <f t="shared" si="104"/>
        <v/>
      </c>
      <c r="BA86" s="25" t="str">
        <f t="shared" si="92"/>
        <v/>
      </c>
      <c r="BB86" t="str">
        <f t="shared" si="105"/>
        <v/>
      </c>
      <c r="BC86" s="25" t="str">
        <f t="shared" si="93"/>
        <v/>
      </c>
      <c r="BD86" t="str">
        <f t="shared" si="106"/>
        <v/>
      </c>
      <c r="BE86" s="25" t="str">
        <f t="shared" si="94"/>
        <v/>
      </c>
      <c r="BF86" t="str">
        <f t="shared" si="107"/>
        <v/>
      </c>
      <c r="BG86" s="25" t="str">
        <f t="shared" si="95"/>
        <v/>
      </c>
      <c r="BH86" t="str">
        <f t="shared" si="108"/>
        <v/>
      </c>
      <c r="BI86" s="25" t="str">
        <f t="shared" si="96"/>
        <v/>
      </c>
      <c r="BJ86">
        <f t="shared" si="109"/>
        <v>445.5</v>
      </c>
      <c r="BK86" s="25">
        <f t="shared" si="97"/>
        <v>5</v>
      </c>
    </row>
    <row r="87" spans="1:63">
      <c r="A87">
        <v>3</v>
      </c>
      <c r="B87">
        <v>7</v>
      </c>
      <c r="C87">
        <v>497.6</v>
      </c>
      <c r="D87">
        <v>1</v>
      </c>
      <c r="E87">
        <v>15</v>
      </c>
      <c r="F87">
        <v>368</v>
      </c>
      <c r="G87">
        <v>1346.6</v>
      </c>
      <c r="H87">
        <v>363.3</v>
      </c>
      <c r="AR87">
        <f t="shared" si="98"/>
        <v>1346.6</v>
      </c>
      <c r="AS87" s="25">
        <f t="shared" si="99"/>
        <v>15</v>
      </c>
      <c r="AT87" t="str">
        <f t="shared" si="100"/>
        <v/>
      </c>
      <c r="AU87" s="25" t="str">
        <f t="shared" si="101"/>
        <v/>
      </c>
      <c r="AV87" t="str">
        <f t="shared" si="102"/>
        <v/>
      </c>
      <c r="AW87" s="25" t="str">
        <f t="shared" si="101"/>
        <v/>
      </c>
      <c r="AX87" t="str">
        <f t="shared" si="103"/>
        <v/>
      </c>
      <c r="AY87" s="25" t="str">
        <f t="shared" si="91"/>
        <v/>
      </c>
      <c r="AZ87" t="str">
        <f t="shared" si="104"/>
        <v/>
      </c>
      <c r="BA87" s="25" t="str">
        <f t="shared" si="92"/>
        <v/>
      </c>
      <c r="BB87" t="str">
        <f t="shared" si="105"/>
        <v/>
      </c>
      <c r="BC87" s="25" t="str">
        <f t="shared" si="93"/>
        <v/>
      </c>
      <c r="BD87" t="str">
        <f t="shared" si="106"/>
        <v/>
      </c>
      <c r="BE87" s="25" t="str">
        <f t="shared" si="94"/>
        <v/>
      </c>
      <c r="BF87" t="str">
        <f t="shared" si="107"/>
        <v/>
      </c>
      <c r="BG87" s="25" t="str">
        <f t="shared" si="95"/>
        <v/>
      </c>
      <c r="BH87" t="str">
        <f t="shared" si="108"/>
        <v/>
      </c>
      <c r="BI87" s="25" t="str">
        <f t="shared" si="96"/>
        <v/>
      </c>
      <c r="BJ87" t="str">
        <f t="shared" si="109"/>
        <v/>
      </c>
      <c r="BK87" s="25" t="str">
        <f t="shared" si="97"/>
        <v/>
      </c>
    </row>
    <row r="88" spans="1:63">
      <c r="A88">
        <v>2</v>
      </c>
      <c r="B88">
        <v>10</v>
      </c>
      <c r="C88">
        <v>511.5</v>
      </c>
      <c r="D88">
        <v>10</v>
      </c>
      <c r="E88">
        <v>6</v>
      </c>
      <c r="F88">
        <v>358</v>
      </c>
      <c r="G88">
        <v>373.7</v>
      </c>
      <c r="H88">
        <v>215.9</v>
      </c>
      <c r="AR88" t="str">
        <f t="shared" si="98"/>
        <v/>
      </c>
      <c r="AS88" s="25" t="str">
        <f t="shared" si="99"/>
        <v/>
      </c>
      <c r="AT88" t="str">
        <f t="shared" si="100"/>
        <v/>
      </c>
      <c r="AU88" s="25" t="str">
        <f t="shared" si="101"/>
        <v/>
      </c>
      <c r="AV88" t="str">
        <f t="shared" si="102"/>
        <v/>
      </c>
      <c r="AW88" s="25" t="str">
        <f t="shared" si="101"/>
        <v/>
      </c>
      <c r="AX88" t="str">
        <f t="shared" si="103"/>
        <v/>
      </c>
      <c r="AY88" s="25" t="str">
        <f t="shared" si="91"/>
        <v/>
      </c>
      <c r="AZ88" t="str">
        <f t="shared" si="104"/>
        <v/>
      </c>
      <c r="BA88" s="25" t="str">
        <f t="shared" si="92"/>
        <v/>
      </c>
      <c r="BB88" t="str">
        <f t="shared" si="105"/>
        <v/>
      </c>
      <c r="BC88" s="25" t="str">
        <f t="shared" si="93"/>
        <v/>
      </c>
      <c r="BD88" t="str">
        <f t="shared" si="106"/>
        <v/>
      </c>
      <c r="BE88" s="25" t="str">
        <f t="shared" si="94"/>
        <v/>
      </c>
      <c r="BF88" t="str">
        <f t="shared" si="107"/>
        <v/>
      </c>
      <c r="BG88" s="25" t="str">
        <f t="shared" si="95"/>
        <v/>
      </c>
      <c r="BH88" t="str">
        <f t="shared" si="108"/>
        <v/>
      </c>
      <c r="BI88" s="25" t="str">
        <f t="shared" si="96"/>
        <v/>
      </c>
      <c r="BJ88">
        <f t="shared" si="109"/>
        <v>373.7</v>
      </c>
      <c r="BK88" s="25">
        <f t="shared" si="97"/>
        <v>6</v>
      </c>
    </row>
    <row r="89" spans="1:63">
      <c r="A89">
        <v>15</v>
      </c>
      <c r="B89">
        <v>5</v>
      </c>
      <c r="C89">
        <v>575.9</v>
      </c>
      <c r="D89">
        <v>8</v>
      </c>
      <c r="E89">
        <v>5</v>
      </c>
      <c r="F89">
        <v>318</v>
      </c>
      <c r="G89">
        <v>421.9</v>
      </c>
      <c r="H89">
        <v>243.5</v>
      </c>
      <c r="AR89" t="str">
        <f t="shared" si="98"/>
        <v/>
      </c>
      <c r="AS89" s="25" t="str">
        <f t="shared" si="99"/>
        <v/>
      </c>
      <c r="AT89" t="str">
        <f t="shared" si="100"/>
        <v/>
      </c>
      <c r="AU89" s="25" t="str">
        <f t="shared" si="101"/>
        <v/>
      </c>
      <c r="AV89" t="str">
        <f t="shared" si="102"/>
        <v/>
      </c>
      <c r="AW89" s="25" t="str">
        <f t="shared" si="101"/>
        <v/>
      </c>
      <c r="AX89" t="str">
        <f t="shared" si="103"/>
        <v/>
      </c>
      <c r="AY89" s="25" t="str">
        <f t="shared" si="91"/>
        <v/>
      </c>
      <c r="AZ89" t="str">
        <f t="shared" si="104"/>
        <v/>
      </c>
      <c r="BA89" s="25" t="str">
        <f t="shared" si="92"/>
        <v/>
      </c>
      <c r="BB89" t="str">
        <f t="shared" si="105"/>
        <v/>
      </c>
      <c r="BC89" s="25" t="str">
        <f t="shared" si="93"/>
        <v/>
      </c>
      <c r="BD89" t="str">
        <f t="shared" si="106"/>
        <v/>
      </c>
      <c r="BE89" s="25" t="str">
        <f t="shared" si="94"/>
        <v/>
      </c>
      <c r="BF89">
        <f t="shared" si="107"/>
        <v>421.9</v>
      </c>
      <c r="BG89" s="25">
        <f t="shared" si="95"/>
        <v>5</v>
      </c>
      <c r="BH89" t="str">
        <f t="shared" si="108"/>
        <v/>
      </c>
      <c r="BI89" s="25" t="str">
        <f t="shared" si="96"/>
        <v/>
      </c>
      <c r="BJ89" t="str">
        <f t="shared" si="109"/>
        <v/>
      </c>
      <c r="BK89" s="25" t="str">
        <f t="shared" si="97"/>
        <v/>
      </c>
    </row>
    <row r="90" spans="1:63">
      <c r="A90">
        <v>15</v>
      </c>
      <c r="B90">
        <v>10</v>
      </c>
      <c r="C90">
        <v>581.29999999999995</v>
      </c>
      <c r="D90">
        <v>8</v>
      </c>
      <c r="E90">
        <v>6</v>
      </c>
      <c r="F90">
        <v>315</v>
      </c>
      <c r="G90">
        <v>419</v>
      </c>
      <c r="H90">
        <v>243.5</v>
      </c>
      <c r="AR90" t="str">
        <f t="shared" si="98"/>
        <v/>
      </c>
      <c r="AS90" s="25" t="str">
        <f t="shared" si="99"/>
        <v/>
      </c>
      <c r="AT90" t="str">
        <f t="shared" si="100"/>
        <v/>
      </c>
      <c r="AU90" s="25" t="str">
        <f t="shared" si="101"/>
        <v/>
      </c>
      <c r="AV90" t="str">
        <f t="shared" si="102"/>
        <v/>
      </c>
      <c r="AW90" s="25" t="str">
        <f t="shared" si="101"/>
        <v/>
      </c>
      <c r="AX90" t="str">
        <f t="shared" si="103"/>
        <v/>
      </c>
      <c r="AY90" s="25" t="str">
        <f t="shared" si="91"/>
        <v/>
      </c>
      <c r="AZ90" t="str">
        <f t="shared" si="104"/>
        <v/>
      </c>
      <c r="BA90" s="25" t="str">
        <f t="shared" si="92"/>
        <v/>
      </c>
      <c r="BB90" t="str">
        <f t="shared" si="105"/>
        <v/>
      </c>
      <c r="BC90" s="25" t="str">
        <f t="shared" si="93"/>
        <v/>
      </c>
      <c r="BD90" t="str">
        <f t="shared" si="106"/>
        <v/>
      </c>
      <c r="BE90" s="25" t="str">
        <f t="shared" si="94"/>
        <v/>
      </c>
      <c r="BF90">
        <f t="shared" si="107"/>
        <v>419</v>
      </c>
      <c r="BG90" s="25">
        <f t="shared" si="95"/>
        <v>6</v>
      </c>
      <c r="BH90" t="str">
        <f t="shared" si="108"/>
        <v/>
      </c>
      <c r="BI90" s="25" t="str">
        <f t="shared" si="96"/>
        <v/>
      </c>
      <c r="BJ90" t="str">
        <f t="shared" si="109"/>
        <v/>
      </c>
      <c r="BK90" s="25" t="str">
        <f t="shared" si="97"/>
        <v/>
      </c>
    </row>
    <row r="91" spans="1:63">
      <c r="A91">
        <v>11</v>
      </c>
      <c r="B91">
        <v>1</v>
      </c>
      <c r="C91">
        <v>596.5</v>
      </c>
      <c r="D91">
        <v>7</v>
      </c>
      <c r="E91">
        <v>9</v>
      </c>
      <c r="F91">
        <v>307</v>
      </c>
      <c r="G91">
        <v>696.3</v>
      </c>
      <c r="H91">
        <v>321.3</v>
      </c>
      <c r="AR91" t="str">
        <f t="shared" si="98"/>
        <v/>
      </c>
      <c r="AS91" s="25" t="str">
        <f t="shared" si="99"/>
        <v/>
      </c>
      <c r="AT91" t="str">
        <f t="shared" si="100"/>
        <v/>
      </c>
      <c r="AU91" s="25" t="str">
        <f t="shared" si="101"/>
        <v/>
      </c>
      <c r="AV91" t="str">
        <f t="shared" si="102"/>
        <v/>
      </c>
      <c r="AW91" s="25" t="str">
        <f t="shared" si="101"/>
        <v/>
      </c>
      <c r="AX91" t="str">
        <f t="shared" si="103"/>
        <v/>
      </c>
      <c r="AY91" s="25" t="str">
        <f t="shared" si="91"/>
        <v/>
      </c>
      <c r="AZ91" t="str">
        <f t="shared" si="104"/>
        <v/>
      </c>
      <c r="BA91" s="25" t="str">
        <f t="shared" si="92"/>
        <v/>
      </c>
      <c r="BB91" t="str">
        <f t="shared" si="105"/>
        <v/>
      </c>
      <c r="BC91" s="25" t="str">
        <f t="shared" si="93"/>
        <v/>
      </c>
      <c r="BD91">
        <f t="shared" si="106"/>
        <v>696.3</v>
      </c>
      <c r="BE91" s="25">
        <f t="shared" si="94"/>
        <v>9</v>
      </c>
      <c r="BF91" t="str">
        <f t="shared" si="107"/>
        <v/>
      </c>
      <c r="BG91" s="25" t="str">
        <f t="shared" si="95"/>
        <v/>
      </c>
      <c r="BH91" t="str">
        <f t="shared" si="108"/>
        <v/>
      </c>
      <c r="BI91" s="25" t="str">
        <f t="shared" si="96"/>
        <v/>
      </c>
      <c r="BJ91" t="str">
        <f t="shared" si="109"/>
        <v/>
      </c>
      <c r="BK91" s="25" t="str">
        <f t="shared" si="97"/>
        <v/>
      </c>
    </row>
    <row r="92" spans="1:63">
      <c r="A92">
        <v>6</v>
      </c>
      <c r="B92">
        <v>12</v>
      </c>
      <c r="C92">
        <v>651.70000000000005</v>
      </c>
      <c r="D92">
        <v>4</v>
      </c>
      <c r="E92">
        <v>11</v>
      </c>
      <c r="F92">
        <v>281</v>
      </c>
      <c r="G92">
        <v>1130.4000000000001</v>
      </c>
      <c r="H92">
        <v>413.4</v>
      </c>
      <c r="AR92" t="str">
        <f t="shared" si="98"/>
        <v/>
      </c>
      <c r="AS92" s="25" t="str">
        <f t="shared" si="99"/>
        <v/>
      </c>
      <c r="AT92" t="str">
        <f t="shared" si="100"/>
        <v/>
      </c>
      <c r="AU92" s="25" t="str">
        <f t="shared" si="101"/>
        <v/>
      </c>
      <c r="AV92" t="str">
        <f t="shared" si="102"/>
        <v/>
      </c>
      <c r="AW92" s="25" t="str">
        <f t="shared" si="101"/>
        <v/>
      </c>
      <c r="AX92">
        <f t="shared" si="103"/>
        <v>1130.4000000000001</v>
      </c>
      <c r="AY92" s="25">
        <f t="shared" si="91"/>
        <v>11</v>
      </c>
      <c r="AZ92" t="str">
        <f t="shared" si="104"/>
        <v/>
      </c>
      <c r="BA92" s="25" t="str">
        <f t="shared" si="92"/>
        <v/>
      </c>
      <c r="BB92" t="str">
        <f t="shared" si="105"/>
        <v/>
      </c>
      <c r="BC92" s="25" t="str">
        <f t="shared" si="93"/>
        <v/>
      </c>
      <c r="BD92" t="str">
        <f t="shared" si="106"/>
        <v/>
      </c>
      <c r="BE92" s="25" t="str">
        <f t="shared" si="94"/>
        <v/>
      </c>
      <c r="BF92" t="str">
        <f t="shared" si="107"/>
        <v/>
      </c>
      <c r="BG92" s="25" t="str">
        <f t="shared" si="95"/>
        <v/>
      </c>
      <c r="BH92" t="str">
        <f t="shared" si="108"/>
        <v/>
      </c>
      <c r="BI92" s="25" t="str">
        <f t="shared" si="96"/>
        <v/>
      </c>
      <c r="BJ92" t="str">
        <f t="shared" si="109"/>
        <v/>
      </c>
      <c r="BK92" s="25" t="str">
        <f t="shared" si="97"/>
        <v/>
      </c>
    </row>
    <row r="93" spans="1:63">
      <c r="A93">
        <v>10</v>
      </c>
      <c r="B93">
        <v>12</v>
      </c>
      <c r="C93">
        <v>685.9</v>
      </c>
      <c r="D93">
        <v>6</v>
      </c>
      <c r="E93">
        <v>11</v>
      </c>
      <c r="F93">
        <v>267</v>
      </c>
      <c r="G93">
        <v>1116.5999999999999</v>
      </c>
      <c r="H93">
        <v>424.9</v>
      </c>
      <c r="AR93" t="str">
        <f t="shared" si="98"/>
        <v/>
      </c>
      <c r="AS93" s="25" t="str">
        <f t="shared" si="99"/>
        <v/>
      </c>
      <c r="AT93" t="str">
        <f t="shared" si="100"/>
        <v/>
      </c>
      <c r="AU93" s="25" t="str">
        <f t="shared" si="101"/>
        <v/>
      </c>
      <c r="AV93" t="str">
        <f t="shared" si="102"/>
        <v/>
      </c>
      <c r="AW93" s="25" t="str">
        <f t="shared" si="101"/>
        <v/>
      </c>
      <c r="AX93" t="str">
        <f t="shared" si="103"/>
        <v/>
      </c>
      <c r="AY93" s="25" t="str">
        <f t="shared" si="91"/>
        <v/>
      </c>
      <c r="AZ93" t="str">
        <f t="shared" si="104"/>
        <v/>
      </c>
      <c r="BA93" s="25" t="str">
        <f t="shared" si="92"/>
        <v/>
      </c>
      <c r="BB93">
        <f t="shared" si="105"/>
        <v>1116.5999999999999</v>
      </c>
      <c r="BC93" s="25">
        <f t="shared" si="93"/>
        <v>11</v>
      </c>
      <c r="BD93" t="str">
        <f t="shared" si="106"/>
        <v/>
      </c>
      <c r="BE93" s="25" t="str">
        <f t="shared" si="94"/>
        <v/>
      </c>
      <c r="BF93" t="str">
        <f t="shared" si="107"/>
        <v/>
      </c>
      <c r="BG93" s="25" t="str">
        <f t="shared" si="95"/>
        <v/>
      </c>
      <c r="BH93" t="str">
        <f t="shared" si="108"/>
        <v/>
      </c>
      <c r="BI93" s="25" t="str">
        <f t="shared" si="96"/>
        <v/>
      </c>
      <c r="BJ93" t="str">
        <f t="shared" si="109"/>
        <v/>
      </c>
      <c r="BK93" s="25" t="str">
        <f t="shared" si="97"/>
        <v/>
      </c>
    </row>
    <row r="94" spans="1:63">
      <c r="A94">
        <v>1</v>
      </c>
      <c r="B94">
        <v>11</v>
      </c>
      <c r="C94">
        <v>696.3</v>
      </c>
      <c r="D94">
        <v>9</v>
      </c>
      <c r="E94">
        <v>7</v>
      </c>
      <c r="F94">
        <v>263</v>
      </c>
      <c r="G94">
        <v>596.5</v>
      </c>
      <c r="H94">
        <v>321.3</v>
      </c>
      <c r="AR94" t="str">
        <f t="shared" si="98"/>
        <v/>
      </c>
      <c r="AS94" s="25" t="str">
        <f t="shared" si="99"/>
        <v/>
      </c>
      <c r="AT94" t="str">
        <f t="shared" si="100"/>
        <v/>
      </c>
      <c r="AU94" s="25" t="str">
        <f t="shared" si="101"/>
        <v/>
      </c>
      <c r="AV94" t="str">
        <f t="shared" si="102"/>
        <v/>
      </c>
      <c r="AW94" s="25" t="str">
        <f t="shared" si="101"/>
        <v/>
      </c>
      <c r="AX94" t="str">
        <f t="shared" si="103"/>
        <v/>
      </c>
      <c r="AY94" s="25" t="str">
        <f t="shared" si="91"/>
        <v/>
      </c>
      <c r="AZ94" t="str">
        <f t="shared" si="104"/>
        <v/>
      </c>
      <c r="BA94" s="25" t="str">
        <f t="shared" si="92"/>
        <v/>
      </c>
      <c r="BB94" t="str">
        <f t="shared" si="105"/>
        <v/>
      </c>
      <c r="BC94" s="25" t="str">
        <f t="shared" si="93"/>
        <v/>
      </c>
      <c r="BD94" t="str">
        <f t="shared" si="106"/>
        <v/>
      </c>
      <c r="BE94" s="25" t="str">
        <f t="shared" si="94"/>
        <v/>
      </c>
      <c r="BF94" t="str">
        <f t="shared" si="107"/>
        <v/>
      </c>
      <c r="BG94" s="25" t="str">
        <f t="shared" si="95"/>
        <v/>
      </c>
      <c r="BH94">
        <f t="shared" si="108"/>
        <v>596.5</v>
      </c>
      <c r="BI94" s="25">
        <f t="shared" si="96"/>
        <v>7</v>
      </c>
      <c r="BJ94" t="str">
        <f t="shared" si="109"/>
        <v/>
      </c>
      <c r="BK94" s="25" t="str">
        <f t="shared" si="97"/>
        <v/>
      </c>
    </row>
    <row r="95" spans="1:63">
      <c r="A95">
        <v>2</v>
      </c>
      <c r="B95">
        <v>1</v>
      </c>
      <c r="C95">
        <v>696.3</v>
      </c>
      <c r="D95">
        <v>10</v>
      </c>
      <c r="E95">
        <v>9</v>
      </c>
      <c r="F95">
        <v>263</v>
      </c>
      <c r="G95">
        <v>792.8</v>
      </c>
      <c r="H95">
        <v>370.7</v>
      </c>
      <c r="AR95" t="str">
        <f t="shared" si="98"/>
        <v/>
      </c>
      <c r="AS95" s="25" t="str">
        <f t="shared" si="99"/>
        <v/>
      </c>
      <c r="AT95" t="str">
        <f t="shared" si="100"/>
        <v/>
      </c>
      <c r="AU95" s="25" t="str">
        <f t="shared" si="101"/>
        <v/>
      </c>
      <c r="AV95" t="str">
        <f t="shared" si="102"/>
        <v/>
      </c>
      <c r="AW95" s="25" t="str">
        <f t="shared" si="101"/>
        <v/>
      </c>
      <c r="AX95" t="str">
        <f t="shared" si="103"/>
        <v/>
      </c>
      <c r="AY95" s="25" t="str">
        <f t="shared" si="91"/>
        <v/>
      </c>
      <c r="AZ95" t="str">
        <f t="shared" si="104"/>
        <v/>
      </c>
      <c r="BA95" s="25" t="str">
        <f t="shared" si="92"/>
        <v/>
      </c>
      <c r="BB95" t="str">
        <f t="shared" si="105"/>
        <v/>
      </c>
      <c r="BC95" s="25" t="str">
        <f t="shared" si="93"/>
        <v/>
      </c>
      <c r="BD95" t="str">
        <f t="shared" si="106"/>
        <v/>
      </c>
      <c r="BE95" s="25" t="str">
        <f t="shared" si="94"/>
        <v/>
      </c>
      <c r="BF95" t="str">
        <f t="shared" si="107"/>
        <v/>
      </c>
      <c r="BG95" s="25" t="str">
        <f t="shared" si="95"/>
        <v/>
      </c>
      <c r="BH95" t="str">
        <f t="shared" si="108"/>
        <v/>
      </c>
      <c r="BI95" s="25" t="str">
        <f t="shared" si="96"/>
        <v/>
      </c>
      <c r="BJ95">
        <f t="shared" si="109"/>
        <v>792.8</v>
      </c>
      <c r="BK95" s="25">
        <f t="shared" si="97"/>
        <v>9</v>
      </c>
    </row>
    <row r="96" spans="1:63">
      <c r="A96">
        <v>11</v>
      </c>
      <c r="B96">
        <v>2</v>
      </c>
      <c r="C96">
        <v>753.6</v>
      </c>
      <c r="D96">
        <v>7</v>
      </c>
      <c r="E96">
        <v>10</v>
      </c>
      <c r="F96">
        <v>243</v>
      </c>
      <c r="G96">
        <v>924.9</v>
      </c>
      <c r="H96">
        <v>415.3</v>
      </c>
      <c r="AR96" t="str">
        <f t="shared" si="98"/>
        <v/>
      </c>
      <c r="AS96" s="25" t="str">
        <f t="shared" si="99"/>
        <v/>
      </c>
      <c r="AT96" t="str">
        <f t="shared" si="100"/>
        <v/>
      </c>
      <c r="AU96" s="25" t="str">
        <f t="shared" si="101"/>
        <v/>
      </c>
      <c r="AV96" t="str">
        <f t="shared" si="102"/>
        <v/>
      </c>
      <c r="AW96" s="25" t="str">
        <f t="shared" si="101"/>
        <v/>
      </c>
      <c r="AX96" t="str">
        <f t="shared" si="103"/>
        <v/>
      </c>
      <c r="AY96" s="25" t="str">
        <f t="shared" si="91"/>
        <v/>
      </c>
      <c r="AZ96" t="str">
        <f t="shared" si="104"/>
        <v/>
      </c>
      <c r="BA96" s="25" t="str">
        <f t="shared" si="92"/>
        <v/>
      </c>
      <c r="BB96" t="str">
        <f t="shared" si="105"/>
        <v/>
      </c>
      <c r="BC96" s="25" t="str">
        <f t="shared" si="93"/>
        <v/>
      </c>
      <c r="BD96">
        <f t="shared" si="106"/>
        <v>924.9</v>
      </c>
      <c r="BE96" s="25">
        <f t="shared" si="94"/>
        <v>10</v>
      </c>
      <c r="BF96" t="str">
        <f t="shared" si="107"/>
        <v/>
      </c>
      <c r="BG96" s="25" t="str">
        <f t="shared" si="95"/>
        <v/>
      </c>
      <c r="BH96" t="str">
        <f t="shared" si="108"/>
        <v/>
      </c>
      <c r="BI96" s="25" t="str">
        <f t="shared" si="96"/>
        <v/>
      </c>
      <c r="BJ96" t="str">
        <f t="shared" si="109"/>
        <v/>
      </c>
      <c r="BK96" s="25" t="str">
        <f t="shared" si="97"/>
        <v/>
      </c>
    </row>
    <row r="97" spans="1:63">
      <c r="A97">
        <v>13</v>
      </c>
      <c r="B97">
        <v>8</v>
      </c>
      <c r="C97">
        <v>769.4</v>
      </c>
      <c r="D97">
        <v>2</v>
      </c>
      <c r="E97">
        <v>12</v>
      </c>
      <c r="F97">
        <v>238</v>
      </c>
      <c r="G97">
        <v>2034.8</v>
      </c>
      <c r="H97">
        <v>558.29999999999995</v>
      </c>
      <c r="AR97" t="str">
        <f t="shared" si="98"/>
        <v/>
      </c>
      <c r="AS97" s="25" t="str">
        <f t="shared" si="99"/>
        <v/>
      </c>
      <c r="AT97">
        <f t="shared" si="100"/>
        <v>2034.8</v>
      </c>
      <c r="AU97" s="25">
        <f t="shared" si="101"/>
        <v>12</v>
      </c>
      <c r="AV97" t="str">
        <f t="shared" si="102"/>
        <v/>
      </c>
      <c r="AW97" s="25" t="str">
        <f t="shared" si="101"/>
        <v/>
      </c>
      <c r="AX97" t="str">
        <f t="shared" si="103"/>
        <v/>
      </c>
      <c r="AY97" s="25" t="str">
        <f t="shared" si="91"/>
        <v/>
      </c>
      <c r="AZ97" t="str">
        <f t="shared" si="104"/>
        <v/>
      </c>
      <c r="BA97" s="25" t="str">
        <f t="shared" si="92"/>
        <v/>
      </c>
      <c r="BB97" t="str">
        <f t="shared" si="105"/>
        <v/>
      </c>
      <c r="BC97" s="25" t="str">
        <f t="shared" si="93"/>
        <v/>
      </c>
      <c r="BD97" t="str">
        <f t="shared" si="106"/>
        <v/>
      </c>
      <c r="BE97" s="25" t="str">
        <f t="shared" si="94"/>
        <v/>
      </c>
      <c r="BF97" t="str">
        <f t="shared" si="107"/>
        <v/>
      </c>
      <c r="BG97" s="25" t="str">
        <f t="shared" si="95"/>
        <v/>
      </c>
      <c r="BH97" t="str">
        <f t="shared" si="108"/>
        <v/>
      </c>
      <c r="BI97" s="25" t="str">
        <f t="shared" si="96"/>
        <v/>
      </c>
      <c r="BJ97" t="str">
        <f t="shared" si="109"/>
        <v/>
      </c>
      <c r="BK97" s="25" t="str">
        <f t="shared" si="97"/>
        <v/>
      </c>
    </row>
    <row r="98" spans="1:63">
      <c r="A98">
        <v>1</v>
      </c>
      <c r="B98">
        <v>2</v>
      </c>
      <c r="C98">
        <v>792.8</v>
      </c>
      <c r="D98">
        <v>9</v>
      </c>
      <c r="E98">
        <v>10</v>
      </c>
      <c r="F98">
        <v>231</v>
      </c>
      <c r="G98">
        <v>696.3</v>
      </c>
      <c r="H98">
        <v>370.7</v>
      </c>
      <c r="AR98" t="str">
        <f t="shared" si="98"/>
        <v/>
      </c>
      <c r="AS98" s="25" t="str">
        <f t="shared" si="99"/>
        <v/>
      </c>
      <c r="AT98" t="str">
        <f t="shared" si="100"/>
        <v/>
      </c>
      <c r="AU98" s="25" t="str">
        <f t="shared" si="101"/>
        <v/>
      </c>
      <c r="AV98" t="str">
        <f t="shared" si="102"/>
        <v/>
      </c>
      <c r="AW98" s="25" t="str">
        <f t="shared" si="101"/>
        <v/>
      </c>
      <c r="AX98" t="str">
        <f t="shared" si="103"/>
        <v/>
      </c>
      <c r="AY98" s="25" t="str">
        <f t="shared" si="91"/>
        <v/>
      </c>
      <c r="AZ98" t="str">
        <f t="shared" si="104"/>
        <v/>
      </c>
      <c r="BA98" s="25" t="str">
        <f t="shared" si="92"/>
        <v/>
      </c>
      <c r="BB98" t="str">
        <f t="shared" si="105"/>
        <v/>
      </c>
      <c r="BC98" s="25" t="str">
        <f t="shared" si="93"/>
        <v/>
      </c>
      <c r="BD98" t="str">
        <f t="shared" si="106"/>
        <v/>
      </c>
      <c r="BE98" s="25" t="str">
        <f t="shared" si="94"/>
        <v/>
      </c>
      <c r="BF98" t="str">
        <f t="shared" si="107"/>
        <v/>
      </c>
      <c r="BG98" s="25" t="str">
        <f t="shared" si="95"/>
        <v/>
      </c>
      <c r="BH98">
        <f t="shared" si="108"/>
        <v>696.3</v>
      </c>
      <c r="BI98" s="25">
        <f t="shared" si="96"/>
        <v>10</v>
      </c>
      <c r="BJ98" t="str">
        <f t="shared" si="109"/>
        <v/>
      </c>
      <c r="BK98" s="25" t="str">
        <f t="shared" si="97"/>
        <v/>
      </c>
    </row>
    <row r="99" spans="1:63">
      <c r="A99">
        <v>9</v>
      </c>
      <c r="B99">
        <v>8</v>
      </c>
      <c r="C99">
        <v>832.4</v>
      </c>
      <c r="D99">
        <v>3</v>
      </c>
      <c r="E99">
        <v>12</v>
      </c>
      <c r="F99">
        <v>220</v>
      </c>
      <c r="G99">
        <v>1927.7</v>
      </c>
      <c r="H99">
        <v>581.4</v>
      </c>
      <c r="AR99" t="str">
        <f t="shared" si="98"/>
        <v/>
      </c>
      <c r="AS99" s="25" t="str">
        <f t="shared" si="99"/>
        <v/>
      </c>
      <c r="AT99" t="str">
        <f t="shared" si="100"/>
        <v/>
      </c>
      <c r="AU99" s="25" t="str">
        <f t="shared" si="101"/>
        <v/>
      </c>
      <c r="AV99">
        <f t="shared" si="102"/>
        <v>1927.7</v>
      </c>
      <c r="AW99" s="25">
        <f t="shared" si="101"/>
        <v>12</v>
      </c>
      <c r="AX99" t="str">
        <f t="shared" si="103"/>
        <v/>
      </c>
      <c r="AY99" s="25" t="str">
        <f t="shared" si="91"/>
        <v/>
      </c>
      <c r="AZ99" t="str">
        <f t="shared" si="104"/>
        <v/>
      </c>
      <c r="BA99" s="25" t="str">
        <f t="shared" si="92"/>
        <v/>
      </c>
      <c r="BB99" t="str">
        <f t="shared" si="105"/>
        <v/>
      </c>
      <c r="BC99" s="25" t="str">
        <f t="shared" si="93"/>
        <v/>
      </c>
      <c r="BD99" t="str">
        <f t="shared" si="106"/>
        <v/>
      </c>
      <c r="BE99" s="25" t="str">
        <f t="shared" si="94"/>
        <v/>
      </c>
      <c r="BF99" t="str">
        <f t="shared" si="107"/>
        <v/>
      </c>
      <c r="BG99" s="25" t="str">
        <f t="shared" si="95"/>
        <v/>
      </c>
      <c r="BH99" t="str">
        <f t="shared" si="108"/>
        <v/>
      </c>
      <c r="BI99" s="25" t="str">
        <f t="shared" si="96"/>
        <v/>
      </c>
      <c r="BJ99" t="str">
        <f t="shared" si="109"/>
        <v/>
      </c>
      <c r="BK99" s="25" t="str">
        <f t="shared" si="97"/>
        <v/>
      </c>
    </row>
    <row r="100" spans="1:63">
      <c r="A100">
        <v>11</v>
      </c>
      <c r="B100">
        <v>15</v>
      </c>
      <c r="C100">
        <v>832.4</v>
      </c>
      <c r="D100">
        <v>7</v>
      </c>
      <c r="E100">
        <v>8</v>
      </c>
      <c r="F100">
        <v>220</v>
      </c>
      <c r="G100">
        <v>1000.7</v>
      </c>
      <c r="H100">
        <v>454.4</v>
      </c>
      <c r="AR100" t="str">
        <f t="shared" si="98"/>
        <v/>
      </c>
      <c r="AS100" s="25" t="str">
        <f t="shared" si="99"/>
        <v/>
      </c>
      <c r="AT100" t="str">
        <f t="shared" si="100"/>
        <v/>
      </c>
      <c r="AU100" s="25" t="str">
        <f t="shared" si="101"/>
        <v/>
      </c>
      <c r="AV100" t="str">
        <f t="shared" si="102"/>
        <v/>
      </c>
      <c r="AW100" s="25" t="str">
        <f t="shared" si="101"/>
        <v/>
      </c>
      <c r="AX100" t="str">
        <f t="shared" si="103"/>
        <v/>
      </c>
      <c r="AY100" s="25" t="str">
        <f t="shared" si="91"/>
        <v/>
      </c>
      <c r="AZ100" t="str">
        <f t="shared" si="104"/>
        <v/>
      </c>
      <c r="BA100" s="25" t="str">
        <f t="shared" si="92"/>
        <v/>
      </c>
      <c r="BB100" t="str">
        <f t="shared" si="105"/>
        <v/>
      </c>
      <c r="BC100" s="25" t="str">
        <f t="shared" si="93"/>
        <v/>
      </c>
      <c r="BD100">
        <f t="shared" si="106"/>
        <v>1000.7</v>
      </c>
      <c r="BE100" s="25">
        <f t="shared" si="94"/>
        <v>8</v>
      </c>
      <c r="BF100" t="str">
        <f t="shared" si="107"/>
        <v/>
      </c>
      <c r="BG100" s="25" t="str">
        <f t="shared" si="95"/>
        <v/>
      </c>
      <c r="BH100" t="str">
        <f t="shared" si="108"/>
        <v/>
      </c>
      <c r="BI100" s="25" t="str">
        <f t="shared" si="96"/>
        <v/>
      </c>
      <c r="BJ100" t="str">
        <f t="shared" si="109"/>
        <v/>
      </c>
      <c r="BK100" s="25" t="str">
        <f t="shared" si="97"/>
        <v/>
      </c>
    </row>
    <row r="101" spans="1:63">
      <c r="A101">
        <v>12</v>
      </c>
      <c r="B101">
        <v>9</v>
      </c>
      <c r="C101">
        <v>836.2</v>
      </c>
      <c r="D101">
        <v>11</v>
      </c>
      <c r="E101">
        <v>3</v>
      </c>
      <c r="F101">
        <v>219</v>
      </c>
      <c r="G101">
        <v>394.6</v>
      </c>
      <c r="H101">
        <v>268.10000000000002</v>
      </c>
      <c r="AR101" t="str">
        <f t="shared" si="98"/>
        <v/>
      </c>
      <c r="AS101" s="25" t="str">
        <f t="shared" si="99"/>
        <v/>
      </c>
      <c r="AT101" t="str">
        <f t="shared" si="100"/>
        <v/>
      </c>
      <c r="AU101" s="25" t="str">
        <f t="shared" ref="AU101:AU150" si="110">IFERROR(IF(AT101="","",$E101),"")</f>
        <v/>
      </c>
      <c r="AV101" t="str">
        <f t="shared" si="102"/>
        <v/>
      </c>
      <c r="AW101" s="25" t="str">
        <f t="shared" ref="AW101:AW150" si="111">IFERROR(IF(AV101="","",$E101),"")</f>
        <v/>
      </c>
      <c r="AX101" t="str">
        <f t="shared" si="103"/>
        <v/>
      </c>
      <c r="AY101" s="25" t="str">
        <f t="shared" si="91"/>
        <v/>
      </c>
      <c r="AZ101" t="str">
        <f t="shared" si="104"/>
        <v/>
      </c>
      <c r="BA101" s="25" t="str">
        <f t="shared" si="92"/>
        <v/>
      </c>
      <c r="BB101" t="str">
        <f t="shared" si="105"/>
        <v/>
      </c>
      <c r="BC101" s="25" t="str">
        <f t="shared" si="93"/>
        <v/>
      </c>
      <c r="BD101" t="str">
        <f t="shared" si="106"/>
        <v/>
      </c>
      <c r="BE101" s="25" t="str">
        <f t="shared" si="94"/>
        <v/>
      </c>
      <c r="BF101" t="str">
        <f t="shared" si="107"/>
        <v/>
      </c>
      <c r="BG101" s="25" t="str">
        <f t="shared" si="95"/>
        <v/>
      </c>
      <c r="BH101" t="str">
        <f t="shared" si="108"/>
        <v/>
      </c>
      <c r="BI101" s="25" t="str">
        <f t="shared" si="96"/>
        <v/>
      </c>
      <c r="BJ101" t="str">
        <f t="shared" si="109"/>
        <v/>
      </c>
    </row>
    <row r="102" spans="1:63">
      <c r="A102">
        <v>15</v>
      </c>
      <c r="B102">
        <v>1</v>
      </c>
      <c r="C102">
        <v>920.2</v>
      </c>
      <c r="D102">
        <v>8</v>
      </c>
      <c r="E102">
        <v>9</v>
      </c>
      <c r="F102">
        <v>199</v>
      </c>
      <c r="G102">
        <v>1046.5</v>
      </c>
      <c r="H102">
        <v>489.6</v>
      </c>
      <c r="AR102" t="str">
        <f t="shared" si="98"/>
        <v/>
      </c>
      <c r="AS102" s="25" t="str">
        <f t="shared" si="99"/>
        <v/>
      </c>
      <c r="AT102" t="str">
        <f t="shared" si="100"/>
        <v/>
      </c>
      <c r="AU102" s="25" t="str">
        <f t="shared" si="110"/>
        <v/>
      </c>
      <c r="AV102" t="str">
        <f t="shared" si="102"/>
        <v/>
      </c>
      <c r="AW102" s="25" t="str">
        <f t="shared" si="111"/>
        <v/>
      </c>
      <c r="AX102" t="str">
        <f t="shared" si="103"/>
        <v/>
      </c>
      <c r="AY102" s="25" t="str">
        <f t="shared" si="91"/>
        <v/>
      </c>
      <c r="AZ102" t="str">
        <f t="shared" si="104"/>
        <v/>
      </c>
      <c r="BA102" s="25" t="str">
        <f t="shared" si="92"/>
        <v/>
      </c>
      <c r="BB102" t="str">
        <f t="shared" si="105"/>
        <v/>
      </c>
      <c r="BC102" s="25" t="str">
        <f t="shared" si="93"/>
        <v/>
      </c>
      <c r="BD102" t="str">
        <f t="shared" si="106"/>
        <v/>
      </c>
      <c r="BE102" s="25" t="str">
        <f t="shared" si="94"/>
        <v/>
      </c>
      <c r="BF102">
        <f t="shared" si="107"/>
        <v>1046.5</v>
      </c>
      <c r="BG102" s="25">
        <f t="shared" si="95"/>
        <v>9</v>
      </c>
      <c r="BH102" t="str">
        <f t="shared" si="108"/>
        <v/>
      </c>
      <c r="BI102" s="25" t="str">
        <f t="shared" si="96"/>
        <v/>
      </c>
      <c r="BJ102" t="str">
        <f t="shared" si="109"/>
        <v/>
      </c>
    </row>
    <row r="103" spans="1:63">
      <c r="A103">
        <v>2</v>
      </c>
      <c r="B103">
        <v>11</v>
      </c>
      <c r="C103">
        <v>924.9</v>
      </c>
      <c r="D103">
        <v>10</v>
      </c>
      <c r="E103">
        <v>7</v>
      </c>
      <c r="F103">
        <v>198</v>
      </c>
      <c r="G103">
        <v>753.6</v>
      </c>
      <c r="H103">
        <v>415.3</v>
      </c>
      <c r="AR103" t="str">
        <f t="shared" si="98"/>
        <v/>
      </c>
      <c r="AS103" s="25" t="str">
        <f t="shared" si="99"/>
        <v/>
      </c>
      <c r="AT103" t="str">
        <f t="shared" si="100"/>
        <v/>
      </c>
      <c r="AU103" s="25" t="str">
        <f t="shared" si="110"/>
        <v/>
      </c>
      <c r="AV103" t="str">
        <f t="shared" si="102"/>
        <v/>
      </c>
      <c r="AW103" s="25" t="str">
        <f t="shared" si="111"/>
        <v/>
      </c>
      <c r="AX103" t="str">
        <f t="shared" si="103"/>
        <v/>
      </c>
      <c r="AY103" s="25" t="str">
        <f t="shared" si="91"/>
        <v/>
      </c>
      <c r="AZ103" t="str">
        <f t="shared" si="104"/>
        <v/>
      </c>
      <c r="BA103" s="25" t="str">
        <f t="shared" si="92"/>
        <v/>
      </c>
      <c r="BB103" t="str">
        <f t="shared" si="105"/>
        <v/>
      </c>
      <c r="BC103" s="25" t="str">
        <f t="shared" si="93"/>
        <v/>
      </c>
      <c r="BD103" t="str">
        <f t="shared" si="106"/>
        <v/>
      </c>
      <c r="BE103" s="25" t="str">
        <f t="shared" si="94"/>
        <v/>
      </c>
      <c r="BF103" t="str">
        <f t="shared" si="107"/>
        <v/>
      </c>
      <c r="BG103" s="25" t="str">
        <f t="shared" si="95"/>
        <v/>
      </c>
      <c r="BH103" t="str">
        <f t="shared" si="108"/>
        <v/>
      </c>
      <c r="BI103" s="25" t="str">
        <f t="shared" si="96"/>
        <v/>
      </c>
      <c r="BJ103">
        <f t="shared" si="109"/>
        <v>753.6</v>
      </c>
    </row>
    <row r="104" spans="1:63">
      <c r="A104">
        <v>4</v>
      </c>
      <c r="B104">
        <v>3</v>
      </c>
      <c r="C104">
        <v>929.6</v>
      </c>
      <c r="D104">
        <v>13</v>
      </c>
      <c r="E104">
        <v>1</v>
      </c>
      <c r="F104">
        <v>197</v>
      </c>
      <c r="G104">
        <v>418.1</v>
      </c>
      <c r="H104">
        <v>288.39999999999998</v>
      </c>
      <c r="AR104" t="str">
        <f t="shared" si="98"/>
        <v/>
      </c>
      <c r="AS104" s="25" t="str">
        <f t="shared" si="99"/>
        <v/>
      </c>
      <c r="AT104" t="str">
        <f t="shared" si="100"/>
        <v/>
      </c>
      <c r="AU104" s="25" t="str">
        <f t="shared" si="110"/>
        <v/>
      </c>
      <c r="AV104" t="str">
        <f t="shared" si="102"/>
        <v/>
      </c>
      <c r="AW104" s="25" t="str">
        <f t="shared" si="111"/>
        <v/>
      </c>
      <c r="AX104" t="str">
        <f t="shared" si="103"/>
        <v/>
      </c>
      <c r="AY104" s="25" t="str">
        <f t="shared" si="91"/>
        <v/>
      </c>
      <c r="AZ104" t="str">
        <f t="shared" si="104"/>
        <v/>
      </c>
      <c r="BA104" s="25" t="str">
        <f t="shared" si="92"/>
        <v/>
      </c>
      <c r="BB104" t="str">
        <f t="shared" si="105"/>
        <v/>
      </c>
      <c r="BC104" s="25" t="str">
        <f t="shared" si="93"/>
        <v/>
      </c>
      <c r="BD104" t="str">
        <f t="shared" si="106"/>
        <v/>
      </c>
      <c r="BE104" s="25" t="str">
        <f t="shared" si="94"/>
        <v/>
      </c>
      <c r="BF104" t="str">
        <f t="shared" si="107"/>
        <v/>
      </c>
      <c r="BG104" s="25" t="str">
        <f t="shared" si="95"/>
        <v/>
      </c>
      <c r="BH104" t="str">
        <f t="shared" si="108"/>
        <v/>
      </c>
      <c r="BI104" s="25" t="str">
        <f t="shared" si="96"/>
        <v/>
      </c>
      <c r="BJ104" t="str">
        <f t="shared" si="109"/>
        <v/>
      </c>
    </row>
    <row r="105" spans="1:63">
      <c r="A105">
        <v>8</v>
      </c>
      <c r="B105">
        <v>3</v>
      </c>
      <c r="C105">
        <v>934.3</v>
      </c>
      <c r="D105">
        <v>12</v>
      </c>
      <c r="E105">
        <v>1</v>
      </c>
      <c r="F105">
        <v>196</v>
      </c>
      <c r="G105">
        <v>358.3</v>
      </c>
      <c r="H105">
        <v>259</v>
      </c>
      <c r="AR105" t="str">
        <f t="shared" si="98"/>
        <v/>
      </c>
      <c r="AS105" s="25" t="str">
        <f t="shared" si="99"/>
        <v/>
      </c>
      <c r="AT105" t="str">
        <f t="shared" si="100"/>
        <v/>
      </c>
      <c r="AU105" s="25" t="str">
        <f t="shared" si="110"/>
        <v/>
      </c>
      <c r="AV105" t="str">
        <f t="shared" si="102"/>
        <v/>
      </c>
      <c r="AW105" s="25" t="str">
        <f t="shared" si="111"/>
        <v/>
      </c>
      <c r="AX105" t="str">
        <f t="shared" si="103"/>
        <v/>
      </c>
      <c r="AY105" s="25" t="str">
        <f t="shared" si="91"/>
        <v/>
      </c>
      <c r="AZ105" t="str">
        <f t="shared" si="104"/>
        <v/>
      </c>
      <c r="BA105" s="25" t="str">
        <f t="shared" si="92"/>
        <v/>
      </c>
      <c r="BB105" t="str">
        <f t="shared" si="105"/>
        <v/>
      </c>
      <c r="BC105" s="25" t="str">
        <f t="shared" si="93"/>
        <v/>
      </c>
      <c r="BD105" t="str">
        <f t="shared" si="106"/>
        <v/>
      </c>
      <c r="BE105" s="25" t="str">
        <f t="shared" si="94"/>
        <v/>
      </c>
      <c r="BF105" t="str">
        <f t="shared" si="107"/>
        <v/>
      </c>
      <c r="BG105" s="25" t="str">
        <f t="shared" si="95"/>
        <v/>
      </c>
      <c r="BH105" t="str">
        <f t="shared" si="108"/>
        <v/>
      </c>
      <c r="BI105" s="25" t="str">
        <f t="shared" si="96"/>
        <v/>
      </c>
      <c r="BJ105" t="str">
        <f t="shared" si="109"/>
        <v/>
      </c>
    </row>
    <row r="106" spans="1:63">
      <c r="A106">
        <v>5</v>
      </c>
      <c r="B106">
        <v>12</v>
      </c>
      <c r="C106">
        <v>944</v>
      </c>
      <c r="D106">
        <v>5</v>
      </c>
      <c r="E106">
        <v>11</v>
      </c>
      <c r="F106">
        <v>194</v>
      </c>
      <c r="G106">
        <v>1356.5</v>
      </c>
      <c r="H106">
        <v>556.6</v>
      </c>
      <c r="AR106" t="str">
        <f t="shared" si="98"/>
        <v/>
      </c>
      <c r="AS106" s="25" t="str">
        <f t="shared" si="99"/>
        <v/>
      </c>
      <c r="AT106" t="str">
        <f t="shared" si="100"/>
        <v/>
      </c>
      <c r="AU106" s="25" t="str">
        <f t="shared" si="110"/>
        <v/>
      </c>
      <c r="AV106" t="str">
        <f t="shared" si="102"/>
        <v/>
      </c>
      <c r="AW106" s="25" t="str">
        <f t="shared" si="111"/>
        <v/>
      </c>
      <c r="AX106" t="str">
        <f t="shared" si="103"/>
        <v/>
      </c>
      <c r="AY106" s="25" t="str">
        <f t="shared" si="91"/>
        <v/>
      </c>
      <c r="AZ106">
        <f t="shared" si="104"/>
        <v>1356.5</v>
      </c>
      <c r="BA106" s="25">
        <f t="shared" si="92"/>
        <v>11</v>
      </c>
      <c r="BB106" t="str">
        <f t="shared" si="105"/>
        <v/>
      </c>
      <c r="BC106" s="25" t="str">
        <f t="shared" si="93"/>
        <v/>
      </c>
      <c r="BD106" t="str">
        <f t="shared" si="106"/>
        <v/>
      </c>
      <c r="BE106" s="25" t="str">
        <f t="shared" si="94"/>
        <v/>
      </c>
      <c r="BF106" t="str">
        <f t="shared" si="107"/>
        <v/>
      </c>
      <c r="BG106" s="25" t="str">
        <f t="shared" si="95"/>
        <v/>
      </c>
      <c r="BH106" t="str">
        <f t="shared" si="108"/>
        <v/>
      </c>
      <c r="BI106" s="25" t="str">
        <f t="shared" si="96"/>
        <v/>
      </c>
      <c r="BJ106" t="str">
        <f t="shared" si="109"/>
        <v/>
      </c>
    </row>
    <row r="107" spans="1:63">
      <c r="A107">
        <v>12</v>
      </c>
      <c r="B107">
        <v>13</v>
      </c>
      <c r="C107">
        <v>984.6</v>
      </c>
      <c r="D107">
        <v>11</v>
      </c>
      <c r="E107">
        <v>2</v>
      </c>
      <c r="F107">
        <v>186</v>
      </c>
      <c r="G107">
        <v>488.3</v>
      </c>
      <c r="H107">
        <v>326.39999999999998</v>
      </c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R107" t="str">
        <f t="shared" si="98"/>
        <v/>
      </c>
      <c r="AS107" s="25" t="str">
        <f t="shared" si="99"/>
        <v/>
      </c>
      <c r="AT107" t="str">
        <f t="shared" si="100"/>
        <v/>
      </c>
      <c r="AU107" s="25" t="str">
        <f t="shared" si="110"/>
        <v/>
      </c>
      <c r="AV107" t="str">
        <f t="shared" si="102"/>
        <v/>
      </c>
      <c r="AW107" s="25" t="str">
        <f t="shared" si="111"/>
        <v/>
      </c>
      <c r="AX107" t="str">
        <f t="shared" si="103"/>
        <v/>
      </c>
      <c r="AY107" s="25" t="str">
        <f t="shared" si="91"/>
        <v/>
      </c>
      <c r="AZ107" t="str">
        <f t="shared" si="104"/>
        <v/>
      </c>
      <c r="BA107" s="25" t="str">
        <f t="shared" si="92"/>
        <v/>
      </c>
      <c r="BB107" t="str">
        <f t="shared" si="105"/>
        <v/>
      </c>
      <c r="BC107" s="25" t="str">
        <f t="shared" si="93"/>
        <v/>
      </c>
      <c r="BD107" t="str">
        <f t="shared" si="106"/>
        <v/>
      </c>
      <c r="BE107" s="25" t="str">
        <f t="shared" si="94"/>
        <v/>
      </c>
      <c r="BF107" t="str">
        <f t="shared" si="107"/>
        <v/>
      </c>
      <c r="BG107" s="25" t="str">
        <f t="shared" si="95"/>
        <v/>
      </c>
      <c r="BH107" t="str">
        <f t="shared" si="108"/>
        <v/>
      </c>
      <c r="BI107" s="25" t="str">
        <f t="shared" si="96"/>
        <v/>
      </c>
      <c r="BJ107" t="str">
        <f t="shared" si="109"/>
        <v/>
      </c>
    </row>
    <row r="108" spans="1:63">
      <c r="A108">
        <v>14</v>
      </c>
      <c r="B108">
        <v>3</v>
      </c>
      <c r="C108">
        <v>1000.7</v>
      </c>
      <c r="D108">
        <v>14</v>
      </c>
      <c r="E108">
        <v>1</v>
      </c>
      <c r="F108">
        <v>183</v>
      </c>
      <c r="G108">
        <v>409.7</v>
      </c>
      <c r="H108">
        <v>290.7</v>
      </c>
      <c r="AR108" t="str">
        <f t="shared" si="98"/>
        <v/>
      </c>
      <c r="AS108" s="25" t="str">
        <f t="shared" si="99"/>
        <v/>
      </c>
      <c r="AT108" t="str">
        <f t="shared" si="100"/>
        <v/>
      </c>
      <c r="AU108" s="25" t="str">
        <f t="shared" si="110"/>
        <v/>
      </c>
      <c r="AV108" t="str">
        <f t="shared" si="102"/>
        <v/>
      </c>
      <c r="AW108" s="25" t="str">
        <f t="shared" si="111"/>
        <v/>
      </c>
      <c r="AX108" t="str">
        <f t="shared" si="103"/>
        <v/>
      </c>
      <c r="AY108" s="25" t="str">
        <f t="shared" si="91"/>
        <v/>
      </c>
      <c r="AZ108" t="str">
        <f t="shared" si="104"/>
        <v/>
      </c>
      <c r="BA108" s="25" t="str">
        <f t="shared" si="92"/>
        <v/>
      </c>
      <c r="BB108" t="str">
        <f t="shared" si="105"/>
        <v/>
      </c>
      <c r="BC108" s="25" t="str">
        <f t="shared" si="93"/>
        <v/>
      </c>
      <c r="BD108" t="str">
        <f t="shared" si="106"/>
        <v/>
      </c>
      <c r="BE108" s="25" t="str">
        <f t="shared" si="94"/>
        <v/>
      </c>
      <c r="BF108" t="str">
        <f t="shared" si="107"/>
        <v/>
      </c>
      <c r="BG108" s="25" t="str">
        <f t="shared" si="95"/>
        <v/>
      </c>
      <c r="BH108" t="str">
        <f t="shared" si="108"/>
        <v/>
      </c>
      <c r="BI108" s="25" t="str">
        <f t="shared" si="96"/>
        <v/>
      </c>
      <c r="BJ108" t="str">
        <f t="shared" si="109"/>
        <v/>
      </c>
    </row>
    <row r="109" spans="1:63">
      <c r="A109">
        <v>15</v>
      </c>
      <c r="B109">
        <v>11</v>
      </c>
      <c r="C109">
        <v>1000.7</v>
      </c>
      <c r="D109">
        <v>8</v>
      </c>
      <c r="E109">
        <v>7</v>
      </c>
      <c r="F109">
        <v>183</v>
      </c>
      <c r="G109">
        <v>832.4</v>
      </c>
      <c r="H109">
        <v>454.4</v>
      </c>
      <c r="AR109" t="str">
        <f t="shared" si="98"/>
        <v/>
      </c>
      <c r="AS109" s="25" t="str">
        <f t="shared" si="99"/>
        <v/>
      </c>
      <c r="AT109" t="str">
        <f t="shared" si="100"/>
        <v/>
      </c>
      <c r="AU109" s="25" t="str">
        <f t="shared" si="110"/>
        <v/>
      </c>
      <c r="AV109" t="str">
        <f t="shared" si="102"/>
        <v/>
      </c>
      <c r="AW109" s="25" t="str">
        <f t="shared" si="111"/>
        <v/>
      </c>
      <c r="AX109" t="str">
        <f t="shared" si="103"/>
        <v/>
      </c>
      <c r="AY109" s="25" t="str">
        <f t="shared" si="91"/>
        <v/>
      </c>
      <c r="AZ109" t="str">
        <f t="shared" si="104"/>
        <v/>
      </c>
      <c r="BA109" s="25" t="str">
        <f t="shared" si="92"/>
        <v/>
      </c>
      <c r="BB109" t="str">
        <f t="shared" si="105"/>
        <v/>
      </c>
      <c r="BC109" s="25" t="str">
        <f t="shared" si="93"/>
        <v/>
      </c>
      <c r="BD109" t="str">
        <f t="shared" si="106"/>
        <v/>
      </c>
      <c r="BE109" s="25" t="str">
        <f t="shared" si="94"/>
        <v/>
      </c>
      <c r="BF109">
        <f t="shared" si="107"/>
        <v>832.4</v>
      </c>
      <c r="BG109" s="25">
        <f t="shared" si="95"/>
        <v>7</v>
      </c>
      <c r="BH109" t="str">
        <f t="shared" si="108"/>
        <v/>
      </c>
      <c r="BI109" s="25" t="str">
        <f t="shared" si="96"/>
        <v/>
      </c>
      <c r="BJ109" t="str">
        <f t="shared" si="109"/>
        <v/>
      </c>
    </row>
    <row r="110" spans="1:63">
      <c r="A110">
        <v>1</v>
      </c>
      <c r="B110">
        <v>15</v>
      </c>
      <c r="C110">
        <v>1046.5</v>
      </c>
      <c r="D110">
        <v>9</v>
      </c>
      <c r="E110">
        <v>8</v>
      </c>
      <c r="F110">
        <v>175</v>
      </c>
      <c r="G110">
        <v>920.2</v>
      </c>
      <c r="H110">
        <v>489.6</v>
      </c>
      <c r="AR110" t="str">
        <f t="shared" si="98"/>
        <v/>
      </c>
      <c r="AS110" s="25" t="str">
        <f t="shared" si="99"/>
        <v/>
      </c>
      <c r="AT110" t="str">
        <f t="shared" si="100"/>
        <v/>
      </c>
      <c r="AU110" s="25" t="str">
        <f t="shared" si="110"/>
        <v/>
      </c>
      <c r="AV110" t="str">
        <f t="shared" si="102"/>
        <v/>
      </c>
      <c r="AW110" s="25" t="str">
        <f t="shared" si="111"/>
        <v/>
      </c>
      <c r="AX110" t="str">
        <f t="shared" si="103"/>
        <v/>
      </c>
      <c r="AY110" s="25" t="str">
        <f t="shared" si="91"/>
        <v/>
      </c>
      <c r="AZ110" t="str">
        <f t="shared" si="104"/>
        <v/>
      </c>
      <c r="BA110" s="25" t="str">
        <f t="shared" si="92"/>
        <v/>
      </c>
      <c r="BB110" t="str">
        <f t="shared" si="105"/>
        <v/>
      </c>
      <c r="BC110" s="25" t="str">
        <f t="shared" si="93"/>
        <v/>
      </c>
      <c r="BD110" t="str">
        <f t="shared" si="106"/>
        <v/>
      </c>
      <c r="BE110" s="25" t="str">
        <f t="shared" si="94"/>
        <v/>
      </c>
      <c r="BF110" t="str">
        <f t="shared" si="107"/>
        <v/>
      </c>
      <c r="BG110" s="25" t="str">
        <f t="shared" si="95"/>
        <v/>
      </c>
      <c r="BH110">
        <f t="shared" si="108"/>
        <v>920.2</v>
      </c>
      <c r="BI110" s="25">
        <f t="shared" si="96"/>
        <v>8</v>
      </c>
      <c r="BJ110" t="str">
        <f t="shared" si="109"/>
        <v/>
      </c>
    </row>
    <row r="111" spans="1:63">
      <c r="A111">
        <v>9</v>
      </c>
      <c r="B111">
        <v>4</v>
      </c>
      <c r="C111">
        <v>1052.5</v>
      </c>
      <c r="D111">
        <v>3</v>
      </c>
      <c r="E111">
        <v>13</v>
      </c>
      <c r="F111">
        <v>174</v>
      </c>
      <c r="G111">
        <v>1695.7</v>
      </c>
      <c r="H111">
        <v>649.4</v>
      </c>
      <c r="AR111" t="str">
        <f t="shared" si="98"/>
        <v/>
      </c>
      <c r="AS111" s="25" t="str">
        <f t="shared" si="99"/>
        <v/>
      </c>
      <c r="AT111" t="str">
        <f t="shared" si="100"/>
        <v/>
      </c>
      <c r="AU111" s="25" t="str">
        <f t="shared" si="110"/>
        <v/>
      </c>
      <c r="AV111">
        <f t="shared" si="102"/>
        <v>1695.7</v>
      </c>
      <c r="AW111" s="25">
        <f t="shared" si="111"/>
        <v>13</v>
      </c>
      <c r="AX111" t="str">
        <f t="shared" si="103"/>
        <v/>
      </c>
      <c r="AY111" s="25" t="str">
        <f t="shared" si="91"/>
        <v/>
      </c>
      <c r="AZ111" t="str">
        <f t="shared" si="104"/>
        <v/>
      </c>
      <c r="BA111" s="25" t="str">
        <f t="shared" si="92"/>
        <v/>
      </c>
      <c r="BB111" t="str">
        <f t="shared" si="105"/>
        <v/>
      </c>
      <c r="BC111" s="25" t="str">
        <f t="shared" si="93"/>
        <v/>
      </c>
      <c r="BD111" t="str">
        <f t="shared" si="106"/>
        <v/>
      </c>
      <c r="BE111" s="25" t="str">
        <f t="shared" si="94"/>
        <v/>
      </c>
      <c r="BF111" t="str">
        <f t="shared" si="107"/>
        <v/>
      </c>
      <c r="BG111" s="25" t="str">
        <f t="shared" si="95"/>
        <v/>
      </c>
      <c r="BH111" t="str">
        <f t="shared" si="108"/>
        <v/>
      </c>
      <c r="BI111" s="25" t="str">
        <f t="shared" si="96"/>
        <v/>
      </c>
      <c r="BJ111" t="str">
        <f t="shared" si="109"/>
        <v/>
      </c>
    </row>
    <row r="112" spans="1:63">
      <c r="A112">
        <v>12</v>
      </c>
      <c r="B112">
        <v>10</v>
      </c>
      <c r="C112">
        <v>1116.5999999999999</v>
      </c>
      <c r="D112">
        <v>11</v>
      </c>
      <c r="E112">
        <v>6</v>
      </c>
      <c r="F112">
        <v>164</v>
      </c>
      <c r="G112">
        <v>685.9</v>
      </c>
      <c r="H112">
        <v>424.9</v>
      </c>
      <c r="AR112" t="str">
        <f t="shared" si="98"/>
        <v/>
      </c>
      <c r="AS112" s="25" t="str">
        <f t="shared" si="99"/>
        <v/>
      </c>
      <c r="AT112" t="str">
        <f t="shared" si="100"/>
        <v/>
      </c>
      <c r="AU112" s="25" t="str">
        <f t="shared" si="110"/>
        <v/>
      </c>
      <c r="AV112" t="str">
        <f t="shared" si="102"/>
        <v/>
      </c>
      <c r="AW112" s="25" t="str">
        <f t="shared" si="111"/>
        <v/>
      </c>
      <c r="AX112" t="str">
        <f t="shared" si="103"/>
        <v/>
      </c>
      <c r="AY112" s="25" t="str">
        <f t="shared" si="91"/>
        <v/>
      </c>
      <c r="AZ112" t="str">
        <f t="shared" si="104"/>
        <v/>
      </c>
      <c r="BA112" s="25" t="str">
        <f t="shared" si="92"/>
        <v/>
      </c>
      <c r="BB112" t="str">
        <f t="shared" si="105"/>
        <v/>
      </c>
      <c r="BC112" s="25" t="str">
        <f t="shared" si="93"/>
        <v/>
      </c>
      <c r="BD112" t="str">
        <f t="shared" si="106"/>
        <v/>
      </c>
      <c r="BE112" s="25" t="str">
        <f t="shared" si="94"/>
        <v/>
      </c>
      <c r="BF112" t="str">
        <f t="shared" si="107"/>
        <v/>
      </c>
      <c r="BG112" s="25" t="str">
        <f t="shared" si="95"/>
        <v/>
      </c>
      <c r="BH112" t="str">
        <f t="shared" si="108"/>
        <v/>
      </c>
      <c r="BI112" s="25" t="str">
        <f t="shared" si="96"/>
        <v/>
      </c>
      <c r="BJ112" t="str">
        <f t="shared" si="109"/>
        <v/>
      </c>
    </row>
    <row r="113" spans="1:62">
      <c r="A113">
        <v>12</v>
      </c>
      <c r="B113">
        <v>6</v>
      </c>
      <c r="C113">
        <v>1130.4000000000001</v>
      </c>
      <c r="D113">
        <v>11</v>
      </c>
      <c r="E113">
        <v>4</v>
      </c>
      <c r="F113">
        <v>162</v>
      </c>
      <c r="G113">
        <v>651.70000000000005</v>
      </c>
      <c r="H113">
        <v>413.4</v>
      </c>
      <c r="AR113" t="str">
        <f t="shared" si="98"/>
        <v/>
      </c>
      <c r="AS113" s="25" t="str">
        <f t="shared" si="99"/>
        <v/>
      </c>
      <c r="AT113" t="str">
        <f t="shared" si="100"/>
        <v/>
      </c>
      <c r="AU113" s="25" t="str">
        <f t="shared" si="110"/>
        <v/>
      </c>
      <c r="AV113" t="str">
        <f t="shared" si="102"/>
        <v/>
      </c>
      <c r="AW113" s="25" t="str">
        <f t="shared" si="111"/>
        <v/>
      </c>
      <c r="AX113" t="str">
        <f t="shared" si="103"/>
        <v/>
      </c>
      <c r="AY113" s="25" t="str">
        <f t="shared" si="91"/>
        <v/>
      </c>
      <c r="AZ113" t="str">
        <f t="shared" si="104"/>
        <v/>
      </c>
      <c r="BA113" s="25" t="str">
        <f t="shared" si="92"/>
        <v/>
      </c>
      <c r="BB113" t="str">
        <f t="shared" si="105"/>
        <v/>
      </c>
      <c r="BC113" s="25" t="str">
        <f t="shared" si="93"/>
        <v/>
      </c>
      <c r="BD113" t="str">
        <f t="shared" si="106"/>
        <v/>
      </c>
      <c r="BE113" s="25" t="str">
        <f t="shared" si="94"/>
        <v/>
      </c>
      <c r="BF113" t="str">
        <f t="shared" si="107"/>
        <v/>
      </c>
      <c r="BG113" s="25" t="str">
        <f t="shared" si="95"/>
        <v/>
      </c>
      <c r="BH113" t="str">
        <f t="shared" si="108"/>
        <v/>
      </c>
      <c r="BI113" s="25" t="str">
        <f t="shared" si="96"/>
        <v/>
      </c>
      <c r="BJ113" t="str">
        <f t="shared" si="109"/>
        <v/>
      </c>
    </row>
    <row r="114" spans="1:62">
      <c r="A114">
        <v>13</v>
      </c>
      <c r="B114">
        <v>7</v>
      </c>
      <c r="C114">
        <v>1137.5</v>
      </c>
      <c r="D114">
        <v>2</v>
      </c>
      <c r="E114">
        <v>15</v>
      </c>
      <c r="F114">
        <v>161</v>
      </c>
      <c r="G114">
        <v>3052.3</v>
      </c>
      <c r="H114">
        <v>828.7</v>
      </c>
      <c r="AR114" t="str">
        <f t="shared" si="98"/>
        <v/>
      </c>
      <c r="AS114" s="25" t="str">
        <f t="shared" si="99"/>
        <v/>
      </c>
      <c r="AT114">
        <f t="shared" si="100"/>
        <v>3052.3</v>
      </c>
      <c r="AU114" s="25">
        <f t="shared" si="110"/>
        <v>15</v>
      </c>
      <c r="AV114" t="str">
        <f t="shared" si="102"/>
        <v/>
      </c>
      <c r="AW114" s="25" t="str">
        <f t="shared" si="111"/>
        <v/>
      </c>
      <c r="AX114" t="str">
        <f t="shared" si="103"/>
        <v/>
      </c>
      <c r="AY114" s="25" t="str">
        <f t="shared" si="91"/>
        <v/>
      </c>
      <c r="AZ114" t="str">
        <f t="shared" si="104"/>
        <v/>
      </c>
      <c r="BA114" s="25" t="str">
        <f t="shared" si="92"/>
        <v/>
      </c>
      <c r="BB114" t="str">
        <f t="shared" si="105"/>
        <v/>
      </c>
      <c r="BC114" s="25" t="str">
        <f t="shared" si="93"/>
        <v/>
      </c>
      <c r="BD114" t="str">
        <f t="shared" si="106"/>
        <v/>
      </c>
      <c r="BE114" s="25" t="str">
        <f t="shared" si="94"/>
        <v/>
      </c>
      <c r="BF114" t="str">
        <f t="shared" si="107"/>
        <v/>
      </c>
      <c r="BG114" s="25" t="str">
        <f t="shared" si="95"/>
        <v/>
      </c>
      <c r="BH114" t="str">
        <f t="shared" si="108"/>
        <v/>
      </c>
      <c r="BI114" s="25" t="str">
        <f t="shared" si="96"/>
        <v/>
      </c>
      <c r="BJ114" t="str">
        <f t="shared" si="109"/>
        <v/>
      </c>
    </row>
    <row r="115" spans="1:62">
      <c r="A115">
        <v>9</v>
      </c>
      <c r="B115">
        <v>14</v>
      </c>
      <c r="C115">
        <v>1204.8</v>
      </c>
      <c r="D115">
        <v>3</v>
      </c>
      <c r="E115">
        <v>14</v>
      </c>
      <c r="F115">
        <v>152</v>
      </c>
      <c r="G115">
        <v>2474.8000000000002</v>
      </c>
      <c r="H115">
        <v>810.3</v>
      </c>
      <c r="AR115" t="str">
        <f t="shared" si="98"/>
        <v/>
      </c>
      <c r="AS115" s="25" t="str">
        <f t="shared" si="99"/>
        <v/>
      </c>
      <c r="AT115" t="str">
        <f t="shared" si="100"/>
        <v/>
      </c>
      <c r="AU115" s="25" t="str">
        <f t="shared" si="110"/>
        <v/>
      </c>
      <c r="AV115">
        <f t="shared" si="102"/>
        <v>2474.8000000000002</v>
      </c>
      <c r="AW115" s="25">
        <f t="shared" si="111"/>
        <v>14</v>
      </c>
      <c r="AX115" t="str">
        <f t="shared" si="103"/>
        <v/>
      </c>
      <c r="AY115" s="25" t="str">
        <f t="shared" si="91"/>
        <v/>
      </c>
      <c r="AZ115" t="str">
        <f t="shared" si="104"/>
        <v/>
      </c>
      <c r="BA115" s="25" t="str">
        <f t="shared" si="92"/>
        <v/>
      </c>
      <c r="BB115" t="str">
        <f t="shared" si="105"/>
        <v/>
      </c>
      <c r="BC115" s="25" t="str">
        <f t="shared" si="93"/>
        <v/>
      </c>
      <c r="BD115" t="str">
        <f t="shared" si="106"/>
        <v/>
      </c>
      <c r="BE115" s="25" t="str">
        <f t="shared" si="94"/>
        <v/>
      </c>
      <c r="BF115" t="str">
        <f t="shared" si="107"/>
        <v/>
      </c>
      <c r="BG115" s="25" t="str">
        <f t="shared" si="95"/>
        <v/>
      </c>
      <c r="BH115" t="str">
        <f t="shared" si="108"/>
        <v/>
      </c>
      <c r="BI115" s="25" t="str">
        <f t="shared" si="96"/>
        <v/>
      </c>
      <c r="BJ115" t="str">
        <f t="shared" si="109"/>
        <v/>
      </c>
    </row>
    <row r="116" spans="1:62">
      <c r="A116">
        <v>13</v>
      </c>
      <c r="B116">
        <v>14</v>
      </c>
      <c r="C116">
        <v>1229.0999999999999</v>
      </c>
      <c r="D116">
        <v>2</v>
      </c>
      <c r="E116">
        <v>14</v>
      </c>
      <c r="F116">
        <v>149</v>
      </c>
      <c r="G116">
        <v>2733.4</v>
      </c>
      <c r="H116">
        <v>847.9</v>
      </c>
      <c r="AR116" t="str">
        <f t="shared" si="98"/>
        <v/>
      </c>
      <c r="AS116" s="25" t="str">
        <f t="shared" si="99"/>
        <v/>
      </c>
      <c r="AT116">
        <f t="shared" si="100"/>
        <v>2733.4</v>
      </c>
      <c r="AU116" s="25">
        <f t="shared" si="110"/>
        <v>14</v>
      </c>
      <c r="AV116" t="str">
        <f t="shared" si="102"/>
        <v/>
      </c>
      <c r="AW116" s="25" t="str">
        <f t="shared" si="111"/>
        <v/>
      </c>
      <c r="AX116" t="str">
        <f t="shared" si="103"/>
        <v/>
      </c>
      <c r="AY116" s="25" t="str">
        <f t="shared" si="91"/>
        <v/>
      </c>
      <c r="AZ116" t="str">
        <f t="shared" si="104"/>
        <v/>
      </c>
      <c r="BA116" s="25" t="str">
        <f t="shared" si="92"/>
        <v/>
      </c>
      <c r="BB116" t="str">
        <f t="shared" si="105"/>
        <v/>
      </c>
      <c r="BC116" s="25" t="str">
        <f t="shared" si="93"/>
        <v/>
      </c>
      <c r="BD116" t="str">
        <f t="shared" si="106"/>
        <v/>
      </c>
      <c r="BE116" s="25" t="str">
        <f t="shared" si="94"/>
        <v/>
      </c>
      <c r="BF116" t="str">
        <f t="shared" si="107"/>
        <v/>
      </c>
      <c r="BG116" s="25" t="str">
        <f t="shared" si="95"/>
        <v/>
      </c>
      <c r="BH116" t="str">
        <f t="shared" si="108"/>
        <v/>
      </c>
      <c r="BI116" s="25" t="str">
        <f t="shared" si="96"/>
        <v/>
      </c>
      <c r="BJ116" t="str">
        <f t="shared" si="109"/>
        <v/>
      </c>
    </row>
    <row r="117" spans="1:62">
      <c r="A117">
        <v>13</v>
      </c>
      <c r="B117">
        <v>4</v>
      </c>
      <c r="C117">
        <v>1327</v>
      </c>
      <c r="D117">
        <v>2</v>
      </c>
      <c r="E117">
        <v>13</v>
      </c>
      <c r="F117">
        <v>138</v>
      </c>
      <c r="G117">
        <v>2105</v>
      </c>
      <c r="H117">
        <v>813.9</v>
      </c>
      <c r="AR117" t="str">
        <f t="shared" si="98"/>
        <v/>
      </c>
      <c r="AS117" s="25" t="str">
        <f t="shared" si="99"/>
        <v/>
      </c>
      <c r="AT117">
        <f t="shared" si="100"/>
        <v>2105</v>
      </c>
      <c r="AU117" s="25">
        <f t="shared" si="110"/>
        <v>13</v>
      </c>
      <c r="AV117" t="str">
        <f t="shared" si="102"/>
        <v/>
      </c>
      <c r="AW117" s="25" t="str">
        <f t="shared" si="111"/>
        <v/>
      </c>
      <c r="AX117" t="str">
        <f t="shared" si="103"/>
        <v/>
      </c>
      <c r="AY117" s="25" t="str">
        <f t="shared" si="91"/>
        <v/>
      </c>
      <c r="AZ117" t="str">
        <f t="shared" si="104"/>
        <v/>
      </c>
      <c r="BA117" s="25" t="str">
        <f t="shared" si="92"/>
        <v/>
      </c>
      <c r="BB117" t="str">
        <f t="shared" si="105"/>
        <v/>
      </c>
      <c r="BC117" s="25" t="str">
        <f t="shared" si="93"/>
        <v/>
      </c>
      <c r="BD117" t="str">
        <f t="shared" si="106"/>
        <v/>
      </c>
      <c r="BE117" s="25" t="str">
        <f t="shared" si="94"/>
        <v/>
      </c>
      <c r="BF117" t="str">
        <f t="shared" si="107"/>
        <v/>
      </c>
      <c r="BG117" s="25" t="str">
        <f t="shared" si="95"/>
        <v/>
      </c>
      <c r="BH117" t="str">
        <f t="shared" si="108"/>
        <v/>
      </c>
      <c r="BI117" s="25" t="str">
        <f t="shared" si="96"/>
        <v/>
      </c>
      <c r="BJ117" t="str">
        <f t="shared" si="109"/>
        <v/>
      </c>
    </row>
    <row r="118" spans="1:62">
      <c r="A118">
        <v>7</v>
      </c>
      <c r="B118">
        <v>3</v>
      </c>
      <c r="C118">
        <v>1346.6</v>
      </c>
      <c r="D118">
        <v>15</v>
      </c>
      <c r="E118">
        <v>1</v>
      </c>
      <c r="F118">
        <v>136</v>
      </c>
      <c r="G118">
        <v>497.6</v>
      </c>
      <c r="H118">
        <v>363.3</v>
      </c>
      <c r="AR118" t="str">
        <f t="shared" si="98"/>
        <v/>
      </c>
      <c r="AS118" s="25" t="str">
        <f t="shared" si="99"/>
        <v/>
      </c>
      <c r="AT118" t="str">
        <f t="shared" si="100"/>
        <v/>
      </c>
      <c r="AU118" s="25" t="str">
        <f t="shared" si="110"/>
        <v/>
      </c>
      <c r="AV118" t="str">
        <f t="shared" si="102"/>
        <v/>
      </c>
      <c r="AW118" s="25" t="str">
        <f t="shared" si="111"/>
        <v/>
      </c>
      <c r="AX118" t="str">
        <f t="shared" si="103"/>
        <v/>
      </c>
      <c r="AY118" s="25" t="str">
        <f t="shared" si="91"/>
        <v/>
      </c>
      <c r="AZ118" t="str">
        <f t="shared" si="104"/>
        <v/>
      </c>
      <c r="BA118" s="25" t="str">
        <f t="shared" si="92"/>
        <v/>
      </c>
      <c r="BB118" t="str">
        <f t="shared" si="105"/>
        <v/>
      </c>
      <c r="BC118" s="25" t="str">
        <f t="shared" si="93"/>
        <v/>
      </c>
      <c r="BD118" t="str">
        <f t="shared" si="106"/>
        <v/>
      </c>
      <c r="BE118" s="25" t="str">
        <f t="shared" si="94"/>
        <v/>
      </c>
      <c r="BF118" t="str">
        <f t="shared" si="107"/>
        <v/>
      </c>
      <c r="BG118" s="25" t="str">
        <f t="shared" si="95"/>
        <v/>
      </c>
      <c r="BH118" t="str">
        <f t="shared" si="108"/>
        <v/>
      </c>
      <c r="BI118" s="25" t="str">
        <f t="shared" si="96"/>
        <v/>
      </c>
      <c r="BJ118" t="str">
        <f t="shared" si="109"/>
        <v/>
      </c>
    </row>
    <row r="119" spans="1:62">
      <c r="A119">
        <v>12</v>
      </c>
      <c r="B119">
        <v>5</v>
      </c>
      <c r="C119">
        <v>1356.5</v>
      </c>
      <c r="D119">
        <v>11</v>
      </c>
      <c r="E119">
        <v>5</v>
      </c>
      <c r="F119">
        <v>135</v>
      </c>
      <c r="G119">
        <v>944</v>
      </c>
      <c r="H119">
        <v>556.6</v>
      </c>
      <c r="AR119" t="str">
        <f t="shared" si="98"/>
        <v/>
      </c>
      <c r="AS119" s="25" t="str">
        <f t="shared" si="99"/>
        <v/>
      </c>
      <c r="AT119" t="str">
        <f t="shared" si="100"/>
        <v/>
      </c>
      <c r="AU119" s="25" t="str">
        <f t="shared" si="110"/>
        <v/>
      </c>
      <c r="AV119" t="str">
        <f t="shared" si="102"/>
        <v/>
      </c>
      <c r="AW119" s="25" t="str">
        <f t="shared" si="111"/>
        <v/>
      </c>
      <c r="AX119" t="str">
        <f t="shared" si="103"/>
        <v/>
      </c>
      <c r="AY119" s="25" t="str">
        <f t="shared" si="91"/>
        <v/>
      </c>
      <c r="AZ119" t="str">
        <f t="shared" si="104"/>
        <v/>
      </c>
      <c r="BA119" s="25" t="str">
        <f t="shared" si="92"/>
        <v/>
      </c>
      <c r="BB119" t="str">
        <f t="shared" si="105"/>
        <v/>
      </c>
      <c r="BC119" s="25" t="str">
        <f t="shared" si="93"/>
        <v/>
      </c>
      <c r="BD119" t="str">
        <f t="shared" si="106"/>
        <v/>
      </c>
      <c r="BE119" s="25" t="str">
        <f t="shared" si="94"/>
        <v/>
      </c>
      <c r="BF119" t="str">
        <f t="shared" si="107"/>
        <v/>
      </c>
      <c r="BG119" s="25" t="str">
        <f t="shared" si="95"/>
        <v/>
      </c>
      <c r="BH119" t="str">
        <f t="shared" si="108"/>
        <v/>
      </c>
      <c r="BI119" s="25" t="str">
        <f t="shared" si="96"/>
        <v/>
      </c>
      <c r="BJ119" t="str">
        <f t="shared" si="109"/>
        <v/>
      </c>
    </row>
    <row r="120" spans="1:62">
      <c r="A120">
        <v>9</v>
      </c>
      <c r="B120">
        <v>7</v>
      </c>
      <c r="C120">
        <v>1453.4</v>
      </c>
      <c r="D120">
        <v>3</v>
      </c>
      <c r="E120">
        <v>15</v>
      </c>
      <c r="F120">
        <v>126</v>
      </c>
      <c r="G120">
        <v>2508.6999999999998</v>
      </c>
      <c r="H120">
        <v>920.3</v>
      </c>
      <c r="AR120" t="str">
        <f t="shared" si="98"/>
        <v/>
      </c>
      <c r="AS120" s="25" t="str">
        <f t="shared" si="99"/>
        <v/>
      </c>
      <c r="AT120" t="str">
        <f t="shared" si="100"/>
        <v/>
      </c>
      <c r="AU120" s="25" t="str">
        <f t="shared" si="110"/>
        <v/>
      </c>
      <c r="AV120">
        <f t="shared" si="102"/>
        <v>2508.6999999999998</v>
      </c>
      <c r="AW120" s="25">
        <f t="shared" si="111"/>
        <v>15</v>
      </c>
      <c r="AX120" t="str">
        <f t="shared" si="103"/>
        <v/>
      </c>
      <c r="AY120" s="25" t="str">
        <f t="shared" si="91"/>
        <v/>
      </c>
      <c r="AZ120" t="str">
        <f t="shared" si="104"/>
        <v/>
      </c>
      <c r="BA120" s="25" t="str">
        <f t="shared" si="92"/>
        <v/>
      </c>
      <c r="BB120" t="str">
        <f t="shared" si="105"/>
        <v/>
      </c>
      <c r="BC120" s="25" t="str">
        <f t="shared" si="93"/>
        <v/>
      </c>
      <c r="BD120" t="str">
        <f t="shared" si="106"/>
        <v/>
      </c>
      <c r="BE120" s="25" t="str">
        <f t="shared" si="94"/>
        <v/>
      </c>
      <c r="BF120" t="str">
        <f t="shared" si="107"/>
        <v/>
      </c>
      <c r="BG120" s="25" t="str">
        <f t="shared" si="95"/>
        <v/>
      </c>
      <c r="BH120" t="str">
        <f t="shared" si="108"/>
        <v/>
      </c>
      <c r="BI120" s="25" t="str">
        <f t="shared" si="96"/>
        <v/>
      </c>
      <c r="BJ120" t="str">
        <f t="shared" si="109"/>
        <v/>
      </c>
    </row>
    <row r="121" spans="1:62">
      <c r="A121">
        <v>6</v>
      </c>
      <c r="B121">
        <v>8</v>
      </c>
      <c r="C121">
        <v>1526.1</v>
      </c>
      <c r="D121">
        <v>4</v>
      </c>
      <c r="E121">
        <v>12</v>
      </c>
      <c r="F121">
        <v>120</v>
      </c>
      <c r="G121">
        <v>2693.2</v>
      </c>
      <c r="H121">
        <v>974.1</v>
      </c>
      <c r="AR121" t="str">
        <f t="shared" si="98"/>
        <v/>
      </c>
      <c r="AS121" s="25" t="str">
        <f t="shared" si="99"/>
        <v/>
      </c>
      <c r="AT121" t="str">
        <f t="shared" si="100"/>
        <v/>
      </c>
      <c r="AU121" s="25" t="str">
        <f t="shared" si="110"/>
        <v/>
      </c>
      <c r="AV121" t="str">
        <f t="shared" si="102"/>
        <v/>
      </c>
      <c r="AW121" s="25" t="str">
        <f t="shared" si="111"/>
        <v/>
      </c>
      <c r="AX121">
        <f t="shared" si="103"/>
        <v>2693.2</v>
      </c>
      <c r="AY121" s="25">
        <f t="shared" si="91"/>
        <v>12</v>
      </c>
      <c r="AZ121" t="str">
        <f t="shared" si="104"/>
        <v/>
      </c>
      <c r="BA121" s="25" t="str">
        <f t="shared" si="92"/>
        <v/>
      </c>
      <c r="BB121" t="str">
        <f t="shared" si="105"/>
        <v/>
      </c>
      <c r="BC121" s="25" t="str">
        <f t="shared" si="93"/>
        <v/>
      </c>
      <c r="BD121" t="str">
        <f t="shared" si="106"/>
        <v/>
      </c>
      <c r="BE121" s="25" t="str">
        <f t="shared" si="94"/>
        <v/>
      </c>
      <c r="BF121" t="str">
        <f t="shared" si="107"/>
        <v/>
      </c>
      <c r="BG121" s="25" t="str">
        <f t="shared" si="95"/>
        <v/>
      </c>
      <c r="BH121" t="str">
        <f t="shared" si="108"/>
        <v/>
      </c>
      <c r="BI121" s="25" t="str">
        <f t="shared" si="96"/>
        <v/>
      </c>
      <c r="BJ121" t="str">
        <f t="shared" si="109"/>
        <v/>
      </c>
    </row>
    <row r="122" spans="1:62">
      <c r="A122">
        <v>2</v>
      </c>
      <c r="B122">
        <v>15</v>
      </c>
      <c r="C122">
        <v>1649.8</v>
      </c>
      <c r="D122">
        <v>10</v>
      </c>
      <c r="E122">
        <v>8</v>
      </c>
      <c r="F122">
        <v>111</v>
      </c>
      <c r="G122">
        <v>1760.9</v>
      </c>
      <c r="H122">
        <v>851.8</v>
      </c>
      <c r="AR122" t="str">
        <f t="shared" si="98"/>
        <v/>
      </c>
      <c r="AS122" s="25" t="str">
        <f t="shared" si="99"/>
        <v/>
      </c>
      <c r="AT122" t="str">
        <f t="shared" si="100"/>
        <v/>
      </c>
      <c r="AU122" s="25" t="str">
        <f t="shared" si="110"/>
        <v/>
      </c>
      <c r="AV122" t="str">
        <f t="shared" si="102"/>
        <v/>
      </c>
      <c r="AW122" s="25" t="str">
        <f t="shared" si="111"/>
        <v/>
      </c>
      <c r="AX122" t="str">
        <f t="shared" si="103"/>
        <v/>
      </c>
      <c r="AY122" s="25" t="str">
        <f t="shared" si="91"/>
        <v/>
      </c>
      <c r="AZ122" t="str">
        <f t="shared" si="104"/>
        <v/>
      </c>
      <c r="BA122" s="25" t="str">
        <f t="shared" si="92"/>
        <v/>
      </c>
      <c r="BB122" t="str">
        <f t="shared" si="105"/>
        <v/>
      </c>
      <c r="BC122" s="25" t="str">
        <f t="shared" si="93"/>
        <v/>
      </c>
      <c r="BD122" t="str">
        <f t="shared" si="106"/>
        <v/>
      </c>
      <c r="BE122" s="25" t="str">
        <f t="shared" si="94"/>
        <v/>
      </c>
      <c r="BF122" t="str">
        <f t="shared" si="107"/>
        <v/>
      </c>
      <c r="BG122" s="25" t="str">
        <f t="shared" si="95"/>
        <v/>
      </c>
      <c r="BH122" t="str">
        <f t="shared" si="108"/>
        <v/>
      </c>
      <c r="BI122" s="25" t="str">
        <f t="shared" si="96"/>
        <v/>
      </c>
      <c r="BJ122">
        <f t="shared" si="109"/>
        <v>1760.9</v>
      </c>
    </row>
    <row r="123" spans="1:62">
      <c r="A123">
        <v>4</v>
      </c>
      <c r="B123">
        <v>9</v>
      </c>
      <c r="C123">
        <v>1695.7</v>
      </c>
      <c r="D123">
        <v>13</v>
      </c>
      <c r="E123">
        <v>3</v>
      </c>
      <c r="F123">
        <v>108</v>
      </c>
      <c r="G123">
        <v>1052.5</v>
      </c>
      <c r="H123">
        <v>649.4</v>
      </c>
      <c r="AR123" t="str">
        <f t="shared" si="98"/>
        <v/>
      </c>
      <c r="AS123" s="25" t="str">
        <f t="shared" si="99"/>
        <v/>
      </c>
      <c r="AT123" t="str">
        <f t="shared" si="100"/>
        <v/>
      </c>
      <c r="AU123" s="25" t="str">
        <f t="shared" si="110"/>
        <v/>
      </c>
      <c r="AV123" t="str">
        <f t="shared" si="102"/>
        <v/>
      </c>
      <c r="AW123" s="25" t="str">
        <f t="shared" si="111"/>
        <v/>
      </c>
      <c r="AX123" t="str">
        <f t="shared" si="103"/>
        <v/>
      </c>
      <c r="AY123" s="25" t="str">
        <f t="shared" si="91"/>
        <v/>
      </c>
      <c r="AZ123" t="str">
        <f t="shared" si="104"/>
        <v/>
      </c>
      <c r="BA123" s="25" t="str">
        <f t="shared" si="92"/>
        <v/>
      </c>
      <c r="BB123" t="str">
        <f t="shared" si="105"/>
        <v/>
      </c>
      <c r="BC123" s="25" t="str">
        <f t="shared" si="93"/>
        <v/>
      </c>
      <c r="BD123" t="str">
        <f t="shared" si="106"/>
        <v/>
      </c>
      <c r="BE123" s="25" t="str">
        <f t="shared" si="94"/>
        <v/>
      </c>
      <c r="BF123" t="str">
        <f t="shared" si="107"/>
        <v/>
      </c>
      <c r="BG123" s="25" t="str">
        <f t="shared" si="95"/>
        <v/>
      </c>
      <c r="BH123" t="str">
        <f t="shared" si="108"/>
        <v/>
      </c>
      <c r="BI123" s="25" t="str">
        <f t="shared" si="96"/>
        <v/>
      </c>
      <c r="BJ123" t="str">
        <f t="shared" si="109"/>
        <v/>
      </c>
    </row>
    <row r="124" spans="1:62">
      <c r="A124">
        <v>6</v>
      </c>
      <c r="B124">
        <v>4</v>
      </c>
      <c r="C124">
        <v>1695.7</v>
      </c>
      <c r="D124">
        <v>4</v>
      </c>
      <c r="E124">
        <v>13</v>
      </c>
      <c r="F124">
        <v>108</v>
      </c>
      <c r="G124">
        <v>2129.5</v>
      </c>
      <c r="H124">
        <v>944</v>
      </c>
      <c r="AR124" t="str">
        <f t="shared" si="98"/>
        <v/>
      </c>
      <c r="AS124" s="25" t="str">
        <f t="shared" si="99"/>
        <v/>
      </c>
      <c r="AT124" t="str">
        <f t="shared" si="100"/>
        <v/>
      </c>
      <c r="AU124" s="25" t="str">
        <f t="shared" si="110"/>
        <v/>
      </c>
      <c r="AV124" t="str">
        <f t="shared" si="102"/>
        <v/>
      </c>
      <c r="AW124" s="25" t="str">
        <f t="shared" si="111"/>
        <v/>
      </c>
      <c r="AX124">
        <f t="shared" si="103"/>
        <v>2129.5</v>
      </c>
      <c r="AY124" s="25">
        <f t="shared" si="91"/>
        <v>13</v>
      </c>
      <c r="AZ124" t="str">
        <f t="shared" si="104"/>
        <v/>
      </c>
      <c r="BA124" s="25" t="str">
        <f t="shared" si="92"/>
        <v/>
      </c>
      <c r="BB124" t="str">
        <f t="shared" si="105"/>
        <v/>
      </c>
      <c r="BC124" s="25" t="str">
        <f t="shared" si="93"/>
        <v/>
      </c>
      <c r="BD124" t="str">
        <f t="shared" si="106"/>
        <v/>
      </c>
      <c r="BE124" s="25" t="str">
        <f t="shared" si="94"/>
        <v/>
      </c>
      <c r="BF124" t="str">
        <f t="shared" si="107"/>
        <v/>
      </c>
      <c r="BG124" s="25" t="str">
        <f t="shared" si="95"/>
        <v/>
      </c>
      <c r="BH124" t="str">
        <f t="shared" si="108"/>
        <v/>
      </c>
      <c r="BI124" s="25" t="str">
        <f t="shared" si="96"/>
        <v/>
      </c>
      <c r="BJ124" t="str">
        <f t="shared" si="109"/>
        <v/>
      </c>
    </row>
    <row r="125" spans="1:62">
      <c r="A125">
        <v>6</v>
      </c>
      <c r="B125">
        <v>14</v>
      </c>
      <c r="C125">
        <v>1744.1</v>
      </c>
      <c r="D125">
        <v>4</v>
      </c>
      <c r="E125">
        <v>14</v>
      </c>
      <c r="F125">
        <v>105</v>
      </c>
      <c r="G125">
        <v>3104</v>
      </c>
      <c r="H125">
        <v>1116.7</v>
      </c>
      <c r="AR125" t="str">
        <f t="shared" si="98"/>
        <v/>
      </c>
      <c r="AS125" s="25" t="str">
        <f t="shared" si="99"/>
        <v/>
      </c>
      <c r="AT125" t="str">
        <f t="shared" si="100"/>
        <v/>
      </c>
      <c r="AU125" s="25" t="str">
        <f t="shared" si="110"/>
        <v/>
      </c>
      <c r="AV125" t="str">
        <f t="shared" si="102"/>
        <v/>
      </c>
      <c r="AW125" s="25" t="str">
        <f t="shared" si="111"/>
        <v/>
      </c>
      <c r="AX125">
        <f t="shared" si="103"/>
        <v>3104</v>
      </c>
      <c r="AY125" s="25">
        <f t="shared" si="91"/>
        <v>14</v>
      </c>
      <c r="AZ125" t="str">
        <f t="shared" si="104"/>
        <v/>
      </c>
      <c r="BA125" s="25" t="str">
        <f t="shared" si="92"/>
        <v/>
      </c>
      <c r="BB125" t="str">
        <f t="shared" si="105"/>
        <v/>
      </c>
      <c r="BC125" s="25" t="str">
        <f t="shared" si="93"/>
        <v/>
      </c>
      <c r="BD125" t="str">
        <f t="shared" si="106"/>
        <v/>
      </c>
      <c r="BE125" s="25" t="str">
        <f t="shared" si="94"/>
        <v/>
      </c>
      <c r="BF125" t="str">
        <f t="shared" si="107"/>
        <v/>
      </c>
      <c r="BG125" s="25" t="str">
        <f t="shared" si="95"/>
        <v/>
      </c>
      <c r="BH125" t="str">
        <f t="shared" si="108"/>
        <v/>
      </c>
      <c r="BI125" s="25" t="str">
        <f t="shared" si="96"/>
        <v/>
      </c>
      <c r="BJ125" t="str">
        <f t="shared" si="109"/>
        <v/>
      </c>
    </row>
    <row r="126" spans="1:62">
      <c r="A126">
        <v>15</v>
      </c>
      <c r="B126">
        <v>2</v>
      </c>
      <c r="C126">
        <v>1760.9</v>
      </c>
      <c r="D126">
        <v>8</v>
      </c>
      <c r="E126">
        <v>10</v>
      </c>
      <c r="F126">
        <v>104</v>
      </c>
      <c r="G126">
        <v>1649.8</v>
      </c>
      <c r="H126">
        <v>851.8</v>
      </c>
      <c r="AR126" t="str">
        <f t="shared" si="98"/>
        <v/>
      </c>
      <c r="AS126" s="25" t="str">
        <f t="shared" si="99"/>
        <v/>
      </c>
      <c r="AT126" t="str">
        <f t="shared" si="100"/>
        <v/>
      </c>
      <c r="AU126" s="25" t="str">
        <f t="shared" si="110"/>
        <v/>
      </c>
      <c r="AV126" t="str">
        <f t="shared" si="102"/>
        <v/>
      </c>
      <c r="AW126" s="25" t="str">
        <f t="shared" si="111"/>
        <v/>
      </c>
      <c r="AX126" t="str">
        <f t="shared" si="103"/>
        <v/>
      </c>
      <c r="AY126" s="25" t="str">
        <f t="shared" si="91"/>
        <v/>
      </c>
      <c r="AZ126" t="str">
        <f t="shared" si="104"/>
        <v/>
      </c>
      <c r="BA126" s="25" t="str">
        <f t="shared" si="92"/>
        <v/>
      </c>
      <c r="BB126" t="str">
        <f t="shared" si="105"/>
        <v/>
      </c>
      <c r="BC126" s="25" t="str">
        <f t="shared" si="93"/>
        <v/>
      </c>
      <c r="BD126" t="str">
        <f t="shared" si="106"/>
        <v/>
      </c>
      <c r="BE126" s="25" t="str">
        <f t="shared" si="94"/>
        <v/>
      </c>
      <c r="BF126">
        <f t="shared" si="107"/>
        <v>1649.8</v>
      </c>
      <c r="BG126" s="25">
        <f t="shared" si="95"/>
        <v>10</v>
      </c>
      <c r="BH126" t="str">
        <f t="shared" si="108"/>
        <v/>
      </c>
      <c r="BI126" s="25" t="str">
        <f t="shared" si="96"/>
        <v/>
      </c>
      <c r="BJ126" t="str">
        <f t="shared" si="109"/>
        <v/>
      </c>
    </row>
    <row r="127" spans="1:62">
      <c r="A127">
        <v>5</v>
      </c>
      <c r="B127">
        <v>4</v>
      </c>
      <c r="C127">
        <v>1868.7</v>
      </c>
      <c r="D127">
        <v>5</v>
      </c>
      <c r="E127">
        <v>13</v>
      </c>
      <c r="F127">
        <v>98</v>
      </c>
      <c r="G127">
        <v>2953.8</v>
      </c>
      <c r="H127">
        <v>1144.5999999999999</v>
      </c>
      <c r="AR127" t="str">
        <f t="shared" si="98"/>
        <v/>
      </c>
      <c r="AS127" s="25" t="str">
        <f t="shared" si="99"/>
        <v/>
      </c>
      <c r="AT127" t="str">
        <f t="shared" si="100"/>
        <v/>
      </c>
      <c r="AU127" s="25" t="str">
        <f t="shared" si="110"/>
        <v/>
      </c>
      <c r="AV127" t="str">
        <f t="shared" si="102"/>
        <v/>
      </c>
      <c r="AW127" s="25" t="str">
        <f t="shared" si="111"/>
        <v/>
      </c>
      <c r="AX127" t="str">
        <f t="shared" si="103"/>
        <v/>
      </c>
      <c r="AY127" s="25" t="str">
        <f t="shared" si="91"/>
        <v/>
      </c>
      <c r="AZ127">
        <f t="shared" si="104"/>
        <v>2953.8</v>
      </c>
      <c r="BA127" s="25">
        <f t="shared" si="92"/>
        <v>13</v>
      </c>
      <c r="BB127" t="str">
        <f t="shared" si="105"/>
        <v/>
      </c>
      <c r="BC127" s="25" t="str">
        <f t="shared" si="93"/>
        <v/>
      </c>
      <c r="BD127" t="str">
        <f t="shared" si="106"/>
        <v/>
      </c>
      <c r="BE127" s="25" t="str">
        <f t="shared" si="94"/>
        <v/>
      </c>
      <c r="BF127" t="str">
        <f t="shared" si="107"/>
        <v/>
      </c>
      <c r="BG127" s="25" t="str">
        <f t="shared" si="95"/>
        <v/>
      </c>
      <c r="BH127" t="str">
        <f t="shared" si="108"/>
        <v/>
      </c>
      <c r="BI127" s="25" t="str">
        <f t="shared" si="96"/>
        <v/>
      </c>
      <c r="BJ127" t="str">
        <f t="shared" si="109"/>
        <v/>
      </c>
    </row>
    <row r="128" spans="1:62">
      <c r="A128">
        <v>10</v>
      </c>
      <c r="B128">
        <v>14</v>
      </c>
      <c r="C128">
        <v>1868.7</v>
      </c>
      <c r="D128">
        <v>6</v>
      </c>
      <c r="E128">
        <v>14</v>
      </c>
      <c r="F128">
        <v>98</v>
      </c>
      <c r="G128">
        <v>4949.6000000000004</v>
      </c>
      <c r="H128">
        <v>1356.5</v>
      </c>
      <c r="AR128" t="str">
        <f t="shared" si="98"/>
        <v/>
      </c>
      <c r="AS128" s="25" t="str">
        <f t="shared" si="99"/>
        <v/>
      </c>
      <c r="AT128" t="str">
        <f t="shared" si="100"/>
        <v/>
      </c>
      <c r="AU128" s="25" t="str">
        <f t="shared" si="110"/>
        <v/>
      </c>
      <c r="AV128" t="str">
        <f t="shared" si="102"/>
        <v/>
      </c>
      <c r="AW128" s="25" t="str">
        <f t="shared" si="111"/>
        <v/>
      </c>
      <c r="AX128" t="str">
        <f t="shared" si="103"/>
        <v/>
      </c>
      <c r="AY128" s="25" t="str">
        <f t="shared" si="91"/>
        <v/>
      </c>
      <c r="AZ128" t="str">
        <f t="shared" si="104"/>
        <v/>
      </c>
      <c r="BA128" s="25" t="str">
        <f t="shared" si="92"/>
        <v/>
      </c>
      <c r="BB128">
        <f t="shared" si="105"/>
        <v>4949.6000000000004</v>
      </c>
      <c r="BC128" s="25">
        <f t="shared" si="93"/>
        <v>14</v>
      </c>
      <c r="BD128" t="str">
        <f t="shared" si="106"/>
        <v/>
      </c>
      <c r="BE128" s="25" t="str">
        <f t="shared" si="94"/>
        <v/>
      </c>
      <c r="BF128" t="str">
        <f t="shared" si="107"/>
        <v/>
      </c>
      <c r="BG128" s="25" t="str">
        <f t="shared" si="95"/>
        <v/>
      </c>
      <c r="BH128" t="str">
        <f t="shared" si="108"/>
        <v/>
      </c>
      <c r="BI128" s="25" t="str">
        <f t="shared" si="96"/>
        <v/>
      </c>
      <c r="BJ128" t="str">
        <f t="shared" si="109"/>
        <v/>
      </c>
    </row>
    <row r="129" spans="1:62">
      <c r="A129">
        <v>8</v>
      </c>
      <c r="B129">
        <v>9</v>
      </c>
      <c r="C129">
        <v>1927.7</v>
      </c>
      <c r="D129">
        <v>12</v>
      </c>
      <c r="E129">
        <v>3</v>
      </c>
      <c r="F129">
        <v>95</v>
      </c>
      <c r="G129">
        <v>832.4</v>
      </c>
      <c r="H129">
        <v>581.4</v>
      </c>
      <c r="AR129" t="str">
        <f t="shared" si="98"/>
        <v/>
      </c>
      <c r="AS129" s="25" t="str">
        <f t="shared" si="99"/>
        <v/>
      </c>
      <c r="AT129" t="str">
        <f t="shared" si="100"/>
        <v/>
      </c>
      <c r="AU129" s="25" t="str">
        <f t="shared" si="110"/>
        <v/>
      </c>
      <c r="AV129" t="str">
        <f t="shared" si="102"/>
        <v/>
      </c>
      <c r="AW129" s="25" t="str">
        <f t="shared" si="111"/>
        <v/>
      </c>
      <c r="AX129" t="str">
        <f t="shared" si="103"/>
        <v/>
      </c>
      <c r="AY129" s="25" t="str">
        <f t="shared" si="91"/>
        <v/>
      </c>
      <c r="AZ129" t="str">
        <f t="shared" si="104"/>
        <v/>
      </c>
      <c r="BA129" s="25" t="str">
        <f t="shared" si="92"/>
        <v/>
      </c>
      <c r="BB129" t="str">
        <f t="shared" si="105"/>
        <v/>
      </c>
      <c r="BC129" s="25" t="str">
        <f t="shared" si="93"/>
        <v/>
      </c>
      <c r="BD129" t="str">
        <f t="shared" si="106"/>
        <v/>
      </c>
      <c r="BE129" s="25" t="str">
        <f t="shared" si="94"/>
        <v/>
      </c>
      <c r="BF129" t="str">
        <f t="shared" si="107"/>
        <v/>
      </c>
      <c r="BG129" s="25" t="str">
        <f t="shared" si="95"/>
        <v/>
      </c>
      <c r="BH129" t="str">
        <f t="shared" si="108"/>
        <v/>
      </c>
      <c r="BI129" s="25" t="str">
        <f t="shared" si="96"/>
        <v/>
      </c>
      <c r="BJ129" t="str">
        <f t="shared" si="109"/>
        <v/>
      </c>
    </row>
    <row r="130" spans="1:62">
      <c r="A130">
        <v>11</v>
      </c>
      <c r="B130">
        <v>12</v>
      </c>
      <c r="C130">
        <v>1969.2</v>
      </c>
      <c r="D130">
        <v>7</v>
      </c>
      <c r="E130">
        <v>11</v>
      </c>
      <c r="F130">
        <v>93</v>
      </c>
      <c r="G130">
        <v>3157.5</v>
      </c>
      <c r="H130">
        <v>1212.8</v>
      </c>
      <c r="AR130" t="str">
        <f t="shared" si="98"/>
        <v/>
      </c>
      <c r="AS130" s="25" t="str">
        <f t="shared" si="99"/>
        <v/>
      </c>
      <c r="AT130" t="str">
        <f t="shared" si="100"/>
        <v/>
      </c>
      <c r="AU130" s="25" t="str">
        <f t="shared" si="110"/>
        <v/>
      </c>
      <c r="AV130" t="str">
        <f t="shared" si="102"/>
        <v/>
      </c>
      <c r="AW130" s="25" t="str">
        <f t="shared" si="111"/>
        <v/>
      </c>
      <c r="AX130" t="str">
        <f t="shared" si="103"/>
        <v/>
      </c>
      <c r="AY130" s="25" t="str">
        <f t="shared" si="91"/>
        <v/>
      </c>
      <c r="AZ130" t="str">
        <f t="shared" si="104"/>
        <v/>
      </c>
      <c r="BA130" s="25" t="str">
        <f t="shared" si="92"/>
        <v/>
      </c>
      <c r="BB130" t="str">
        <f t="shared" si="105"/>
        <v/>
      </c>
      <c r="BC130" s="25" t="str">
        <f t="shared" si="93"/>
        <v/>
      </c>
      <c r="BD130">
        <f t="shared" si="106"/>
        <v>3157.5</v>
      </c>
      <c r="BE130" s="25">
        <f t="shared" si="94"/>
        <v>11</v>
      </c>
      <c r="BF130" t="str">
        <f t="shared" si="107"/>
        <v/>
      </c>
      <c r="BG130" s="25" t="str">
        <f t="shared" si="95"/>
        <v/>
      </c>
      <c r="BH130" t="str">
        <f t="shared" si="108"/>
        <v/>
      </c>
      <c r="BI130" s="25" t="str">
        <f t="shared" si="96"/>
        <v/>
      </c>
      <c r="BJ130" t="str">
        <f t="shared" si="109"/>
        <v/>
      </c>
    </row>
    <row r="131" spans="1:62">
      <c r="A131">
        <v>10</v>
      </c>
      <c r="B131">
        <v>4</v>
      </c>
      <c r="C131">
        <v>1990.6</v>
      </c>
      <c r="D131">
        <v>6</v>
      </c>
      <c r="E131">
        <v>13</v>
      </c>
      <c r="F131">
        <v>92</v>
      </c>
      <c r="G131">
        <v>4466.7</v>
      </c>
      <c r="H131">
        <v>1377</v>
      </c>
      <c r="AR131" t="str">
        <f t="shared" si="98"/>
        <v/>
      </c>
      <c r="AS131" s="25" t="str">
        <f t="shared" si="99"/>
        <v/>
      </c>
      <c r="AT131" t="str">
        <f t="shared" si="100"/>
        <v/>
      </c>
      <c r="AU131" s="25" t="str">
        <f t="shared" si="110"/>
        <v/>
      </c>
      <c r="AV131" t="str">
        <f t="shared" si="102"/>
        <v/>
      </c>
      <c r="AW131" s="25" t="str">
        <f t="shared" si="111"/>
        <v/>
      </c>
      <c r="AX131" t="str">
        <f t="shared" si="103"/>
        <v/>
      </c>
      <c r="AY131" s="25" t="str">
        <f t="shared" si="91"/>
        <v/>
      </c>
      <c r="AZ131" t="str">
        <f t="shared" si="104"/>
        <v/>
      </c>
      <c r="BA131" s="25" t="str">
        <f t="shared" si="92"/>
        <v/>
      </c>
      <c r="BB131">
        <f t="shared" si="105"/>
        <v>4466.7</v>
      </c>
      <c r="BC131" s="25">
        <f t="shared" si="93"/>
        <v>13</v>
      </c>
      <c r="BD131" t="str">
        <f t="shared" si="106"/>
        <v/>
      </c>
      <c r="BE131" s="25" t="str">
        <f t="shared" si="94"/>
        <v/>
      </c>
      <c r="BF131" t="str">
        <f t="shared" si="107"/>
        <v/>
      </c>
      <c r="BG131" s="25" t="str">
        <f t="shared" si="95"/>
        <v/>
      </c>
      <c r="BH131" t="str">
        <f t="shared" si="108"/>
        <v/>
      </c>
      <c r="BI131" s="25" t="str">
        <f t="shared" si="96"/>
        <v/>
      </c>
      <c r="BJ131" t="str">
        <f t="shared" si="109"/>
        <v/>
      </c>
    </row>
    <row r="132" spans="1:62">
      <c r="A132">
        <v>10</v>
      </c>
      <c r="B132">
        <v>8</v>
      </c>
      <c r="C132">
        <v>1990.6</v>
      </c>
      <c r="D132">
        <v>6</v>
      </c>
      <c r="E132">
        <v>12</v>
      </c>
      <c r="F132">
        <v>92</v>
      </c>
      <c r="G132">
        <v>5087.1000000000004</v>
      </c>
      <c r="H132">
        <v>1430.7</v>
      </c>
      <c r="AR132" t="str">
        <f t="shared" si="98"/>
        <v/>
      </c>
      <c r="AS132" s="25" t="str">
        <f t="shared" si="99"/>
        <v/>
      </c>
      <c r="AT132" t="str">
        <f t="shared" si="100"/>
        <v/>
      </c>
      <c r="AU132" s="25" t="str">
        <f t="shared" si="110"/>
        <v/>
      </c>
      <c r="AV132" t="str">
        <f t="shared" si="102"/>
        <v/>
      </c>
      <c r="AW132" s="25" t="str">
        <f t="shared" si="111"/>
        <v/>
      </c>
      <c r="AX132" t="str">
        <f t="shared" si="103"/>
        <v/>
      </c>
      <c r="AY132" s="25" t="str">
        <f t="shared" si="91"/>
        <v/>
      </c>
      <c r="AZ132" t="str">
        <f t="shared" si="104"/>
        <v/>
      </c>
      <c r="BA132" s="25" t="str">
        <f t="shared" si="92"/>
        <v/>
      </c>
      <c r="BB132">
        <f t="shared" si="105"/>
        <v>5087.1000000000004</v>
      </c>
      <c r="BC132" s="25">
        <f t="shared" si="93"/>
        <v>12</v>
      </c>
      <c r="BD132" t="str">
        <f t="shared" si="106"/>
        <v/>
      </c>
      <c r="BE132" s="25" t="str">
        <f t="shared" si="94"/>
        <v/>
      </c>
      <c r="BF132" t="str">
        <f t="shared" si="107"/>
        <v/>
      </c>
      <c r="BG132" s="25" t="str">
        <f t="shared" si="95"/>
        <v/>
      </c>
      <c r="BH132" t="str">
        <f t="shared" si="108"/>
        <v/>
      </c>
      <c r="BI132" s="25" t="str">
        <f t="shared" si="96"/>
        <v/>
      </c>
      <c r="BJ132" t="str">
        <f t="shared" si="109"/>
        <v/>
      </c>
    </row>
    <row r="133" spans="1:62">
      <c r="A133">
        <v>6</v>
      </c>
      <c r="B133">
        <v>7</v>
      </c>
      <c r="C133">
        <v>2034.8</v>
      </c>
      <c r="D133">
        <v>4</v>
      </c>
      <c r="E133">
        <v>15</v>
      </c>
      <c r="F133">
        <v>90</v>
      </c>
      <c r="G133">
        <v>3391.4</v>
      </c>
      <c r="H133">
        <v>1271.8</v>
      </c>
      <c r="AR133" t="str">
        <f t="shared" si="98"/>
        <v/>
      </c>
      <c r="AS133" s="25" t="str">
        <f t="shared" si="99"/>
        <v/>
      </c>
      <c r="AT133" t="str">
        <f t="shared" si="100"/>
        <v/>
      </c>
      <c r="AU133" s="25" t="str">
        <f t="shared" si="110"/>
        <v/>
      </c>
      <c r="AV133" t="str">
        <f t="shared" si="102"/>
        <v/>
      </c>
      <c r="AW133" s="25" t="str">
        <f t="shared" si="111"/>
        <v/>
      </c>
      <c r="AX133">
        <f t="shared" si="103"/>
        <v>3391.4</v>
      </c>
      <c r="AY133" s="25">
        <f t="shared" ref="AY133:AY150" si="112">IFERROR(IF(AX133="","",$E133),"")</f>
        <v>15</v>
      </c>
      <c r="AZ133" t="str">
        <f t="shared" si="104"/>
        <v/>
      </c>
      <c r="BA133" s="25" t="str">
        <f t="shared" ref="BA133:BA150" si="113">IFERROR(IF(AZ133="","",$E133),"")</f>
        <v/>
      </c>
      <c r="BB133" t="str">
        <f t="shared" si="105"/>
        <v/>
      </c>
      <c r="BC133" s="25" t="str">
        <f t="shared" ref="BC133:BC150" si="114">IFERROR(IF(BB133="","",$E133),"")</f>
        <v/>
      </c>
      <c r="BD133" t="str">
        <f t="shared" si="106"/>
        <v/>
      </c>
      <c r="BE133" s="25" t="str">
        <f t="shared" ref="BE133:BE150" si="115">IFERROR(IF(BD133="","",$E133),"")</f>
        <v/>
      </c>
      <c r="BF133" t="str">
        <f t="shared" si="107"/>
        <v/>
      </c>
      <c r="BG133" s="25" t="str">
        <f t="shared" ref="BG133:BG150" si="116">IFERROR(IF(BF133="","",$E133),"")</f>
        <v/>
      </c>
      <c r="BH133" t="str">
        <f t="shared" si="108"/>
        <v/>
      </c>
      <c r="BI133" s="25" t="str">
        <f t="shared" ref="BI133:BI150" si="117">IFERROR(IF(BH133="","",$E133),"")</f>
        <v/>
      </c>
      <c r="BJ133" t="str">
        <f t="shared" si="109"/>
        <v/>
      </c>
    </row>
    <row r="134" spans="1:62">
      <c r="A134">
        <v>8</v>
      </c>
      <c r="B134">
        <v>13</v>
      </c>
      <c r="C134">
        <v>2034.8</v>
      </c>
      <c r="D134">
        <v>12</v>
      </c>
      <c r="E134">
        <v>2</v>
      </c>
      <c r="F134">
        <v>90</v>
      </c>
      <c r="G134">
        <v>769.4</v>
      </c>
      <c r="H134">
        <v>558.29999999999995</v>
      </c>
      <c r="AR134" t="str">
        <f t="shared" ref="AR134:AR150" si="118">IF($D134=AR$4,$G134,"")</f>
        <v/>
      </c>
      <c r="AS134" s="25" t="str">
        <f t="shared" ref="AS134:AS150" si="119">IFERROR(IF(AR134="","",E134),"")</f>
        <v/>
      </c>
      <c r="AT134" t="str">
        <f t="shared" ref="AT134:AT150" si="120">IF($D134=AT$4,$G134,"")</f>
        <v/>
      </c>
      <c r="AU134" s="25" t="str">
        <f t="shared" si="110"/>
        <v/>
      </c>
      <c r="AV134" t="str">
        <f t="shared" ref="AV134:AV150" si="121">IF($D134=AV$4,$G134,"")</f>
        <v/>
      </c>
      <c r="AW134" s="25" t="str">
        <f t="shared" si="111"/>
        <v/>
      </c>
      <c r="AX134" t="str">
        <f t="shared" ref="AX134:AX150" si="122">IF($D134=AX$4,$G134,"")</f>
        <v/>
      </c>
      <c r="AY134" s="25" t="str">
        <f t="shared" si="112"/>
        <v/>
      </c>
      <c r="AZ134" t="str">
        <f t="shared" ref="AZ134:AZ150" si="123">IF($D134=AZ$4,$G134,"")</f>
        <v/>
      </c>
      <c r="BA134" s="25" t="str">
        <f t="shared" si="113"/>
        <v/>
      </c>
      <c r="BB134" t="str">
        <f t="shared" ref="BB134:BB150" si="124">IF($D134=BB$4,$G134,"")</f>
        <v/>
      </c>
      <c r="BC134" s="25" t="str">
        <f t="shared" si="114"/>
        <v/>
      </c>
      <c r="BD134" t="str">
        <f t="shared" ref="BD134:BD150" si="125">IF($D134=BD$4,$G134,"")</f>
        <v/>
      </c>
      <c r="BE134" s="25" t="str">
        <f t="shared" si="115"/>
        <v/>
      </c>
      <c r="BF134" t="str">
        <f t="shared" ref="BF134:BF150" si="126">IF($D134=BF$4,$G134,"")</f>
        <v/>
      </c>
      <c r="BG134" s="25" t="str">
        <f t="shared" si="116"/>
        <v/>
      </c>
      <c r="BH134" t="str">
        <f t="shared" ref="BH134:BH150" si="127">IF($D134=BH$4,$G134,"")</f>
        <v/>
      </c>
      <c r="BI134" s="25" t="str">
        <f t="shared" si="117"/>
        <v/>
      </c>
      <c r="BJ134" t="str">
        <f t="shared" ref="BJ134:BJ150" si="128">IF($D134=BJ$4,$G134,"")</f>
        <v/>
      </c>
    </row>
    <row r="135" spans="1:62">
      <c r="A135">
        <v>5</v>
      </c>
      <c r="B135">
        <v>8</v>
      </c>
      <c r="C135">
        <v>2081.1</v>
      </c>
      <c r="D135">
        <v>5</v>
      </c>
      <c r="E135">
        <v>12</v>
      </c>
      <c r="F135">
        <v>88</v>
      </c>
      <c r="G135">
        <v>2906.9</v>
      </c>
      <c r="H135">
        <v>1212.8</v>
      </c>
      <c r="AR135" t="str">
        <f t="shared" si="118"/>
        <v/>
      </c>
      <c r="AS135" s="25" t="str">
        <f t="shared" si="119"/>
        <v/>
      </c>
      <c r="AT135" t="str">
        <f t="shared" si="120"/>
        <v/>
      </c>
      <c r="AU135" s="25" t="str">
        <f t="shared" si="110"/>
        <v/>
      </c>
      <c r="AV135" t="str">
        <f t="shared" si="121"/>
        <v/>
      </c>
      <c r="AW135" s="25" t="str">
        <f t="shared" si="111"/>
        <v/>
      </c>
      <c r="AX135" t="str">
        <f t="shared" si="122"/>
        <v/>
      </c>
      <c r="AY135" s="25" t="str">
        <f t="shared" si="112"/>
        <v/>
      </c>
      <c r="AZ135">
        <f t="shared" si="123"/>
        <v>2906.9</v>
      </c>
      <c r="BA135" s="25">
        <f t="shared" si="113"/>
        <v>12</v>
      </c>
      <c r="BB135" t="str">
        <f t="shared" si="124"/>
        <v/>
      </c>
      <c r="BC135" s="25" t="str">
        <f t="shared" si="114"/>
        <v/>
      </c>
      <c r="BD135" t="str">
        <f t="shared" si="125"/>
        <v/>
      </c>
      <c r="BE135" s="25" t="str">
        <f t="shared" si="115"/>
        <v/>
      </c>
      <c r="BF135" t="str">
        <f t="shared" si="126"/>
        <v/>
      </c>
      <c r="BG135" s="25" t="str">
        <f t="shared" si="116"/>
        <v/>
      </c>
      <c r="BH135" t="str">
        <f t="shared" si="127"/>
        <v/>
      </c>
      <c r="BI135" s="25" t="str">
        <f t="shared" si="117"/>
        <v/>
      </c>
      <c r="BJ135" t="str">
        <f t="shared" si="128"/>
        <v/>
      </c>
    </row>
    <row r="136" spans="1:62">
      <c r="A136">
        <v>4</v>
      </c>
      <c r="B136">
        <v>13</v>
      </c>
      <c r="C136">
        <v>2105</v>
      </c>
      <c r="D136">
        <v>13</v>
      </c>
      <c r="E136">
        <v>2</v>
      </c>
      <c r="F136">
        <v>87</v>
      </c>
      <c r="G136">
        <v>1327</v>
      </c>
      <c r="H136">
        <v>813.9</v>
      </c>
      <c r="AR136" t="str">
        <f t="shared" si="118"/>
        <v/>
      </c>
      <c r="AS136" s="25" t="str">
        <f t="shared" si="119"/>
        <v/>
      </c>
      <c r="AT136" t="str">
        <f t="shared" si="120"/>
        <v/>
      </c>
      <c r="AU136" s="25" t="str">
        <f t="shared" si="110"/>
        <v/>
      </c>
      <c r="AV136" t="str">
        <f t="shared" si="121"/>
        <v/>
      </c>
      <c r="AW136" s="25" t="str">
        <f t="shared" si="111"/>
        <v/>
      </c>
      <c r="AX136" t="str">
        <f t="shared" si="122"/>
        <v/>
      </c>
      <c r="AY136" s="25" t="str">
        <f t="shared" si="112"/>
        <v/>
      </c>
      <c r="AZ136" t="str">
        <f t="shared" si="123"/>
        <v/>
      </c>
      <c r="BA136" s="25" t="str">
        <f t="shared" si="113"/>
        <v/>
      </c>
      <c r="BB136" t="str">
        <f t="shared" si="124"/>
        <v/>
      </c>
      <c r="BC136" s="25" t="str">
        <f t="shared" si="114"/>
        <v/>
      </c>
      <c r="BD136" t="str">
        <f t="shared" si="125"/>
        <v/>
      </c>
      <c r="BE136" s="25" t="str">
        <f t="shared" si="115"/>
        <v/>
      </c>
      <c r="BF136" t="str">
        <f t="shared" si="126"/>
        <v/>
      </c>
      <c r="BG136" s="25" t="str">
        <f t="shared" si="116"/>
        <v/>
      </c>
      <c r="BH136" t="str">
        <f t="shared" si="127"/>
        <v/>
      </c>
      <c r="BI136" s="25" t="str">
        <f t="shared" si="117"/>
        <v/>
      </c>
      <c r="BJ136" t="str">
        <f t="shared" si="128"/>
        <v/>
      </c>
    </row>
    <row r="137" spans="1:62">
      <c r="A137">
        <v>4</v>
      </c>
      <c r="B137">
        <v>6</v>
      </c>
      <c r="C137">
        <v>2129.5</v>
      </c>
      <c r="D137">
        <v>13</v>
      </c>
      <c r="E137">
        <v>4</v>
      </c>
      <c r="F137">
        <v>86</v>
      </c>
      <c r="G137">
        <v>1695.7</v>
      </c>
      <c r="H137">
        <v>944</v>
      </c>
      <c r="AR137" t="str">
        <f t="shared" si="118"/>
        <v/>
      </c>
      <c r="AS137" s="25" t="str">
        <f t="shared" si="119"/>
        <v/>
      </c>
      <c r="AT137" t="str">
        <f t="shared" si="120"/>
        <v/>
      </c>
      <c r="AU137" s="25" t="str">
        <f t="shared" si="110"/>
        <v/>
      </c>
      <c r="AV137" t="str">
        <f t="shared" si="121"/>
        <v/>
      </c>
      <c r="AW137" s="25" t="str">
        <f t="shared" si="111"/>
        <v/>
      </c>
      <c r="AX137" t="str">
        <f t="shared" si="122"/>
        <v/>
      </c>
      <c r="AY137" s="25" t="str">
        <f t="shared" si="112"/>
        <v/>
      </c>
      <c r="AZ137" t="str">
        <f t="shared" si="123"/>
        <v/>
      </c>
      <c r="BA137" s="25" t="str">
        <f t="shared" si="113"/>
        <v/>
      </c>
      <c r="BB137" t="str">
        <f t="shared" si="124"/>
        <v/>
      </c>
      <c r="BC137" s="25" t="str">
        <f t="shared" si="114"/>
        <v/>
      </c>
      <c r="BD137" t="str">
        <f t="shared" si="125"/>
        <v/>
      </c>
      <c r="BE137" s="25" t="str">
        <f t="shared" si="115"/>
        <v/>
      </c>
      <c r="BF137" t="str">
        <f t="shared" si="126"/>
        <v/>
      </c>
      <c r="BG137" s="25" t="str">
        <f t="shared" si="116"/>
        <v/>
      </c>
      <c r="BH137" t="str">
        <f t="shared" si="127"/>
        <v/>
      </c>
      <c r="BI137" s="25" t="str">
        <f t="shared" si="117"/>
        <v/>
      </c>
      <c r="BJ137" t="str">
        <f t="shared" si="128"/>
        <v/>
      </c>
    </row>
    <row r="138" spans="1:62">
      <c r="A138">
        <v>5</v>
      </c>
      <c r="B138">
        <v>7</v>
      </c>
      <c r="C138">
        <v>2260.9</v>
      </c>
      <c r="D138">
        <v>5</v>
      </c>
      <c r="E138">
        <v>15</v>
      </c>
      <c r="F138">
        <v>81</v>
      </c>
      <c r="G138">
        <v>3590.9</v>
      </c>
      <c r="H138">
        <v>1387.4</v>
      </c>
      <c r="AR138" t="str">
        <f t="shared" si="118"/>
        <v/>
      </c>
      <c r="AS138" s="25" t="str">
        <f t="shared" si="119"/>
        <v/>
      </c>
      <c r="AT138" t="str">
        <f t="shared" si="120"/>
        <v/>
      </c>
      <c r="AU138" s="25" t="str">
        <f t="shared" si="110"/>
        <v/>
      </c>
      <c r="AV138" t="str">
        <f t="shared" si="121"/>
        <v/>
      </c>
      <c r="AW138" s="25" t="str">
        <f t="shared" si="111"/>
        <v/>
      </c>
      <c r="AX138" t="str">
        <f t="shared" si="122"/>
        <v/>
      </c>
      <c r="AY138" s="25" t="str">
        <f t="shared" si="112"/>
        <v/>
      </c>
      <c r="AZ138">
        <f t="shared" si="123"/>
        <v>3590.9</v>
      </c>
      <c r="BA138" s="25">
        <f t="shared" si="113"/>
        <v>15</v>
      </c>
      <c r="BB138" t="str">
        <f t="shared" si="124"/>
        <v/>
      </c>
      <c r="BC138" s="25" t="str">
        <f t="shared" si="114"/>
        <v/>
      </c>
      <c r="BD138" t="str">
        <f t="shared" si="125"/>
        <v/>
      </c>
      <c r="BE138" s="25" t="str">
        <f t="shared" si="115"/>
        <v/>
      </c>
      <c r="BF138" t="str">
        <f t="shared" si="126"/>
        <v/>
      </c>
      <c r="BG138" s="25" t="str">
        <f t="shared" si="116"/>
        <v/>
      </c>
      <c r="BH138" t="str">
        <f t="shared" si="127"/>
        <v/>
      </c>
      <c r="BI138" s="25" t="str">
        <f t="shared" si="117"/>
        <v/>
      </c>
      <c r="BJ138" t="str">
        <f t="shared" si="128"/>
        <v/>
      </c>
    </row>
    <row r="139" spans="1:62">
      <c r="A139">
        <v>10</v>
      </c>
      <c r="B139">
        <v>7</v>
      </c>
      <c r="C139">
        <v>2378.4</v>
      </c>
      <c r="D139">
        <v>6</v>
      </c>
      <c r="E139">
        <v>15</v>
      </c>
      <c r="F139">
        <v>77</v>
      </c>
      <c r="G139">
        <v>7962.5</v>
      </c>
      <c r="H139">
        <v>1831.4</v>
      </c>
      <c r="AR139" t="str">
        <f t="shared" si="118"/>
        <v/>
      </c>
      <c r="AS139" s="25" t="str">
        <f t="shared" si="119"/>
        <v/>
      </c>
      <c r="AT139" t="str">
        <f t="shared" si="120"/>
        <v/>
      </c>
      <c r="AU139" s="25" t="str">
        <f t="shared" si="110"/>
        <v/>
      </c>
      <c r="AV139" t="str">
        <f t="shared" si="121"/>
        <v/>
      </c>
      <c r="AW139" s="25" t="str">
        <f t="shared" si="111"/>
        <v/>
      </c>
      <c r="AX139" t="str">
        <f t="shared" si="122"/>
        <v/>
      </c>
      <c r="AY139" s="25" t="str">
        <f t="shared" si="112"/>
        <v/>
      </c>
      <c r="AZ139" t="str">
        <f t="shared" si="123"/>
        <v/>
      </c>
      <c r="BA139" s="25" t="str">
        <f t="shared" si="113"/>
        <v/>
      </c>
      <c r="BB139">
        <f t="shared" si="124"/>
        <v>7962.5</v>
      </c>
      <c r="BC139" s="25">
        <f t="shared" si="114"/>
        <v>15</v>
      </c>
      <c r="BD139" t="str">
        <f t="shared" si="125"/>
        <v/>
      </c>
      <c r="BE139" s="25" t="str">
        <f t="shared" si="115"/>
        <v/>
      </c>
      <c r="BF139" t="str">
        <f t="shared" si="126"/>
        <v/>
      </c>
      <c r="BG139" s="25" t="str">
        <f t="shared" si="116"/>
        <v/>
      </c>
      <c r="BH139" t="str">
        <f t="shared" si="127"/>
        <v/>
      </c>
      <c r="BI139" s="25" t="str">
        <f t="shared" si="117"/>
        <v/>
      </c>
      <c r="BJ139" t="str">
        <f t="shared" si="128"/>
        <v/>
      </c>
    </row>
    <row r="140" spans="1:62">
      <c r="A140">
        <v>15</v>
      </c>
      <c r="B140">
        <v>12</v>
      </c>
      <c r="C140">
        <v>2378.4</v>
      </c>
      <c r="D140">
        <v>8</v>
      </c>
      <c r="E140">
        <v>11</v>
      </c>
      <c r="F140">
        <v>77</v>
      </c>
      <c r="G140">
        <v>2693.2</v>
      </c>
      <c r="H140">
        <v>1263</v>
      </c>
      <c r="AR140" t="str">
        <f t="shared" si="118"/>
        <v/>
      </c>
      <c r="AS140" s="25" t="str">
        <f t="shared" si="119"/>
        <v/>
      </c>
      <c r="AT140" t="str">
        <f t="shared" si="120"/>
        <v/>
      </c>
      <c r="AU140" s="25" t="str">
        <f t="shared" si="110"/>
        <v/>
      </c>
      <c r="AV140" t="str">
        <f t="shared" si="121"/>
        <v/>
      </c>
      <c r="AW140" s="25" t="str">
        <f t="shared" si="111"/>
        <v/>
      </c>
      <c r="AX140" t="str">
        <f t="shared" si="122"/>
        <v/>
      </c>
      <c r="AY140" s="25" t="str">
        <f t="shared" si="112"/>
        <v/>
      </c>
      <c r="AZ140" t="str">
        <f t="shared" si="123"/>
        <v/>
      </c>
      <c r="BA140" s="25" t="str">
        <f t="shared" si="113"/>
        <v/>
      </c>
      <c r="BB140" t="str">
        <f t="shared" si="124"/>
        <v/>
      </c>
      <c r="BC140" s="25" t="str">
        <f t="shared" si="114"/>
        <v/>
      </c>
      <c r="BD140" t="str">
        <f t="shared" si="125"/>
        <v/>
      </c>
      <c r="BE140" s="25" t="str">
        <f t="shared" si="115"/>
        <v/>
      </c>
      <c r="BF140">
        <f t="shared" si="126"/>
        <v>2693.2</v>
      </c>
      <c r="BG140" s="25">
        <f t="shared" si="116"/>
        <v>11</v>
      </c>
      <c r="BH140" t="str">
        <f t="shared" si="127"/>
        <v/>
      </c>
      <c r="BI140" s="25" t="str">
        <f t="shared" si="117"/>
        <v/>
      </c>
      <c r="BJ140" t="str">
        <f t="shared" si="128"/>
        <v/>
      </c>
    </row>
    <row r="141" spans="1:62">
      <c r="A141">
        <v>5</v>
      </c>
      <c r="B141">
        <v>14</v>
      </c>
      <c r="C141">
        <v>2474.8000000000002</v>
      </c>
      <c r="D141">
        <v>5</v>
      </c>
      <c r="E141">
        <v>14</v>
      </c>
      <c r="F141">
        <v>74</v>
      </c>
      <c r="G141">
        <v>3455.4</v>
      </c>
      <c r="H141">
        <v>1442</v>
      </c>
      <c r="AR141" t="str">
        <f t="shared" si="118"/>
        <v/>
      </c>
      <c r="AS141" s="25" t="str">
        <f t="shared" si="119"/>
        <v/>
      </c>
      <c r="AT141" t="str">
        <f t="shared" si="120"/>
        <v/>
      </c>
      <c r="AU141" s="25" t="str">
        <f t="shared" si="110"/>
        <v/>
      </c>
      <c r="AV141" t="str">
        <f t="shared" si="121"/>
        <v/>
      </c>
      <c r="AW141" s="25" t="str">
        <f t="shared" si="111"/>
        <v/>
      </c>
      <c r="AX141" t="str">
        <f t="shared" si="122"/>
        <v/>
      </c>
      <c r="AY141" s="25" t="str">
        <f t="shared" si="112"/>
        <v/>
      </c>
      <c r="AZ141">
        <f t="shared" si="123"/>
        <v>3455.4</v>
      </c>
      <c r="BA141" s="25">
        <f t="shared" si="113"/>
        <v>14</v>
      </c>
      <c r="BB141" t="str">
        <f t="shared" si="124"/>
        <v/>
      </c>
      <c r="BC141" s="25" t="str">
        <f t="shared" si="114"/>
        <v/>
      </c>
      <c r="BD141" t="str">
        <f t="shared" si="125"/>
        <v/>
      </c>
      <c r="BE141" s="25" t="str">
        <f t="shared" si="115"/>
        <v/>
      </c>
      <c r="BF141" t="str">
        <f t="shared" si="126"/>
        <v/>
      </c>
      <c r="BG141" s="25" t="str">
        <f t="shared" si="116"/>
        <v/>
      </c>
      <c r="BH141" t="str">
        <f t="shared" si="127"/>
        <v/>
      </c>
      <c r="BI141" s="25" t="str">
        <f t="shared" si="117"/>
        <v/>
      </c>
      <c r="BJ141" t="str">
        <f t="shared" si="128"/>
        <v/>
      </c>
    </row>
    <row r="142" spans="1:62">
      <c r="A142">
        <v>14</v>
      </c>
      <c r="B142">
        <v>9</v>
      </c>
      <c r="C142">
        <v>2474.8000000000002</v>
      </c>
      <c r="D142">
        <v>14</v>
      </c>
      <c r="E142">
        <v>3</v>
      </c>
      <c r="F142">
        <v>74</v>
      </c>
      <c r="G142">
        <v>1204.8</v>
      </c>
      <c r="H142">
        <v>810.3</v>
      </c>
      <c r="AR142" t="str">
        <f t="shared" si="118"/>
        <v/>
      </c>
      <c r="AS142" s="25" t="str">
        <f t="shared" si="119"/>
        <v/>
      </c>
      <c r="AT142" t="str">
        <f t="shared" si="120"/>
        <v/>
      </c>
      <c r="AU142" s="25" t="str">
        <f t="shared" si="110"/>
        <v/>
      </c>
      <c r="AV142" t="str">
        <f t="shared" si="121"/>
        <v/>
      </c>
      <c r="AW142" s="25" t="str">
        <f t="shared" si="111"/>
        <v/>
      </c>
      <c r="AX142" t="str">
        <f t="shared" si="122"/>
        <v/>
      </c>
      <c r="AY142" s="25" t="str">
        <f t="shared" si="112"/>
        <v/>
      </c>
      <c r="AZ142" t="str">
        <f t="shared" si="123"/>
        <v/>
      </c>
      <c r="BA142" s="25" t="str">
        <f t="shared" si="113"/>
        <v/>
      </c>
      <c r="BB142" t="str">
        <f t="shared" si="124"/>
        <v/>
      </c>
      <c r="BC142" s="25" t="str">
        <f t="shared" si="114"/>
        <v/>
      </c>
      <c r="BD142" t="str">
        <f t="shared" si="125"/>
        <v/>
      </c>
      <c r="BE142" s="25" t="str">
        <f t="shared" si="115"/>
        <v/>
      </c>
      <c r="BF142" t="str">
        <f t="shared" si="126"/>
        <v/>
      </c>
      <c r="BG142" s="25" t="str">
        <f t="shared" si="116"/>
        <v/>
      </c>
      <c r="BH142" t="str">
        <f t="shared" si="127"/>
        <v/>
      </c>
      <c r="BI142" s="25" t="str">
        <f t="shared" si="117"/>
        <v/>
      </c>
      <c r="BJ142" t="str">
        <f t="shared" si="128"/>
        <v/>
      </c>
    </row>
    <row r="143" spans="1:62">
      <c r="A143">
        <v>7</v>
      </c>
      <c r="B143">
        <v>9</v>
      </c>
      <c r="C143">
        <v>2508.6999999999998</v>
      </c>
      <c r="D143">
        <v>15</v>
      </c>
      <c r="E143">
        <v>3</v>
      </c>
      <c r="F143">
        <v>73</v>
      </c>
      <c r="G143">
        <v>1453.4</v>
      </c>
      <c r="H143">
        <v>920.3</v>
      </c>
      <c r="AR143" t="str">
        <f t="shared" si="118"/>
        <v/>
      </c>
      <c r="AS143" s="25" t="str">
        <f t="shared" si="119"/>
        <v/>
      </c>
      <c r="AT143" t="str">
        <f t="shared" si="120"/>
        <v/>
      </c>
      <c r="AU143" s="25" t="str">
        <f t="shared" si="110"/>
        <v/>
      </c>
      <c r="AV143" t="str">
        <f t="shared" si="121"/>
        <v/>
      </c>
      <c r="AW143" s="25" t="str">
        <f t="shared" si="111"/>
        <v/>
      </c>
      <c r="AX143" t="str">
        <f t="shared" si="122"/>
        <v/>
      </c>
      <c r="AY143" s="25" t="str">
        <f t="shared" si="112"/>
        <v/>
      </c>
      <c r="AZ143" t="str">
        <f t="shared" si="123"/>
        <v/>
      </c>
      <c r="BA143" s="25" t="str">
        <f t="shared" si="113"/>
        <v/>
      </c>
      <c r="BB143" t="str">
        <f t="shared" si="124"/>
        <v/>
      </c>
      <c r="BC143" s="25" t="str">
        <f t="shared" si="114"/>
        <v/>
      </c>
      <c r="BD143" t="str">
        <f t="shared" si="125"/>
        <v/>
      </c>
      <c r="BE143" s="25" t="str">
        <f t="shared" si="115"/>
        <v/>
      </c>
      <c r="BF143" t="str">
        <f t="shared" si="126"/>
        <v/>
      </c>
      <c r="BG143" s="25" t="str">
        <f t="shared" si="116"/>
        <v/>
      </c>
      <c r="BH143" t="str">
        <f t="shared" si="127"/>
        <v/>
      </c>
      <c r="BI143" s="25" t="str">
        <f t="shared" si="117"/>
        <v/>
      </c>
      <c r="BJ143" t="str">
        <f t="shared" si="128"/>
        <v/>
      </c>
    </row>
    <row r="144" spans="1:62">
      <c r="A144">
        <v>8</v>
      </c>
      <c r="B144">
        <v>6</v>
      </c>
      <c r="C144">
        <v>2693.2</v>
      </c>
      <c r="D144">
        <v>12</v>
      </c>
      <c r="E144">
        <v>4</v>
      </c>
      <c r="F144">
        <v>68</v>
      </c>
      <c r="G144">
        <v>1526.1</v>
      </c>
      <c r="H144">
        <v>974.1</v>
      </c>
      <c r="AR144" t="str">
        <f t="shared" si="118"/>
        <v/>
      </c>
      <c r="AS144" s="25" t="str">
        <f t="shared" si="119"/>
        <v/>
      </c>
      <c r="AT144" t="str">
        <f t="shared" si="120"/>
        <v/>
      </c>
      <c r="AU144" s="25" t="str">
        <f t="shared" si="110"/>
        <v/>
      </c>
      <c r="AV144" t="str">
        <f t="shared" si="121"/>
        <v/>
      </c>
      <c r="AW144" s="25" t="str">
        <f t="shared" si="111"/>
        <v/>
      </c>
      <c r="AX144" t="str">
        <f t="shared" si="122"/>
        <v/>
      </c>
      <c r="AY144" s="25" t="str">
        <f t="shared" si="112"/>
        <v/>
      </c>
      <c r="AZ144" t="str">
        <f t="shared" si="123"/>
        <v/>
      </c>
      <c r="BA144" s="25" t="str">
        <f t="shared" si="113"/>
        <v/>
      </c>
      <c r="BB144" t="str">
        <f t="shared" si="124"/>
        <v/>
      </c>
      <c r="BC144" s="25" t="str">
        <f t="shared" si="114"/>
        <v/>
      </c>
      <c r="BD144" t="str">
        <f t="shared" si="125"/>
        <v/>
      </c>
      <c r="BE144" s="25" t="str">
        <f t="shared" si="115"/>
        <v/>
      </c>
      <c r="BF144" t="str">
        <f t="shared" si="126"/>
        <v/>
      </c>
      <c r="BG144" s="25" t="str">
        <f t="shared" si="116"/>
        <v/>
      </c>
      <c r="BH144" t="str">
        <f t="shared" si="127"/>
        <v/>
      </c>
      <c r="BI144" s="25" t="str">
        <f t="shared" si="117"/>
        <v/>
      </c>
      <c r="BJ144" t="str">
        <f t="shared" si="128"/>
        <v/>
      </c>
    </row>
    <row r="145" spans="1:62">
      <c r="A145">
        <v>12</v>
      </c>
      <c r="B145">
        <v>15</v>
      </c>
      <c r="C145">
        <v>2693.2</v>
      </c>
      <c r="D145">
        <v>11</v>
      </c>
      <c r="E145">
        <v>8</v>
      </c>
      <c r="F145">
        <v>68</v>
      </c>
      <c r="G145">
        <v>2378.4</v>
      </c>
      <c r="H145">
        <v>1263</v>
      </c>
      <c r="AR145" t="str">
        <f t="shared" si="118"/>
        <v/>
      </c>
      <c r="AS145" s="25" t="str">
        <f t="shared" si="119"/>
        <v/>
      </c>
      <c r="AT145" t="str">
        <f t="shared" si="120"/>
        <v/>
      </c>
      <c r="AU145" s="25" t="str">
        <f t="shared" si="110"/>
        <v/>
      </c>
      <c r="AV145" t="str">
        <f t="shared" si="121"/>
        <v/>
      </c>
      <c r="AW145" s="25" t="str">
        <f t="shared" si="111"/>
        <v/>
      </c>
      <c r="AX145" t="str">
        <f t="shared" si="122"/>
        <v/>
      </c>
      <c r="AY145" s="25" t="str">
        <f t="shared" si="112"/>
        <v/>
      </c>
      <c r="AZ145" t="str">
        <f t="shared" si="123"/>
        <v/>
      </c>
      <c r="BA145" s="25" t="str">
        <f t="shared" si="113"/>
        <v/>
      </c>
      <c r="BB145" t="str">
        <f t="shared" si="124"/>
        <v/>
      </c>
      <c r="BC145" s="25" t="str">
        <f t="shared" si="114"/>
        <v/>
      </c>
      <c r="BD145" t="str">
        <f t="shared" si="125"/>
        <v/>
      </c>
      <c r="BE145" s="25" t="str">
        <f t="shared" si="115"/>
        <v/>
      </c>
      <c r="BF145" t="str">
        <f t="shared" si="126"/>
        <v/>
      </c>
      <c r="BG145" s="25" t="str">
        <f t="shared" si="116"/>
        <v/>
      </c>
      <c r="BH145" t="str">
        <f t="shared" si="127"/>
        <v/>
      </c>
      <c r="BI145" s="25" t="str">
        <f t="shared" si="117"/>
        <v/>
      </c>
      <c r="BJ145" t="str">
        <f t="shared" si="128"/>
        <v/>
      </c>
    </row>
    <row r="146" spans="1:62">
      <c r="A146">
        <v>14</v>
      </c>
      <c r="B146">
        <v>13</v>
      </c>
      <c r="C146">
        <v>2733.4</v>
      </c>
      <c r="D146">
        <v>14</v>
      </c>
      <c r="E146">
        <v>2</v>
      </c>
      <c r="F146">
        <v>67</v>
      </c>
      <c r="G146">
        <v>1229.0999999999999</v>
      </c>
      <c r="H146">
        <v>847.9</v>
      </c>
      <c r="AR146" t="str">
        <f t="shared" si="118"/>
        <v/>
      </c>
      <c r="AS146" s="25" t="str">
        <f t="shared" si="119"/>
        <v/>
      </c>
      <c r="AT146" t="str">
        <f t="shared" si="120"/>
        <v/>
      </c>
      <c r="AU146" s="25" t="str">
        <f t="shared" si="110"/>
        <v/>
      </c>
      <c r="AV146" t="str">
        <f t="shared" si="121"/>
        <v/>
      </c>
      <c r="AW146" s="25" t="str">
        <f t="shared" si="111"/>
        <v/>
      </c>
      <c r="AX146" t="str">
        <f t="shared" si="122"/>
        <v/>
      </c>
      <c r="AY146" s="25" t="str">
        <f t="shared" si="112"/>
        <v/>
      </c>
      <c r="AZ146" t="str">
        <f t="shared" si="123"/>
        <v/>
      </c>
      <c r="BA146" s="25" t="str">
        <f t="shared" si="113"/>
        <v/>
      </c>
      <c r="BB146" t="str">
        <f t="shared" si="124"/>
        <v/>
      </c>
      <c r="BC146" s="25" t="str">
        <f t="shared" si="114"/>
        <v/>
      </c>
      <c r="BD146" t="str">
        <f t="shared" si="125"/>
        <v/>
      </c>
      <c r="BE146" s="25" t="str">
        <f t="shared" si="115"/>
        <v/>
      </c>
      <c r="BF146" t="str">
        <f t="shared" si="126"/>
        <v/>
      </c>
      <c r="BG146" s="25" t="str">
        <f t="shared" si="116"/>
        <v/>
      </c>
      <c r="BH146" t="str">
        <f t="shared" si="127"/>
        <v/>
      </c>
      <c r="BI146" s="25" t="str">
        <f t="shared" si="117"/>
        <v/>
      </c>
      <c r="BJ146" t="str">
        <f t="shared" si="128"/>
        <v/>
      </c>
    </row>
    <row r="147" spans="1:62">
      <c r="A147">
        <v>2</v>
      </c>
      <c r="B147">
        <v>12</v>
      </c>
      <c r="C147">
        <v>2861.5</v>
      </c>
      <c r="D147">
        <v>10</v>
      </c>
      <c r="E147">
        <v>11</v>
      </c>
      <c r="F147">
        <v>64</v>
      </c>
      <c r="G147">
        <v>3737.5</v>
      </c>
      <c r="H147">
        <v>1620.7</v>
      </c>
      <c r="AR147" t="str">
        <f t="shared" si="118"/>
        <v/>
      </c>
      <c r="AS147" s="25" t="str">
        <f t="shared" si="119"/>
        <v/>
      </c>
      <c r="AT147" t="str">
        <f t="shared" si="120"/>
        <v/>
      </c>
      <c r="AU147" s="25" t="str">
        <f t="shared" si="110"/>
        <v/>
      </c>
      <c r="AV147" t="str">
        <f t="shared" si="121"/>
        <v/>
      </c>
      <c r="AW147" s="25" t="str">
        <f t="shared" si="111"/>
        <v/>
      </c>
      <c r="AX147" t="str">
        <f t="shared" si="122"/>
        <v/>
      </c>
      <c r="AY147" s="25" t="str">
        <f t="shared" si="112"/>
        <v/>
      </c>
      <c r="AZ147" t="str">
        <f t="shared" si="123"/>
        <v/>
      </c>
      <c r="BA147" s="25" t="str">
        <f t="shared" si="113"/>
        <v/>
      </c>
      <c r="BB147" t="str">
        <f t="shared" si="124"/>
        <v/>
      </c>
      <c r="BC147" s="25" t="str">
        <f t="shared" si="114"/>
        <v/>
      </c>
      <c r="BD147" t="str">
        <f t="shared" si="125"/>
        <v/>
      </c>
      <c r="BE147" s="25" t="str">
        <f t="shared" si="115"/>
        <v/>
      </c>
      <c r="BF147" t="str">
        <f t="shared" si="126"/>
        <v/>
      </c>
      <c r="BG147" s="25" t="str">
        <f t="shared" si="116"/>
        <v/>
      </c>
      <c r="BH147" t="str">
        <f t="shared" si="127"/>
        <v/>
      </c>
      <c r="BI147" s="25" t="str">
        <f t="shared" si="117"/>
        <v/>
      </c>
      <c r="BJ147">
        <f t="shared" si="128"/>
        <v>3737.5</v>
      </c>
    </row>
    <row r="148" spans="1:62">
      <c r="A148">
        <v>8</v>
      </c>
      <c r="B148">
        <v>5</v>
      </c>
      <c r="C148">
        <v>2906.9</v>
      </c>
      <c r="D148">
        <v>12</v>
      </c>
      <c r="E148">
        <v>5</v>
      </c>
      <c r="F148">
        <v>63</v>
      </c>
      <c r="G148">
        <v>2081.1</v>
      </c>
      <c r="H148">
        <v>1212.8</v>
      </c>
      <c r="AR148" t="str">
        <f t="shared" si="118"/>
        <v/>
      </c>
      <c r="AS148" s="25" t="str">
        <f t="shared" si="119"/>
        <v/>
      </c>
      <c r="AT148" t="str">
        <f t="shared" si="120"/>
        <v/>
      </c>
      <c r="AU148" s="25" t="str">
        <f t="shared" si="110"/>
        <v/>
      </c>
      <c r="AV148" t="str">
        <f t="shared" si="121"/>
        <v/>
      </c>
      <c r="AW148" s="25" t="str">
        <f t="shared" si="111"/>
        <v/>
      </c>
      <c r="AX148" t="str">
        <f t="shared" si="122"/>
        <v/>
      </c>
      <c r="AY148" s="25" t="str">
        <f t="shared" si="112"/>
        <v/>
      </c>
      <c r="AZ148" t="str">
        <f t="shared" si="123"/>
        <v/>
      </c>
      <c r="BA148" s="25" t="str">
        <f t="shared" si="113"/>
        <v/>
      </c>
      <c r="BB148" t="str">
        <f t="shared" si="124"/>
        <v/>
      </c>
      <c r="BC148" s="25" t="str">
        <f t="shared" si="114"/>
        <v/>
      </c>
      <c r="BD148" t="str">
        <f t="shared" si="125"/>
        <v/>
      </c>
      <c r="BE148" s="25" t="str">
        <f t="shared" si="115"/>
        <v/>
      </c>
      <c r="BF148" t="str">
        <f t="shared" si="126"/>
        <v/>
      </c>
      <c r="BG148" s="25" t="str">
        <f t="shared" si="116"/>
        <v/>
      </c>
      <c r="BH148" t="str">
        <f t="shared" si="127"/>
        <v/>
      </c>
      <c r="BI148" s="25" t="str">
        <f t="shared" si="117"/>
        <v/>
      </c>
      <c r="BJ148" t="str">
        <f t="shared" si="128"/>
        <v/>
      </c>
    </row>
    <row r="149" spans="1:62">
      <c r="A149">
        <v>11</v>
      </c>
      <c r="B149">
        <v>8</v>
      </c>
      <c r="C149">
        <v>2906.9</v>
      </c>
      <c r="D149">
        <v>7</v>
      </c>
      <c r="E149">
        <v>12</v>
      </c>
      <c r="F149">
        <v>63</v>
      </c>
      <c r="G149">
        <v>3981.2</v>
      </c>
      <c r="H149">
        <v>1680.1</v>
      </c>
      <c r="AR149" t="str">
        <f t="shared" si="118"/>
        <v/>
      </c>
      <c r="AS149" s="25" t="str">
        <f t="shared" si="119"/>
        <v/>
      </c>
      <c r="AT149" t="str">
        <f t="shared" si="120"/>
        <v/>
      </c>
      <c r="AU149" s="25" t="str">
        <f t="shared" si="110"/>
        <v/>
      </c>
      <c r="AV149" t="str">
        <f t="shared" si="121"/>
        <v/>
      </c>
      <c r="AW149" s="25" t="str">
        <f t="shared" si="111"/>
        <v/>
      </c>
      <c r="AX149" t="str">
        <f t="shared" si="122"/>
        <v/>
      </c>
      <c r="AY149" s="25" t="str">
        <f t="shared" si="112"/>
        <v/>
      </c>
      <c r="AZ149" t="str">
        <f t="shared" si="123"/>
        <v/>
      </c>
      <c r="BA149" s="25" t="str">
        <f t="shared" si="113"/>
        <v/>
      </c>
      <c r="BB149" t="str">
        <f t="shared" si="124"/>
        <v/>
      </c>
      <c r="BC149" s="25" t="str">
        <f t="shared" si="114"/>
        <v/>
      </c>
      <c r="BD149">
        <f t="shared" si="125"/>
        <v>3981.2</v>
      </c>
      <c r="BE149" s="25">
        <f t="shared" si="115"/>
        <v>12</v>
      </c>
      <c r="BF149" t="str">
        <f t="shared" si="126"/>
        <v/>
      </c>
      <c r="BG149" s="25" t="str">
        <f t="shared" si="116"/>
        <v/>
      </c>
      <c r="BH149" t="str">
        <f t="shared" si="127"/>
        <v/>
      </c>
      <c r="BI149" s="25" t="str">
        <f t="shared" si="117"/>
        <v/>
      </c>
      <c r="BJ149" t="str">
        <f t="shared" si="128"/>
        <v/>
      </c>
    </row>
    <row r="150" spans="1:62">
      <c r="A150">
        <v>4</v>
      </c>
      <c r="B150">
        <v>5</v>
      </c>
      <c r="C150">
        <v>2953.8</v>
      </c>
      <c r="D150">
        <v>13</v>
      </c>
      <c r="E150">
        <v>5</v>
      </c>
      <c r="F150">
        <v>62</v>
      </c>
      <c r="G150">
        <v>1868.7</v>
      </c>
      <c r="H150">
        <v>1144.5999999999999</v>
      </c>
      <c r="AR150" t="str">
        <f t="shared" si="118"/>
        <v/>
      </c>
      <c r="AS150" s="25" t="str">
        <f t="shared" si="119"/>
        <v/>
      </c>
      <c r="AT150" t="str">
        <f t="shared" si="120"/>
        <v/>
      </c>
      <c r="AU150" s="25" t="str">
        <f t="shared" si="110"/>
        <v/>
      </c>
      <c r="AV150" t="str">
        <f t="shared" si="121"/>
        <v/>
      </c>
      <c r="AW150" s="25" t="str">
        <f t="shared" si="111"/>
        <v/>
      </c>
      <c r="AX150" t="str">
        <f t="shared" si="122"/>
        <v/>
      </c>
      <c r="AY150" s="25" t="str">
        <f t="shared" si="112"/>
        <v/>
      </c>
      <c r="AZ150" t="str">
        <f t="shared" si="123"/>
        <v/>
      </c>
      <c r="BA150" s="25" t="str">
        <f t="shared" si="113"/>
        <v/>
      </c>
      <c r="BB150" t="str">
        <f t="shared" si="124"/>
        <v/>
      </c>
      <c r="BC150" s="25" t="str">
        <f t="shared" si="114"/>
        <v/>
      </c>
      <c r="BD150" t="str">
        <f t="shared" si="125"/>
        <v/>
      </c>
      <c r="BE150" s="25" t="str">
        <f t="shared" si="115"/>
        <v/>
      </c>
      <c r="BF150" t="str">
        <f t="shared" si="126"/>
        <v/>
      </c>
      <c r="BG150" s="25" t="str">
        <f t="shared" si="116"/>
        <v/>
      </c>
      <c r="BH150" t="str">
        <f t="shared" si="127"/>
        <v/>
      </c>
      <c r="BI150" s="25" t="str">
        <f t="shared" si="117"/>
        <v/>
      </c>
      <c r="BJ150" t="str">
        <f t="shared" si="128"/>
        <v/>
      </c>
    </row>
    <row r="151" spans="1:62">
      <c r="A151">
        <v>7</v>
      </c>
      <c r="B151">
        <v>13</v>
      </c>
      <c r="C151">
        <v>3052.3</v>
      </c>
      <c r="D151">
        <v>15</v>
      </c>
      <c r="E151">
        <v>2</v>
      </c>
      <c r="F151">
        <v>60</v>
      </c>
      <c r="G151">
        <v>1137.5</v>
      </c>
      <c r="H151">
        <v>828.7</v>
      </c>
    </row>
    <row r="152" spans="1:62">
      <c r="A152">
        <v>14</v>
      </c>
      <c r="B152">
        <v>6</v>
      </c>
      <c r="C152">
        <v>3104</v>
      </c>
      <c r="D152">
        <v>14</v>
      </c>
      <c r="E152">
        <v>4</v>
      </c>
      <c r="F152">
        <v>59</v>
      </c>
      <c r="G152">
        <v>1744.1</v>
      </c>
      <c r="H152">
        <v>1116.7</v>
      </c>
    </row>
    <row r="153" spans="1:62">
      <c r="A153">
        <v>12</v>
      </c>
      <c r="B153">
        <v>1</v>
      </c>
      <c r="C153">
        <v>3157.5</v>
      </c>
      <c r="D153">
        <v>11</v>
      </c>
      <c r="E153">
        <v>9</v>
      </c>
      <c r="F153">
        <v>58</v>
      </c>
      <c r="G153">
        <v>3329.7</v>
      </c>
      <c r="H153">
        <v>1620.7</v>
      </c>
    </row>
    <row r="154" spans="1:62">
      <c r="A154">
        <v>12</v>
      </c>
      <c r="B154">
        <v>11</v>
      </c>
      <c r="C154">
        <v>3157.5</v>
      </c>
      <c r="D154">
        <v>11</v>
      </c>
      <c r="E154">
        <v>7</v>
      </c>
      <c r="F154">
        <v>58</v>
      </c>
      <c r="G154">
        <v>1969.2</v>
      </c>
      <c r="H154">
        <v>1212.8</v>
      </c>
    </row>
    <row r="155" spans="1:62">
      <c r="A155">
        <v>1</v>
      </c>
      <c r="B155">
        <v>12</v>
      </c>
      <c r="C155">
        <v>3329.7</v>
      </c>
      <c r="D155">
        <v>9</v>
      </c>
      <c r="E155">
        <v>11</v>
      </c>
      <c r="F155">
        <v>55</v>
      </c>
      <c r="G155">
        <v>3157.5</v>
      </c>
      <c r="H155">
        <v>1620.7</v>
      </c>
    </row>
    <row r="156" spans="1:62">
      <c r="A156">
        <v>7</v>
      </c>
      <c r="B156">
        <v>6</v>
      </c>
      <c r="C156">
        <v>3391.4</v>
      </c>
      <c r="D156">
        <v>15</v>
      </c>
      <c r="E156">
        <v>4</v>
      </c>
      <c r="F156">
        <v>54</v>
      </c>
      <c r="G156">
        <v>2034.8</v>
      </c>
      <c r="H156">
        <v>1271.8</v>
      </c>
    </row>
    <row r="157" spans="1:62">
      <c r="A157">
        <v>2</v>
      </c>
      <c r="B157">
        <v>4</v>
      </c>
      <c r="C157">
        <v>3455.4</v>
      </c>
      <c r="D157">
        <v>10</v>
      </c>
      <c r="E157">
        <v>13</v>
      </c>
      <c r="F157">
        <v>53</v>
      </c>
      <c r="G157">
        <v>6782.8</v>
      </c>
      <c r="H157">
        <v>2289.1999999999998</v>
      </c>
    </row>
    <row r="158" spans="1:62">
      <c r="A158">
        <v>14</v>
      </c>
      <c r="B158">
        <v>5</v>
      </c>
      <c r="C158">
        <v>3455.4</v>
      </c>
      <c r="D158">
        <v>14</v>
      </c>
      <c r="E158">
        <v>5</v>
      </c>
      <c r="F158">
        <v>53</v>
      </c>
      <c r="G158">
        <v>2474.8000000000002</v>
      </c>
      <c r="H158">
        <v>1442</v>
      </c>
    </row>
    <row r="159" spans="1:62">
      <c r="A159">
        <v>7</v>
      </c>
      <c r="B159">
        <v>5</v>
      </c>
      <c r="C159">
        <v>3590.9</v>
      </c>
      <c r="D159">
        <v>15</v>
      </c>
      <c r="E159">
        <v>5</v>
      </c>
      <c r="F159">
        <v>51</v>
      </c>
      <c r="G159">
        <v>2260.9</v>
      </c>
      <c r="H159">
        <v>1387.4</v>
      </c>
    </row>
    <row r="160" spans="1:62">
      <c r="A160">
        <v>11</v>
      </c>
      <c r="B160">
        <v>14</v>
      </c>
      <c r="C160">
        <v>3662.7</v>
      </c>
      <c r="D160">
        <v>7</v>
      </c>
      <c r="E160">
        <v>14</v>
      </c>
      <c r="F160">
        <v>50</v>
      </c>
      <c r="G160">
        <v>6104.6</v>
      </c>
      <c r="H160">
        <v>2289.1999999999998</v>
      </c>
    </row>
    <row r="161" spans="1:8">
      <c r="A161">
        <v>12</v>
      </c>
      <c r="B161">
        <v>2</v>
      </c>
      <c r="C161">
        <v>3737.5</v>
      </c>
      <c r="D161">
        <v>11</v>
      </c>
      <c r="E161">
        <v>10</v>
      </c>
      <c r="F161">
        <v>49</v>
      </c>
      <c r="G161">
        <v>2861.5</v>
      </c>
      <c r="H161">
        <v>1620.7</v>
      </c>
    </row>
    <row r="162" spans="1:8">
      <c r="A162">
        <v>11</v>
      </c>
      <c r="B162">
        <v>4</v>
      </c>
      <c r="C162">
        <v>3815.3</v>
      </c>
      <c r="D162">
        <v>7</v>
      </c>
      <c r="E162">
        <v>13</v>
      </c>
      <c r="F162">
        <v>48</v>
      </c>
      <c r="G162">
        <v>7043.7</v>
      </c>
      <c r="H162">
        <v>2474.8000000000002</v>
      </c>
    </row>
    <row r="163" spans="1:8">
      <c r="A163">
        <v>1</v>
      </c>
      <c r="B163">
        <v>4</v>
      </c>
      <c r="C163">
        <v>3896.5</v>
      </c>
      <c r="D163">
        <v>9</v>
      </c>
      <c r="E163">
        <v>13</v>
      </c>
      <c r="F163">
        <v>47</v>
      </c>
      <c r="G163">
        <v>4949.6000000000004</v>
      </c>
      <c r="H163">
        <v>2180.1999999999998</v>
      </c>
    </row>
    <row r="164" spans="1:8">
      <c r="A164">
        <v>8</v>
      </c>
      <c r="B164">
        <v>11</v>
      </c>
      <c r="C164">
        <v>3981.2</v>
      </c>
      <c r="D164">
        <v>12</v>
      </c>
      <c r="E164">
        <v>7</v>
      </c>
      <c r="F164">
        <v>46</v>
      </c>
      <c r="G164">
        <v>2906.9</v>
      </c>
      <c r="H164">
        <v>1680.1</v>
      </c>
    </row>
    <row r="165" spans="1:8">
      <c r="A165">
        <v>11</v>
      </c>
      <c r="B165">
        <v>7</v>
      </c>
      <c r="C165">
        <v>3981.2</v>
      </c>
      <c r="D165">
        <v>7</v>
      </c>
      <c r="E165">
        <v>15</v>
      </c>
      <c r="F165">
        <v>46</v>
      </c>
      <c r="G165">
        <v>9638.7999999999993</v>
      </c>
      <c r="H165">
        <v>2817.5</v>
      </c>
    </row>
    <row r="166" spans="1:8">
      <c r="A166">
        <v>1</v>
      </c>
      <c r="B166">
        <v>8</v>
      </c>
      <c r="C166">
        <v>4259</v>
      </c>
      <c r="D166">
        <v>9</v>
      </c>
      <c r="E166">
        <v>12</v>
      </c>
      <c r="F166">
        <v>43</v>
      </c>
      <c r="G166">
        <v>4466.7</v>
      </c>
      <c r="H166">
        <v>2180.1999999999998</v>
      </c>
    </row>
    <row r="167" spans="1:8">
      <c r="A167">
        <v>2</v>
      </c>
      <c r="B167">
        <v>8</v>
      </c>
      <c r="C167">
        <v>4259</v>
      </c>
      <c r="D167">
        <v>10</v>
      </c>
      <c r="E167">
        <v>12</v>
      </c>
      <c r="F167">
        <v>43</v>
      </c>
      <c r="G167">
        <v>5549.6</v>
      </c>
      <c r="H167">
        <v>2409.6999999999998</v>
      </c>
    </row>
    <row r="168" spans="1:8">
      <c r="A168">
        <v>4</v>
      </c>
      <c r="B168">
        <v>10</v>
      </c>
      <c r="C168">
        <v>4466.7</v>
      </c>
      <c r="D168">
        <v>13</v>
      </c>
      <c r="E168">
        <v>6</v>
      </c>
      <c r="F168">
        <v>41</v>
      </c>
      <c r="G168">
        <v>1990.6</v>
      </c>
      <c r="H168">
        <v>1377</v>
      </c>
    </row>
    <row r="169" spans="1:8">
      <c r="A169">
        <v>8</v>
      </c>
      <c r="B169">
        <v>1</v>
      </c>
      <c r="C169">
        <v>4466.7</v>
      </c>
      <c r="D169">
        <v>12</v>
      </c>
      <c r="E169">
        <v>9</v>
      </c>
      <c r="F169">
        <v>41</v>
      </c>
      <c r="G169">
        <v>4259</v>
      </c>
      <c r="H169">
        <v>2180.1999999999998</v>
      </c>
    </row>
    <row r="170" spans="1:8">
      <c r="A170">
        <v>15</v>
      </c>
      <c r="B170">
        <v>14</v>
      </c>
      <c r="C170">
        <v>4466.7</v>
      </c>
      <c r="D170">
        <v>8</v>
      </c>
      <c r="E170">
        <v>14</v>
      </c>
      <c r="F170">
        <v>41</v>
      </c>
      <c r="G170">
        <v>6104.6</v>
      </c>
      <c r="H170">
        <v>2579.4</v>
      </c>
    </row>
    <row r="171" spans="1:8">
      <c r="A171">
        <v>2</v>
      </c>
      <c r="B171">
        <v>7</v>
      </c>
      <c r="C171">
        <v>4695.8</v>
      </c>
      <c r="D171">
        <v>10</v>
      </c>
      <c r="E171">
        <v>15</v>
      </c>
      <c r="F171">
        <v>39</v>
      </c>
      <c r="G171">
        <v>9156.9</v>
      </c>
      <c r="H171">
        <v>3104</v>
      </c>
    </row>
    <row r="172" spans="1:8">
      <c r="A172">
        <v>4</v>
      </c>
      <c r="B172">
        <v>1</v>
      </c>
      <c r="C172">
        <v>4949.6000000000004</v>
      </c>
      <c r="D172">
        <v>13</v>
      </c>
      <c r="E172">
        <v>9</v>
      </c>
      <c r="F172">
        <v>37</v>
      </c>
      <c r="G172">
        <v>3896.5</v>
      </c>
      <c r="H172">
        <v>2180.1999999999998</v>
      </c>
    </row>
    <row r="173" spans="1:8">
      <c r="A173">
        <v>14</v>
      </c>
      <c r="B173">
        <v>10</v>
      </c>
      <c r="C173">
        <v>4949.6000000000004</v>
      </c>
      <c r="D173">
        <v>14</v>
      </c>
      <c r="E173">
        <v>6</v>
      </c>
      <c r="F173">
        <v>37</v>
      </c>
      <c r="G173">
        <v>1868.7</v>
      </c>
      <c r="H173">
        <v>1356.5</v>
      </c>
    </row>
    <row r="174" spans="1:8">
      <c r="A174">
        <v>8</v>
      </c>
      <c r="B174">
        <v>10</v>
      </c>
      <c r="C174">
        <v>5087.1000000000004</v>
      </c>
      <c r="D174">
        <v>12</v>
      </c>
      <c r="E174">
        <v>6</v>
      </c>
      <c r="F174">
        <v>36</v>
      </c>
      <c r="G174">
        <v>1990.6</v>
      </c>
      <c r="H174">
        <v>1430.7</v>
      </c>
    </row>
    <row r="175" spans="1:8">
      <c r="A175">
        <v>8</v>
      </c>
      <c r="B175">
        <v>12</v>
      </c>
      <c r="C175">
        <v>5232.5</v>
      </c>
      <c r="D175">
        <v>12</v>
      </c>
      <c r="E175">
        <v>11</v>
      </c>
      <c r="F175">
        <v>35</v>
      </c>
      <c r="G175">
        <v>6104.6</v>
      </c>
      <c r="H175">
        <v>2817.5</v>
      </c>
    </row>
    <row r="176" spans="1:8">
      <c r="A176">
        <v>2</v>
      </c>
      <c r="B176">
        <v>14</v>
      </c>
      <c r="C176">
        <v>5549.6</v>
      </c>
      <c r="D176">
        <v>10</v>
      </c>
      <c r="E176">
        <v>14</v>
      </c>
      <c r="F176">
        <v>33</v>
      </c>
      <c r="G176">
        <v>11446.1</v>
      </c>
      <c r="H176">
        <v>3737.5</v>
      </c>
    </row>
    <row r="177" spans="1:8">
      <c r="A177">
        <v>8</v>
      </c>
      <c r="B177">
        <v>2</v>
      </c>
      <c r="C177">
        <v>5549.6</v>
      </c>
      <c r="D177">
        <v>12</v>
      </c>
      <c r="E177">
        <v>10</v>
      </c>
      <c r="F177">
        <v>33</v>
      </c>
      <c r="G177">
        <v>4259</v>
      </c>
      <c r="H177">
        <v>2409.6999999999998</v>
      </c>
    </row>
    <row r="178" spans="1:8">
      <c r="A178">
        <v>15</v>
      </c>
      <c r="B178">
        <v>8</v>
      </c>
      <c r="C178">
        <v>5723</v>
      </c>
      <c r="D178">
        <v>8</v>
      </c>
      <c r="E178">
        <v>12</v>
      </c>
      <c r="F178">
        <v>32</v>
      </c>
      <c r="G178">
        <v>7630.7</v>
      </c>
      <c r="H178">
        <v>3270.3</v>
      </c>
    </row>
    <row r="179" spans="1:8">
      <c r="A179">
        <v>12</v>
      </c>
      <c r="B179">
        <v>8</v>
      </c>
      <c r="C179">
        <v>6104.6</v>
      </c>
      <c r="D179">
        <v>11</v>
      </c>
      <c r="E179">
        <v>12</v>
      </c>
      <c r="F179">
        <v>30</v>
      </c>
      <c r="G179">
        <v>5232.5</v>
      </c>
      <c r="H179">
        <v>2817.5</v>
      </c>
    </row>
    <row r="180" spans="1:8">
      <c r="A180">
        <v>14</v>
      </c>
      <c r="B180">
        <v>11</v>
      </c>
      <c r="C180">
        <v>6104.6</v>
      </c>
      <c r="D180">
        <v>14</v>
      </c>
      <c r="E180">
        <v>7</v>
      </c>
      <c r="F180">
        <v>30</v>
      </c>
      <c r="G180">
        <v>3662.7</v>
      </c>
      <c r="H180">
        <v>2289.1999999999998</v>
      </c>
    </row>
    <row r="181" spans="1:8">
      <c r="A181">
        <v>14</v>
      </c>
      <c r="B181">
        <v>15</v>
      </c>
      <c r="C181">
        <v>6104.6</v>
      </c>
      <c r="D181">
        <v>14</v>
      </c>
      <c r="E181">
        <v>8</v>
      </c>
      <c r="F181">
        <v>30</v>
      </c>
      <c r="G181">
        <v>4466.7</v>
      </c>
      <c r="H181">
        <v>2579.4</v>
      </c>
    </row>
    <row r="182" spans="1:8">
      <c r="A182">
        <v>15</v>
      </c>
      <c r="B182">
        <v>7</v>
      </c>
      <c r="C182">
        <v>6104.6</v>
      </c>
      <c r="D182">
        <v>8</v>
      </c>
      <c r="E182">
        <v>15</v>
      </c>
      <c r="F182">
        <v>30</v>
      </c>
      <c r="G182">
        <v>10174.299999999999</v>
      </c>
      <c r="H182">
        <v>3815.4</v>
      </c>
    </row>
    <row r="183" spans="1:8">
      <c r="A183">
        <v>12</v>
      </c>
      <c r="B183">
        <v>14</v>
      </c>
      <c r="C183">
        <v>6315.1</v>
      </c>
      <c r="D183">
        <v>11</v>
      </c>
      <c r="E183">
        <v>14</v>
      </c>
      <c r="F183">
        <v>29</v>
      </c>
      <c r="G183">
        <v>7630.7</v>
      </c>
      <c r="H183">
        <v>3455.4</v>
      </c>
    </row>
    <row r="184" spans="1:8">
      <c r="A184">
        <v>4</v>
      </c>
      <c r="B184">
        <v>2</v>
      </c>
      <c r="C184">
        <v>6782.8</v>
      </c>
      <c r="D184">
        <v>13</v>
      </c>
      <c r="E184">
        <v>10</v>
      </c>
      <c r="F184">
        <v>27</v>
      </c>
      <c r="G184">
        <v>3455.4</v>
      </c>
      <c r="H184">
        <v>2289.1999999999998</v>
      </c>
    </row>
    <row r="185" spans="1:8">
      <c r="A185">
        <v>12</v>
      </c>
      <c r="B185">
        <v>4</v>
      </c>
      <c r="C185">
        <v>6782.8</v>
      </c>
      <c r="D185">
        <v>11</v>
      </c>
      <c r="E185">
        <v>13</v>
      </c>
      <c r="F185">
        <v>27</v>
      </c>
      <c r="G185">
        <v>8324.4</v>
      </c>
      <c r="H185">
        <v>3737.5</v>
      </c>
    </row>
    <row r="186" spans="1:8">
      <c r="A186">
        <v>1</v>
      </c>
      <c r="B186">
        <v>7</v>
      </c>
      <c r="C186">
        <v>7043.7</v>
      </c>
      <c r="D186">
        <v>9</v>
      </c>
      <c r="E186">
        <v>15</v>
      </c>
      <c r="F186">
        <v>26</v>
      </c>
      <c r="G186">
        <v>8720.7999999999993</v>
      </c>
      <c r="H186">
        <v>3896.5</v>
      </c>
    </row>
    <row r="187" spans="1:8">
      <c r="A187">
        <v>4</v>
      </c>
      <c r="B187">
        <v>11</v>
      </c>
      <c r="C187">
        <v>7043.7</v>
      </c>
      <c r="D187">
        <v>13</v>
      </c>
      <c r="E187">
        <v>7</v>
      </c>
      <c r="F187">
        <v>26</v>
      </c>
      <c r="G187">
        <v>3815.3</v>
      </c>
      <c r="H187">
        <v>2474.8000000000002</v>
      </c>
    </row>
    <row r="188" spans="1:8">
      <c r="A188">
        <v>1</v>
      </c>
      <c r="B188">
        <v>14</v>
      </c>
      <c r="C188">
        <v>7325.5</v>
      </c>
      <c r="D188">
        <v>9</v>
      </c>
      <c r="E188">
        <v>14</v>
      </c>
      <c r="F188">
        <v>25</v>
      </c>
      <c r="G188">
        <v>8324.4</v>
      </c>
      <c r="H188">
        <v>3896.5</v>
      </c>
    </row>
    <row r="189" spans="1:8">
      <c r="A189">
        <v>15</v>
      </c>
      <c r="B189">
        <v>4</v>
      </c>
      <c r="C189">
        <v>7325.5</v>
      </c>
      <c r="D189">
        <v>8</v>
      </c>
      <c r="E189">
        <v>13</v>
      </c>
      <c r="F189">
        <v>25</v>
      </c>
      <c r="G189">
        <v>14087.5</v>
      </c>
      <c r="H189">
        <v>4819.3999999999996</v>
      </c>
    </row>
    <row r="190" spans="1:8">
      <c r="A190">
        <v>8</v>
      </c>
      <c r="B190">
        <v>15</v>
      </c>
      <c r="C190">
        <v>7630.7</v>
      </c>
      <c r="D190">
        <v>12</v>
      </c>
      <c r="E190">
        <v>8</v>
      </c>
      <c r="F190">
        <v>24</v>
      </c>
      <c r="G190">
        <v>5723</v>
      </c>
      <c r="H190">
        <v>3270.3</v>
      </c>
    </row>
    <row r="191" spans="1:8">
      <c r="A191">
        <v>14</v>
      </c>
      <c r="B191">
        <v>12</v>
      </c>
      <c r="C191">
        <v>7630.7</v>
      </c>
      <c r="D191">
        <v>14</v>
      </c>
      <c r="E191">
        <v>11</v>
      </c>
      <c r="F191">
        <v>24</v>
      </c>
      <c r="G191">
        <v>6315.1</v>
      </c>
      <c r="H191">
        <v>3455.4</v>
      </c>
    </row>
    <row r="192" spans="1:8">
      <c r="A192">
        <v>7</v>
      </c>
      <c r="B192">
        <v>10</v>
      </c>
      <c r="C192">
        <v>7962.5</v>
      </c>
      <c r="D192">
        <v>15</v>
      </c>
      <c r="E192">
        <v>6</v>
      </c>
      <c r="F192">
        <v>23</v>
      </c>
      <c r="G192">
        <v>2378.4</v>
      </c>
      <c r="H192">
        <v>1831.4</v>
      </c>
    </row>
    <row r="193" spans="1:8">
      <c r="A193">
        <v>8</v>
      </c>
      <c r="B193">
        <v>4</v>
      </c>
      <c r="C193">
        <v>7962.5</v>
      </c>
      <c r="D193">
        <v>12</v>
      </c>
      <c r="E193">
        <v>13</v>
      </c>
      <c r="F193">
        <v>23</v>
      </c>
      <c r="G193">
        <v>13081.2</v>
      </c>
      <c r="H193">
        <v>4949.7</v>
      </c>
    </row>
    <row r="194" spans="1:8">
      <c r="A194">
        <v>4</v>
      </c>
      <c r="B194">
        <v>12</v>
      </c>
      <c r="C194">
        <v>8324.4</v>
      </c>
      <c r="D194">
        <v>13</v>
      </c>
      <c r="E194">
        <v>11</v>
      </c>
      <c r="F194">
        <v>22</v>
      </c>
      <c r="G194">
        <v>6782.8</v>
      </c>
      <c r="H194">
        <v>3737.5</v>
      </c>
    </row>
    <row r="195" spans="1:8">
      <c r="A195">
        <v>14</v>
      </c>
      <c r="B195">
        <v>1</v>
      </c>
      <c r="C195">
        <v>8324.4</v>
      </c>
      <c r="D195">
        <v>14</v>
      </c>
      <c r="E195">
        <v>9</v>
      </c>
      <c r="F195">
        <v>22</v>
      </c>
      <c r="G195">
        <v>7325.5</v>
      </c>
      <c r="H195">
        <v>3896.5</v>
      </c>
    </row>
    <row r="196" spans="1:8">
      <c r="A196">
        <v>7</v>
      </c>
      <c r="B196">
        <v>1</v>
      </c>
      <c r="C196">
        <v>8720.7999999999993</v>
      </c>
      <c r="D196">
        <v>15</v>
      </c>
      <c r="E196">
        <v>9</v>
      </c>
      <c r="F196">
        <v>21</v>
      </c>
      <c r="G196">
        <v>7043.7</v>
      </c>
      <c r="H196">
        <v>3896.5</v>
      </c>
    </row>
    <row r="197" spans="1:8">
      <c r="A197">
        <v>7</v>
      </c>
      <c r="B197">
        <v>2</v>
      </c>
      <c r="C197">
        <v>9156.9</v>
      </c>
      <c r="D197">
        <v>15</v>
      </c>
      <c r="E197">
        <v>10</v>
      </c>
      <c r="F197">
        <v>20</v>
      </c>
      <c r="G197">
        <v>4695.8</v>
      </c>
      <c r="H197">
        <v>3104</v>
      </c>
    </row>
    <row r="198" spans="1:8">
      <c r="A198">
        <v>7</v>
      </c>
      <c r="B198">
        <v>11</v>
      </c>
      <c r="C198">
        <v>9638.7999999999993</v>
      </c>
      <c r="D198">
        <v>15</v>
      </c>
      <c r="E198">
        <v>7</v>
      </c>
      <c r="F198">
        <v>19</v>
      </c>
      <c r="G198">
        <v>3981.2</v>
      </c>
      <c r="H198">
        <v>2817.5</v>
      </c>
    </row>
    <row r="199" spans="1:8">
      <c r="A199">
        <v>7</v>
      </c>
      <c r="B199">
        <v>15</v>
      </c>
      <c r="C199">
        <v>10174.299999999999</v>
      </c>
      <c r="D199">
        <v>15</v>
      </c>
      <c r="E199">
        <v>8</v>
      </c>
      <c r="F199">
        <v>18</v>
      </c>
      <c r="G199">
        <v>6104.6</v>
      </c>
      <c r="H199">
        <v>3815.4</v>
      </c>
    </row>
    <row r="200" spans="1:8">
      <c r="A200">
        <v>8</v>
      </c>
      <c r="B200">
        <v>7</v>
      </c>
      <c r="C200">
        <v>10772.8</v>
      </c>
      <c r="D200">
        <v>12</v>
      </c>
      <c r="E200">
        <v>15</v>
      </c>
      <c r="F200">
        <v>17</v>
      </c>
      <c r="G200">
        <v>22892.2</v>
      </c>
      <c r="H200">
        <v>7325.5</v>
      </c>
    </row>
    <row r="201" spans="1:8">
      <c r="A201">
        <v>12</v>
      </c>
      <c r="B201">
        <v>7</v>
      </c>
      <c r="C201">
        <v>10772.8</v>
      </c>
      <c r="D201">
        <v>11</v>
      </c>
      <c r="E201">
        <v>15</v>
      </c>
      <c r="F201">
        <v>17</v>
      </c>
      <c r="G201">
        <v>16648.900000000001</v>
      </c>
      <c r="H201">
        <v>6540.6</v>
      </c>
    </row>
    <row r="202" spans="1:8">
      <c r="A202">
        <v>14</v>
      </c>
      <c r="B202">
        <v>2</v>
      </c>
      <c r="C202">
        <v>11446.1</v>
      </c>
      <c r="D202">
        <v>14</v>
      </c>
      <c r="E202">
        <v>10</v>
      </c>
      <c r="F202">
        <v>16</v>
      </c>
      <c r="G202">
        <v>5549.6</v>
      </c>
      <c r="H202">
        <v>3737.5</v>
      </c>
    </row>
    <row r="203" spans="1:8">
      <c r="A203">
        <v>4</v>
      </c>
      <c r="B203">
        <v>8</v>
      </c>
      <c r="C203">
        <v>13081.2</v>
      </c>
      <c r="D203">
        <v>13</v>
      </c>
      <c r="E203">
        <v>12</v>
      </c>
      <c r="F203">
        <v>14</v>
      </c>
      <c r="G203">
        <v>7962.5</v>
      </c>
      <c r="H203">
        <v>4949.7</v>
      </c>
    </row>
    <row r="204" spans="1:8">
      <c r="A204">
        <v>4</v>
      </c>
      <c r="B204">
        <v>7</v>
      </c>
      <c r="C204">
        <v>14087.5</v>
      </c>
      <c r="D204">
        <v>13</v>
      </c>
      <c r="E204">
        <v>15</v>
      </c>
      <c r="F204">
        <v>13</v>
      </c>
      <c r="G204">
        <v>16648.900000000001</v>
      </c>
      <c r="H204">
        <v>7630.7</v>
      </c>
    </row>
    <row r="205" spans="1:8">
      <c r="A205">
        <v>4</v>
      </c>
      <c r="B205">
        <v>15</v>
      </c>
      <c r="C205">
        <v>14087.5</v>
      </c>
      <c r="D205">
        <v>13</v>
      </c>
      <c r="E205">
        <v>8</v>
      </c>
      <c r="F205">
        <v>13</v>
      </c>
      <c r="G205">
        <v>7325.5</v>
      </c>
      <c r="H205">
        <v>4819.3999999999996</v>
      </c>
    </row>
    <row r="206" spans="1:8">
      <c r="A206">
        <v>8</v>
      </c>
      <c r="B206">
        <v>14</v>
      </c>
      <c r="C206">
        <v>14087.5</v>
      </c>
      <c r="D206">
        <v>12</v>
      </c>
      <c r="E206">
        <v>14</v>
      </c>
      <c r="F206">
        <v>13</v>
      </c>
      <c r="G206">
        <v>20348.599999999999</v>
      </c>
      <c r="H206">
        <v>8324.4</v>
      </c>
    </row>
    <row r="207" spans="1:8">
      <c r="A207">
        <v>7</v>
      </c>
      <c r="B207">
        <v>4</v>
      </c>
      <c r="C207">
        <v>16648.900000000001</v>
      </c>
      <c r="D207">
        <v>15</v>
      </c>
      <c r="E207">
        <v>13</v>
      </c>
      <c r="F207">
        <v>11</v>
      </c>
      <c r="G207">
        <v>14087.5</v>
      </c>
      <c r="H207">
        <v>7630.7</v>
      </c>
    </row>
    <row r="208" spans="1:8">
      <c r="A208">
        <v>7</v>
      </c>
      <c r="B208">
        <v>12</v>
      </c>
      <c r="C208">
        <v>16648.900000000001</v>
      </c>
      <c r="D208">
        <v>15</v>
      </c>
      <c r="E208">
        <v>11</v>
      </c>
      <c r="F208">
        <v>11</v>
      </c>
      <c r="G208">
        <v>10772.8</v>
      </c>
      <c r="H208">
        <v>6540.6</v>
      </c>
    </row>
    <row r="209" spans="1:8">
      <c r="A209">
        <v>4</v>
      </c>
      <c r="B209">
        <v>14</v>
      </c>
      <c r="C209">
        <v>18313.8</v>
      </c>
      <c r="D209">
        <v>13</v>
      </c>
      <c r="E209">
        <v>14</v>
      </c>
      <c r="F209">
        <v>10</v>
      </c>
      <c r="G209">
        <v>18313.8</v>
      </c>
      <c r="H209">
        <v>9156.9</v>
      </c>
    </row>
    <row r="210" spans="1:8">
      <c r="A210">
        <v>14</v>
      </c>
      <c r="B210">
        <v>4</v>
      </c>
      <c r="C210">
        <v>18313.8</v>
      </c>
      <c r="D210">
        <v>14</v>
      </c>
      <c r="E210">
        <v>13</v>
      </c>
      <c r="F210">
        <v>10</v>
      </c>
      <c r="G210">
        <v>18313.8</v>
      </c>
      <c r="H210">
        <v>9156.9</v>
      </c>
    </row>
    <row r="211" spans="1:8">
      <c r="A211">
        <v>14</v>
      </c>
      <c r="B211">
        <v>8</v>
      </c>
      <c r="C211">
        <v>20348.599999999999</v>
      </c>
      <c r="D211">
        <v>14</v>
      </c>
      <c r="E211">
        <v>12</v>
      </c>
      <c r="F211">
        <v>9</v>
      </c>
      <c r="G211">
        <v>14087.5</v>
      </c>
      <c r="H211">
        <v>8324.4</v>
      </c>
    </row>
    <row r="212" spans="1:8">
      <c r="A212">
        <v>7</v>
      </c>
      <c r="B212">
        <v>8</v>
      </c>
      <c r="C212">
        <v>22892.2</v>
      </c>
      <c r="D212">
        <v>15</v>
      </c>
      <c r="E212">
        <v>12</v>
      </c>
      <c r="F212">
        <v>8</v>
      </c>
      <c r="G212">
        <v>10772.8</v>
      </c>
      <c r="H212">
        <v>7325.5</v>
      </c>
    </row>
    <row r="213" spans="1:8">
      <c r="A213">
        <v>7</v>
      </c>
      <c r="B213">
        <v>14</v>
      </c>
      <c r="C213">
        <v>36627.599999999999</v>
      </c>
      <c r="D213">
        <v>15</v>
      </c>
      <c r="E213">
        <v>14</v>
      </c>
      <c r="F213">
        <v>5</v>
      </c>
      <c r="G213">
        <v>61046</v>
      </c>
      <c r="H213">
        <v>22892.3</v>
      </c>
    </row>
    <row r="214" spans="1:8">
      <c r="A214">
        <v>14</v>
      </c>
      <c r="B214">
        <v>7</v>
      </c>
      <c r="C214">
        <v>61046</v>
      </c>
      <c r="D214">
        <v>14</v>
      </c>
      <c r="E214">
        <v>15</v>
      </c>
      <c r="F214">
        <v>3</v>
      </c>
      <c r="G214">
        <v>36627.599999999999</v>
      </c>
      <c r="H214">
        <v>22892.3</v>
      </c>
    </row>
  </sheetData>
  <sortState xmlns:xlrd2="http://schemas.microsoft.com/office/spreadsheetml/2017/richdata2" ref="A2:I211">
    <sortCondition ref="C1"/>
  </sortState>
  <phoneticPr fontId="1"/>
  <conditionalFormatting sqref="CD5:CD19">
    <cfRule type="expression" dxfId="4" priority="5">
      <formula>AND(CC5&lt;&gt;"",CC5&gt;1.8)</formula>
    </cfRule>
  </conditionalFormatting>
  <conditionalFormatting sqref="CB5:CB19">
    <cfRule type="expression" dxfId="3" priority="4">
      <formula>AND(CA5&lt;&gt;"",CA5&gt;1.8)</formula>
    </cfRule>
  </conditionalFormatting>
  <conditionalFormatting sqref="BZ5:BZ19">
    <cfRule type="expression" dxfId="2" priority="3">
      <formula>AND(BY5&lt;&gt;"",BY5&gt;1.8)</formula>
    </cfRule>
  </conditionalFormatting>
  <conditionalFormatting sqref="CF5:CF19">
    <cfRule type="expression" dxfId="1" priority="2">
      <formula>AND(CE5&lt;&gt;"",CE5&gt;1.8)</formula>
    </cfRule>
  </conditionalFormatting>
  <conditionalFormatting sqref="CH5:CH19">
    <cfRule type="expression" dxfId="0" priority="1">
      <formula>AND(CG5&lt;&gt;"",CG5&gt;1.8)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/>
  </sheetViews>
  <sheetFormatPr defaultRowHeight="18.75"/>
  <sheetData/>
  <sortState xmlns:xlrd2="http://schemas.microsoft.com/office/spreadsheetml/2017/richdata2" ref="A2:I211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xmlns:xlrd2="http://schemas.microsoft.com/office/spreadsheetml/2017/richdata2"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D528"/>
  <sheetViews>
    <sheetView topLeftCell="A468" workbookViewId="0">
      <selection activeCell="A468" sqref="A468"/>
    </sheetView>
  </sheetViews>
  <sheetFormatPr defaultRowHeight="18.75"/>
  <cols>
    <col min="1" max="1" width="9.5" bestFit="1" customWidth="1"/>
  </cols>
  <sheetData>
    <row r="1" spans="1:4">
      <c r="A1">
        <v>20160105</v>
      </c>
      <c r="B1" t="s">
        <v>129</v>
      </c>
      <c r="C1" t="s">
        <v>101</v>
      </c>
    </row>
    <row r="2" spans="1:4">
      <c r="A2">
        <v>20160109</v>
      </c>
      <c r="B2" t="s">
        <v>129</v>
      </c>
      <c r="C2" t="s">
        <v>101</v>
      </c>
    </row>
    <row r="3" spans="1:4">
      <c r="A3">
        <v>20160110</v>
      </c>
      <c r="B3" t="s">
        <v>129</v>
      </c>
      <c r="C3" t="s">
        <v>101</v>
      </c>
    </row>
    <row r="4" spans="1:4">
      <c r="A4">
        <v>20160111</v>
      </c>
      <c r="B4" t="s">
        <v>129</v>
      </c>
      <c r="C4" t="s">
        <v>101</v>
      </c>
    </row>
    <row r="5" spans="1:4">
      <c r="A5">
        <v>20160116</v>
      </c>
      <c r="B5" t="s">
        <v>129</v>
      </c>
      <c r="C5" t="s">
        <v>130</v>
      </c>
      <c r="D5" t="s">
        <v>101</v>
      </c>
    </row>
    <row r="6" spans="1:4">
      <c r="A6">
        <v>20160117</v>
      </c>
      <c r="B6" t="s">
        <v>129</v>
      </c>
      <c r="C6" t="s">
        <v>130</v>
      </c>
      <c r="D6" t="s">
        <v>101</v>
      </c>
    </row>
    <row r="7" spans="1:4">
      <c r="A7">
        <v>20160123</v>
      </c>
      <c r="B7" t="s">
        <v>129</v>
      </c>
      <c r="C7" t="s">
        <v>130</v>
      </c>
      <c r="D7" t="s">
        <v>101</v>
      </c>
    </row>
    <row r="8" spans="1:4">
      <c r="A8">
        <v>20160124</v>
      </c>
      <c r="B8" t="s">
        <v>129</v>
      </c>
      <c r="C8" t="s">
        <v>130</v>
      </c>
      <c r="D8" t="s">
        <v>101</v>
      </c>
    </row>
    <row r="9" spans="1:4">
      <c r="A9">
        <v>20160130</v>
      </c>
      <c r="B9" t="s">
        <v>131</v>
      </c>
      <c r="C9" t="s">
        <v>130</v>
      </c>
      <c r="D9" t="s">
        <v>101</v>
      </c>
    </row>
    <row r="10" spans="1:4">
      <c r="A10">
        <v>20160131</v>
      </c>
      <c r="B10" t="s">
        <v>131</v>
      </c>
      <c r="C10" t="s">
        <v>130</v>
      </c>
      <c r="D10" t="s">
        <v>101</v>
      </c>
    </row>
    <row r="11" spans="1:4">
      <c r="A11">
        <v>20160206</v>
      </c>
      <c r="B11" t="s">
        <v>131</v>
      </c>
      <c r="C11" t="s">
        <v>101</v>
      </c>
    </row>
    <row r="12" spans="1:4">
      <c r="A12">
        <v>20160207</v>
      </c>
      <c r="B12" t="s">
        <v>131</v>
      </c>
      <c r="C12" t="s">
        <v>101</v>
      </c>
    </row>
    <row r="13" spans="1:4">
      <c r="A13">
        <v>20160213</v>
      </c>
      <c r="B13" t="s">
        <v>131</v>
      </c>
      <c r="C13" t="s">
        <v>101</v>
      </c>
      <c r="D13" t="s">
        <v>132</v>
      </c>
    </row>
    <row r="14" spans="1:4">
      <c r="A14">
        <v>20160214</v>
      </c>
      <c r="B14" t="s">
        <v>131</v>
      </c>
      <c r="C14" t="s">
        <v>101</v>
      </c>
      <c r="D14" t="s">
        <v>132</v>
      </c>
    </row>
    <row r="15" spans="1:4">
      <c r="A15">
        <v>20160220</v>
      </c>
      <c r="B15" t="s">
        <v>131</v>
      </c>
      <c r="C15" t="s">
        <v>101</v>
      </c>
      <c r="D15" t="s">
        <v>132</v>
      </c>
    </row>
    <row r="16" spans="1:4">
      <c r="A16">
        <v>20160221</v>
      </c>
      <c r="B16" t="s">
        <v>131</v>
      </c>
      <c r="C16" t="s">
        <v>101</v>
      </c>
      <c r="D16" t="s">
        <v>132</v>
      </c>
    </row>
    <row r="17" spans="1:4">
      <c r="A17">
        <v>20160227</v>
      </c>
      <c r="B17" t="s">
        <v>129</v>
      </c>
      <c r="C17" t="s">
        <v>133</v>
      </c>
      <c r="D17" t="s">
        <v>132</v>
      </c>
    </row>
    <row r="18" spans="1:4">
      <c r="A18">
        <v>20160228</v>
      </c>
      <c r="B18" t="s">
        <v>129</v>
      </c>
      <c r="C18" t="s">
        <v>133</v>
      </c>
      <c r="D18" t="s">
        <v>132</v>
      </c>
    </row>
    <row r="19" spans="1:4">
      <c r="A19">
        <v>20160305</v>
      </c>
      <c r="B19" t="s">
        <v>129</v>
      </c>
      <c r="C19" t="s">
        <v>133</v>
      </c>
      <c r="D19" t="s">
        <v>132</v>
      </c>
    </row>
    <row r="20" spans="1:4">
      <c r="A20">
        <v>20160306</v>
      </c>
      <c r="B20" t="s">
        <v>129</v>
      </c>
      <c r="C20" t="s">
        <v>133</v>
      </c>
      <c r="D20" t="s">
        <v>132</v>
      </c>
    </row>
    <row r="21" spans="1:4">
      <c r="A21">
        <v>20160312</v>
      </c>
      <c r="B21" t="s">
        <v>129</v>
      </c>
      <c r="C21" t="s">
        <v>130</v>
      </c>
      <c r="D21" t="s">
        <v>133</v>
      </c>
    </row>
    <row r="22" spans="1:4">
      <c r="A22">
        <v>20160313</v>
      </c>
      <c r="B22" t="s">
        <v>129</v>
      </c>
      <c r="C22" t="s">
        <v>130</v>
      </c>
      <c r="D22" t="s">
        <v>133</v>
      </c>
    </row>
    <row r="23" spans="1:4">
      <c r="A23">
        <v>20160319</v>
      </c>
      <c r="B23" t="s">
        <v>130</v>
      </c>
      <c r="C23" t="s">
        <v>133</v>
      </c>
    </row>
    <row r="24" spans="1:4">
      <c r="A24">
        <v>20160320</v>
      </c>
      <c r="B24" t="s">
        <v>129</v>
      </c>
      <c r="C24" t="s">
        <v>133</v>
      </c>
    </row>
    <row r="25" spans="1:4">
      <c r="A25">
        <v>20160321</v>
      </c>
      <c r="B25" t="s">
        <v>129</v>
      </c>
      <c r="C25" t="s">
        <v>130</v>
      </c>
    </row>
    <row r="26" spans="1:4">
      <c r="A26">
        <v>20160326</v>
      </c>
      <c r="B26" t="s">
        <v>129</v>
      </c>
      <c r="C26" t="s">
        <v>130</v>
      </c>
      <c r="D26" t="s">
        <v>133</v>
      </c>
    </row>
    <row r="27" spans="1:4">
      <c r="A27">
        <v>20160327</v>
      </c>
      <c r="B27" t="s">
        <v>129</v>
      </c>
      <c r="C27" t="s">
        <v>130</v>
      </c>
      <c r="D27" t="s">
        <v>133</v>
      </c>
    </row>
    <row r="28" spans="1:4">
      <c r="A28">
        <v>20160402</v>
      </c>
      <c r="B28" t="s">
        <v>129</v>
      </c>
      <c r="C28" t="s">
        <v>133</v>
      </c>
    </row>
    <row r="29" spans="1:4">
      <c r="A29">
        <v>20160403</v>
      </c>
      <c r="B29" t="s">
        <v>129</v>
      </c>
      <c r="C29" t="s">
        <v>133</v>
      </c>
    </row>
    <row r="30" spans="1:4">
      <c r="A30">
        <v>20160409</v>
      </c>
      <c r="B30" t="s">
        <v>134</v>
      </c>
      <c r="C30" t="s">
        <v>129</v>
      </c>
      <c r="D30" t="s">
        <v>133</v>
      </c>
    </row>
    <row r="31" spans="1:4">
      <c r="A31">
        <v>20160410</v>
      </c>
      <c r="B31" t="s">
        <v>134</v>
      </c>
      <c r="C31" t="s">
        <v>129</v>
      </c>
      <c r="D31" t="s">
        <v>133</v>
      </c>
    </row>
    <row r="32" spans="1:4">
      <c r="A32">
        <v>20160416</v>
      </c>
      <c r="B32" t="s">
        <v>134</v>
      </c>
      <c r="C32" t="s">
        <v>129</v>
      </c>
      <c r="D32" t="s">
        <v>133</v>
      </c>
    </row>
    <row r="33" spans="1:4">
      <c r="A33">
        <v>20160417</v>
      </c>
      <c r="B33" t="s">
        <v>134</v>
      </c>
      <c r="C33" t="s">
        <v>129</v>
      </c>
      <c r="D33" t="s">
        <v>133</v>
      </c>
    </row>
    <row r="34" spans="1:4">
      <c r="A34">
        <v>20160423</v>
      </c>
      <c r="B34" t="s">
        <v>134</v>
      </c>
      <c r="C34" t="s">
        <v>131</v>
      </c>
      <c r="D34" t="s">
        <v>101</v>
      </c>
    </row>
    <row r="35" spans="1:4">
      <c r="A35">
        <v>20160424</v>
      </c>
      <c r="B35" t="s">
        <v>134</v>
      </c>
      <c r="C35" t="s">
        <v>131</v>
      </c>
      <c r="D35" t="s">
        <v>101</v>
      </c>
    </row>
    <row r="36" spans="1:4">
      <c r="A36">
        <v>20160430</v>
      </c>
      <c r="B36" t="s">
        <v>135</v>
      </c>
      <c r="C36" t="s">
        <v>131</v>
      </c>
      <c r="D36" t="s">
        <v>101</v>
      </c>
    </row>
    <row r="37" spans="1:4">
      <c r="A37">
        <v>20160501</v>
      </c>
      <c r="B37" t="s">
        <v>135</v>
      </c>
      <c r="C37" t="s">
        <v>131</v>
      </c>
      <c r="D37" t="s">
        <v>101</v>
      </c>
    </row>
    <row r="38" spans="1:4">
      <c r="A38">
        <v>20160507</v>
      </c>
      <c r="B38" t="s">
        <v>135</v>
      </c>
      <c r="C38" t="s">
        <v>131</v>
      </c>
      <c r="D38" t="s">
        <v>101</v>
      </c>
    </row>
    <row r="39" spans="1:4">
      <c r="A39">
        <v>20160508</v>
      </c>
      <c r="B39" t="s">
        <v>135</v>
      </c>
      <c r="C39" t="s">
        <v>131</v>
      </c>
      <c r="D39" t="s">
        <v>101</v>
      </c>
    </row>
    <row r="40" spans="1:4">
      <c r="A40">
        <v>20160514</v>
      </c>
      <c r="B40" t="s">
        <v>135</v>
      </c>
      <c r="C40" t="s">
        <v>131</v>
      </c>
      <c r="D40" t="s">
        <v>101</v>
      </c>
    </row>
    <row r="41" spans="1:4">
      <c r="A41">
        <v>20160515</v>
      </c>
      <c r="B41" t="s">
        <v>135</v>
      </c>
      <c r="C41" t="s">
        <v>131</v>
      </c>
      <c r="D41" t="s">
        <v>101</v>
      </c>
    </row>
    <row r="42" spans="1:4">
      <c r="A42">
        <v>20160521</v>
      </c>
      <c r="B42" t="s">
        <v>135</v>
      </c>
      <c r="C42" t="s">
        <v>131</v>
      </c>
      <c r="D42" t="s">
        <v>101</v>
      </c>
    </row>
    <row r="43" spans="1:4">
      <c r="A43">
        <v>20160522</v>
      </c>
      <c r="B43" t="s">
        <v>135</v>
      </c>
      <c r="C43" t="s">
        <v>131</v>
      </c>
      <c r="D43" t="s">
        <v>101</v>
      </c>
    </row>
    <row r="44" spans="1:4">
      <c r="A44">
        <v>20160528</v>
      </c>
      <c r="B44" t="s">
        <v>131</v>
      </c>
      <c r="C44" t="s">
        <v>101</v>
      </c>
    </row>
    <row r="45" spans="1:4">
      <c r="A45">
        <v>20160529</v>
      </c>
      <c r="B45" t="s">
        <v>131</v>
      </c>
      <c r="C45" t="s">
        <v>101</v>
      </c>
    </row>
    <row r="46" spans="1:4">
      <c r="A46">
        <v>20160604</v>
      </c>
      <c r="B46" t="s">
        <v>131</v>
      </c>
      <c r="C46" t="s">
        <v>133</v>
      </c>
    </row>
    <row r="47" spans="1:4">
      <c r="A47">
        <v>20160605</v>
      </c>
      <c r="B47" t="s">
        <v>131</v>
      </c>
      <c r="C47" t="s">
        <v>133</v>
      </c>
    </row>
    <row r="48" spans="1:4">
      <c r="A48">
        <v>20160611</v>
      </c>
      <c r="B48" t="s">
        <v>131</v>
      </c>
      <c r="C48" t="s">
        <v>133</v>
      </c>
    </row>
    <row r="49" spans="1:4">
      <c r="A49">
        <v>20160612</v>
      </c>
      <c r="B49" t="s">
        <v>131</v>
      </c>
      <c r="C49" t="s">
        <v>133</v>
      </c>
    </row>
    <row r="50" spans="1:4">
      <c r="A50">
        <v>20160618</v>
      </c>
      <c r="B50" t="s">
        <v>136</v>
      </c>
      <c r="C50" t="s">
        <v>131</v>
      </c>
      <c r="D50" t="s">
        <v>133</v>
      </c>
    </row>
    <row r="51" spans="1:4">
      <c r="A51">
        <v>20160619</v>
      </c>
      <c r="B51" t="s">
        <v>136</v>
      </c>
      <c r="C51" t="s">
        <v>131</v>
      </c>
      <c r="D51" t="s">
        <v>133</v>
      </c>
    </row>
    <row r="52" spans="1:4">
      <c r="A52">
        <v>20160625</v>
      </c>
      <c r="B52" t="s">
        <v>136</v>
      </c>
      <c r="C52" t="s">
        <v>131</v>
      </c>
      <c r="D52" t="s">
        <v>133</v>
      </c>
    </row>
    <row r="53" spans="1:4">
      <c r="A53">
        <v>20160626</v>
      </c>
      <c r="B53" t="s">
        <v>136</v>
      </c>
      <c r="C53" t="s">
        <v>131</v>
      </c>
      <c r="D53" t="s">
        <v>133</v>
      </c>
    </row>
    <row r="54" spans="1:4">
      <c r="A54">
        <v>20160702</v>
      </c>
      <c r="B54" t="s">
        <v>136</v>
      </c>
      <c r="C54" t="s">
        <v>134</v>
      </c>
      <c r="D54" t="s">
        <v>130</v>
      </c>
    </row>
    <row r="55" spans="1:4">
      <c r="A55">
        <v>20160703</v>
      </c>
      <c r="B55" t="s">
        <v>136</v>
      </c>
      <c r="C55" t="s">
        <v>134</v>
      </c>
      <c r="D55" t="s">
        <v>130</v>
      </c>
    </row>
    <row r="56" spans="1:4">
      <c r="A56">
        <v>20160709</v>
      </c>
      <c r="B56" t="s">
        <v>136</v>
      </c>
      <c r="C56" t="s">
        <v>134</v>
      </c>
      <c r="D56" t="s">
        <v>130</v>
      </c>
    </row>
    <row r="57" spans="1:4">
      <c r="A57">
        <v>20160710</v>
      </c>
      <c r="B57" t="s">
        <v>136</v>
      </c>
      <c r="C57" t="s">
        <v>134</v>
      </c>
      <c r="D57" t="s">
        <v>130</v>
      </c>
    </row>
    <row r="58" spans="1:4">
      <c r="A58">
        <v>20160716</v>
      </c>
      <c r="B58" t="s">
        <v>136</v>
      </c>
      <c r="C58" t="s">
        <v>134</v>
      </c>
      <c r="D58" t="s">
        <v>130</v>
      </c>
    </row>
    <row r="59" spans="1:4">
      <c r="A59">
        <v>20160717</v>
      </c>
      <c r="B59" t="s">
        <v>136</v>
      </c>
      <c r="C59" t="s">
        <v>134</v>
      </c>
      <c r="D59" t="s">
        <v>130</v>
      </c>
    </row>
    <row r="60" spans="1:4">
      <c r="A60">
        <v>20160723</v>
      </c>
      <c r="B60" t="s">
        <v>136</v>
      </c>
      <c r="C60" t="s">
        <v>134</v>
      </c>
      <c r="D60" t="s">
        <v>130</v>
      </c>
    </row>
    <row r="61" spans="1:4">
      <c r="A61">
        <v>20160724</v>
      </c>
      <c r="B61" t="s">
        <v>136</v>
      </c>
      <c r="C61" t="s">
        <v>134</v>
      </c>
      <c r="D61" t="s">
        <v>130</v>
      </c>
    </row>
    <row r="62" spans="1:4">
      <c r="A62">
        <v>20160730</v>
      </c>
      <c r="B62" t="s">
        <v>137</v>
      </c>
      <c r="C62" t="s">
        <v>135</v>
      </c>
      <c r="D62" t="s">
        <v>132</v>
      </c>
    </row>
    <row r="63" spans="1:4">
      <c r="A63">
        <v>20160731</v>
      </c>
      <c r="B63" t="s">
        <v>137</v>
      </c>
      <c r="C63" t="s">
        <v>135</v>
      </c>
      <c r="D63" t="s">
        <v>132</v>
      </c>
    </row>
    <row r="64" spans="1:4">
      <c r="A64">
        <v>20160806</v>
      </c>
      <c r="B64" t="s">
        <v>137</v>
      </c>
      <c r="C64" t="s">
        <v>135</v>
      </c>
      <c r="D64" t="s">
        <v>132</v>
      </c>
    </row>
    <row r="65" spans="1:4">
      <c r="A65">
        <v>20160807</v>
      </c>
      <c r="B65" t="s">
        <v>137</v>
      </c>
      <c r="C65" t="s">
        <v>135</v>
      </c>
      <c r="D65" t="s">
        <v>132</v>
      </c>
    </row>
    <row r="66" spans="1:4">
      <c r="A66">
        <v>20160813</v>
      </c>
      <c r="B66" t="s">
        <v>137</v>
      </c>
      <c r="C66" t="s">
        <v>135</v>
      </c>
      <c r="D66" t="s">
        <v>132</v>
      </c>
    </row>
    <row r="67" spans="1:4">
      <c r="A67">
        <v>20160814</v>
      </c>
      <c r="B67" t="s">
        <v>137</v>
      </c>
      <c r="C67" t="s">
        <v>135</v>
      </c>
      <c r="D67" t="s">
        <v>132</v>
      </c>
    </row>
    <row r="68" spans="1:4">
      <c r="A68">
        <v>20160820</v>
      </c>
      <c r="B68" t="s">
        <v>137</v>
      </c>
      <c r="C68" t="s">
        <v>135</v>
      </c>
      <c r="D68" t="s">
        <v>132</v>
      </c>
    </row>
    <row r="69" spans="1:4">
      <c r="A69">
        <v>20160821</v>
      </c>
      <c r="B69" t="s">
        <v>137</v>
      </c>
      <c r="C69" t="s">
        <v>135</v>
      </c>
      <c r="D69" t="s">
        <v>132</v>
      </c>
    </row>
    <row r="70" spans="1:4">
      <c r="A70">
        <v>20160827</v>
      </c>
      <c r="B70" t="s">
        <v>137</v>
      </c>
      <c r="C70" t="s">
        <v>135</v>
      </c>
      <c r="D70" t="s">
        <v>132</v>
      </c>
    </row>
    <row r="71" spans="1:4">
      <c r="A71">
        <v>20160828</v>
      </c>
      <c r="B71" t="s">
        <v>137</v>
      </c>
      <c r="C71" t="s">
        <v>135</v>
      </c>
      <c r="D71" t="s">
        <v>132</v>
      </c>
    </row>
    <row r="72" spans="1:4">
      <c r="A72">
        <v>20160903</v>
      </c>
      <c r="B72" t="s">
        <v>137</v>
      </c>
      <c r="C72" t="s">
        <v>135</v>
      </c>
      <c r="D72" t="s">
        <v>132</v>
      </c>
    </row>
    <row r="73" spans="1:4">
      <c r="A73">
        <v>20160904</v>
      </c>
      <c r="B73" t="s">
        <v>137</v>
      </c>
      <c r="C73" t="s">
        <v>135</v>
      </c>
      <c r="D73" t="s">
        <v>132</v>
      </c>
    </row>
    <row r="74" spans="1:4">
      <c r="A74">
        <v>20160910</v>
      </c>
      <c r="B74" t="s">
        <v>129</v>
      </c>
      <c r="C74" t="s">
        <v>133</v>
      </c>
    </row>
    <row r="75" spans="1:4">
      <c r="A75">
        <v>20160911</v>
      </c>
      <c r="B75" t="s">
        <v>129</v>
      </c>
      <c r="C75" t="s">
        <v>133</v>
      </c>
    </row>
    <row r="76" spans="1:4">
      <c r="A76">
        <v>20160917</v>
      </c>
      <c r="B76" t="s">
        <v>129</v>
      </c>
      <c r="C76" t="s">
        <v>133</v>
      </c>
    </row>
    <row r="77" spans="1:4">
      <c r="A77">
        <v>20160918</v>
      </c>
      <c r="B77" t="s">
        <v>129</v>
      </c>
      <c r="C77" t="s">
        <v>133</v>
      </c>
    </row>
    <row r="78" spans="1:4">
      <c r="A78">
        <v>20160924</v>
      </c>
      <c r="B78" t="s">
        <v>129</v>
      </c>
      <c r="C78" t="s">
        <v>133</v>
      </c>
    </row>
    <row r="79" spans="1:4">
      <c r="A79">
        <v>20160925</v>
      </c>
      <c r="B79" t="s">
        <v>129</v>
      </c>
      <c r="C79" t="s">
        <v>133</v>
      </c>
    </row>
    <row r="80" spans="1:4">
      <c r="A80">
        <v>20161001</v>
      </c>
      <c r="B80" t="s">
        <v>129</v>
      </c>
      <c r="C80" t="s">
        <v>133</v>
      </c>
    </row>
    <row r="81" spans="1:4">
      <c r="A81">
        <v>20161002</v>
      </c>
      <c r="B81" t="s">
        <v>129</v>
      </c>
      <c r="C81" t="s">
        <v>133</v>
      </c>
    </row>
    <row r="82" spans="1:4">
      <c r="A82">
        <v>20161008</v>
      </c>
      <c r="B82" t="s">
        <v>131</v>
      </c>
      <c r="C82" t="s">
        <v>101</v>
      </c>
    </row>
    <row r="83" spans="1:4">
      <c r="A83">
        <v>20161009</v>
      </c>
      <c r="B83" t="s">
        <v>131</v>
      </c>
      <c r="C83" t="s">
        <v>101</v>
      </c>
    </row>
    <row r="84" spans="1:4">
      <c r="A84">
        <v>20161010</v>
      </c>
      <c r="B84" t="s">
        <v>131</v>
      </c>
      <c r="C84" t="s">
        <v>101</v>
      </c>
    </row>
    <row r="85" spans="1:4">
      <c r="A85">
        <v>20161015</v>
      </c>
      <c r="B85" t="s">
        <v>135</v>
      </c>
      <c r="C85" t="s">
        <v>131</v>
      </c>
      <c r="D85" t="s">
        <v>101</v>
      </c>
    </row>
    <row r="86" spans="1:4">
      <c r="A86">
        <v>20161016</v>
      </c>
      <c r="B86" t="s">
        <v>135</v>
      </c>
      <c r="C86" t="s">
        <v>131</v>
      </c>
      <c r="D86" t="s">
        <v>101</v>
      </c>
    </row>
    <row r="87" spans="1:4">
      <c r="A87">
        <v>20161022</v>
      </c>
      <c r="B87" t="s">
        <v>135</v>
      </c>
      <c r="C87" t="s">
        <v>131</v>
      </c>
      <c r="D87" t="s">
        <v>101</v>
      </c>
    </row>
    <row r="88" spans="1:4">
      <c r="A88">
        <v>20161023</v>
      </c>
      <c r="B88" t="s">
        <v>135</v>
      </c>
      <c r="C88" t="s">
        <v>131</v>
      </c>
      <c r="D88" t="s">
        <v>101</v>
      </c>
    </row>
    <row r="89" spans="1:4">
      <c r="A89">
        <v>20161029</v>
      </c>
      <c r="B89" t="s">
        <v>135</v>
      </c>
      <c r="C89" t="s">
        <v>131</v>
      </c>
      <c r="D89" t="s">
        <v>101</v>
      </c>
    </row>
    <row r="90" spans="1:4">
      <c r="A90">
        <v>20161030</v>
      </c>
      <c r="B90" t="s">
        <v>135</v>
      </c>
      <c r="C90" t="s">
        <v>131</v>
      </c>
      <c r="D90" t="s">
        <v>101</v>
      </c>
    </row>
    <row r="91" spans="1:4">
      <c r="A91">
        <v>20161105</v>
      </c>
      <c r="B91" t="s">
        <v>134</v>
      </c>
      <c r="C91" t="s">
        <v>131</v>
      </c>
      <c r="D91" t="s">
        <v>101</v>
      </c>
    </row>
    <row r="92" spans="1:4">
      <c r="A92">
        <v>20161106</v>
      </c>
      <c r="B92" t="s">
        <v>134</v>
      </c>
      <c r="C92" t="s">
        <v>131</v>
      </c>
      <c r="D92" t="s">
        <v>101</v>
      </c>
    </row>
    <row r="93" spans="1:4">
      <c r="A93">
        <v>20161112</v>
      </c>
      <c r="B93" t="s">
        <v>134</v>
      </c>
      <c r="C93" t="s">
        <v>131</v>
      </c>
      <c r="D93" t="s">
        <v>101</v>
      </c>
    </row>
    <row r="94" spans="1:4">
      <c r="A94">
        <v>20161113</v>
      </c>
      <c r="B94" t="s">
        <v>134</v>
      </c>
      <c r="C94" t="s">
        <v>131</v>
      </c>
      <c r="D94" t="s">
        <v>101</v>
      </c>
    </row>
    <row r="95" spans="1:4">
      <c r="A95">
        <v>20161119</v>
      </c>
      <c r="B95" t="s">
        <v>134</v>
      </c>
      <c r="C95" t="s">
        <v>131</v>
      </c>
      <c r="D95" t="s">
        <v>101</v>
      </c>
    </row>
    <row r="96" spans="1:4">
      <c r="A96">
        <v>20161120</v>
      </c>
      <c r="B96" t="s">
        <v>134</v>
      </c>
      <c r="C96" t="s">
        <v>131</v>
      </c>
      <c r="D96" t="s">
        <v>101</v>
      </c>
    </row>
    <row r="97" spans="1:4">
      <c r="A97">
        <v>20161126</v>
      </c>
      <c r="B97" t="s">
        <v>131</v>
      </c>
      <c r="C97" t="s">
        <v>101</v>
      </c>
    </row>
    <row r="98" spans="1:4">
      <c r="A98">
        <v>20161127</v>
      </c>
      <c r="B98" t="s">
        <v>131</v>
      </c>
      <c r="C98" t="s">
        <v>101</v>
      </c>
    </row>
    <row r="99" spans="1:4">
      <c r="A99">
        <v>20161203</v>
      </c>
      <c r="B99" t="s">
        <v>129</v>
      </c>
      <c r="C99" t="s">
        <v>130</v>
      </c>
      <c r="D99" t="s">
        <v>133</v>
      </c>
    </row>
    <row r="100" spans="1:4">
      <c r="A100">
        <v>20161204</v>
      </c>
      <c r="B100" t="s">
        <v>129</v>
      </c>
      <c r="C100" t="s">
        <v>130</v>
      </c>
      <c r="D100" t="s">
        <v>133</v>
      </c>
    </row>
    <row r="101" spans="1:4">
      <c r="A101">
        <v>20161210</v>
      </c>
      <c r="B101" t="s">
        <v>129</v>
      </c>
      <c r="C101" t="s">
        <v>130</v>
      </c>
      <c r="D101" t="s">
        <v>133</v>
      </c>
    </row>
    <row r="102" spans="1:4">
      <c r="A102">
        <v>20161211</v>
      </c>
      <c r="B102" t="s">
        <v>129</v>
      </c>
      <c r="C102" t="s">
        <v>130</v>
      </c>
      <c r="D102" t="s">
        <v>133</v>
      </c>
    </row>
    <row r="103" spans="1:4">
      <c r="A103">
        <v>20161217</v>
      </c>
      <c r="B103" t="s">
        <v>129</v>
      </c>
      <c r="C103" t="s">
        <v>130</v>
      </c>
      <c r="D103" t="s">
        <v>133</v>
      </c>
    </row>
    <row r="104" spans="1:4">
      <c r="A104">
        <v>20161218</v>
      </c>
      <c r="B104" t="s">
        <v>129</v>
      </c>
      <c r="C104" t="s">
        <v>130</v>
      </c>
      <c r="D104" t="s">
        <v>133</v>
      </c>
    </row>
    <row r="105" spans="1:4">
      <c r="A105">
        <v>20161223</v>
      </c>
      <c r="B105" t="s">
        <v>129</v>
      </c>
      <c r="C105" t="s">
        <v>133</v>
      </c>
    </row>
    <row r="106" spans="1:4">
      <c r="A106">
        <v>20161224</v>
      </c>
      <c r="B106" t="s">
        <v>129</v>
      </c>
      <c r="C106" t="s">
        <v>133</v>
      </c>
    </row>
    <row r="107" spans="1:4">
      <c r="A107">
        <v>20161225</v>
      </c>
      <c r="B107" t="s">
        <v>129</v>
      </c>
      <c r="C107" t="s">
        <v>133</v>
      </c>
    </row>
    <row r="108" spans="1:4">
      <c r="A108">
        <v>20170105</v>
      </c>
      <c r="B108" t="s">
        <v>129</v>
      </c>
      <c r="C108" t="s">
        <v>101</v>
      </c>
    </row>
    <row r="109" spans="1:4">
      <c r="A109">
        <v>20170107</v>
      </c>
      <c r="B109" t="s">
        <v>129</v>
      </c>
      <c r="C109" t="s">
        <v>101</v>
      </c>
    </row>
    <row r="110" spans="1:4">
      <c r="A110">
        <v>20170108</v>
      </c>
      <c r="B110" t="s">
        <v>129</v>
      </c>
      <c r="C110" t="s">
        <v>101</v>
      </c>
    </row>
    <row r="111" spans="1:4">
      <c r="A111">
        <v>20170114</v>
      </c>
      <c r="B111" t="s">
        <v>129</v>
      </c>
      <c r="C111" t="s">
        <v>130</v>
      </c>
      <c r="D111" t="s">
        <v>101</v>
      </c>
    </row>
    <row r="112" spans="1:4">
      <c r="A112">
        <v>20170115</v>
      </c>
      <c r="B112" t="s">
        <v>129</v>
      </c>
      <c r="C112" t="s">
        <v>130</v>
      </c>
      <c r="D112" t="s">
        <v>101</v>
      </c>
    </row>
    <row r="113" spans="1:4">
      <c r="A113">
        <v>20170116</v>
      </c>
      <c r="B113" t="s">
        <v>130</v>
      </c>
    </row>
    <row r="114" spans="1:4">
      <c r="A114">
        <v>20170117</v>
      </c>
      <c r="B114" t="s">
        <v>101</v>
      </c>
    </row>
    <row r="115" spans="1:4">
      <c r="A115">
        <v>20170121</v>
      </c>
      <c r="B115" t="s">
        <v>129</v>
      </c>
      <c r="C115" t="s">
        <v>130</v>
      </c>
      <c r="D115" t="s">
        <v>101</v>
      </c>
    </row>
    <row r="116" spans="1:4">
      <c r="A116">
        <v>20170122</v>
      </c>
      <c r="B116" t="s">
        <v>129</v>
      </c>
      <c r="C116" t="s">
        <v>130</v>
      </c>
      <c r="D116" t="s">
        <v>101</v>
      </c>
    </row>
    <row r="117" spans="1:4">
      <c r="A117">
        <v>20170128</v>
      </c>
      <c r="B117" t="s">
        <v>131</v>
      </c>
      <c r="C117" t="s">
        <v>130</v>
      </c>
      <c r="D117" t="s">
        <v>101</v>
      </c>
    </row>
    <row r="118" spans="1:4">
      <c r="A118">
        <v>20170129</v>
      </c>
      <c r="B118" t="s">
        <v>131</v>
      </c>
      <c r="C118" t="s">
        <v>130</v>
      </c>
      <c r="D118" t="s">
        <v>101</v>
      </c>
    </row>
    <row r="119" spans="1:4">
      <c r="A119">
        <v>20170204</v>
      </c>
      <c r="B119" t="s">
        <v>131</v>
      </c>
      <c r="C119" t="s">
        <v>101</v>
      </c>
    </row>
    <row r="120" spans="1:4">
      <c r="A120">
        <v>20170205</v>
      </c>
      <c r="B120" t="s">
        <v>131</v>
      </c>
      <c r="C120" t="s">
        <v>101</v>
      </c>
    </row>
    <row r="121" spans="1:4">
      <c r="A121">
        <v>20170211</v>
      </c>
      <c r="B121" t="s">
        <v>131</v>
      </c>
      <c r="C121" t="s">
        <v>101</v>
      </c>
      <c r="D121" t="s">
        <v>132</v>
      </c>
    </row>
    <row r="122" spans="1:4">
      <c r="A122">
        <v>20170212</v>
      </c>
      <c r="B122" t="s">
        <v>131</v>
      </c>
      <c r="C122" t="s">
        <v>101</v>
      </c>
      <c r="D122" t="s">
        <v>132</v>
      </c>
    </row>
    <row r="123" spans="1:4">
      <c r="A123">
        <v>20170213</v>
      </c>
      <c r="B123" t="s">
        <v>132</v>
      </c>
    </row>
    <row r="124" spans="1:4">
      <c r="A124">
        <v>20170218</v>
      </c>
      <c r="B124" t="s">
        <v>131</v>
      </c>
      <c r="C124" t="s">
        <v>101</v>
      </c>
      <c r="D124" t="s">
        <v>132</v>
      </c>
    </row>
    <row r="125" spans="1:4">
      <c r="A125">
        <v>20170219</v>
      </c>
      <c r="B125" t="s">
        <v>131</v>
      </c>
      <c r="C125" t="s">
        <v>101</v>
      </c>
      <c r="D125" t="s">
        <v>132</v>
      </c>
    </row>
    <row r="126" spans="1:4">
      <c r="A126">
        <v>20170225</v>
      </c>
      <c r="B126" t="s">
        <v>129</v>
      </c>
      <c r="C126" t="s">
        <v>133</v>
      </c>
      <c r="D126" t="s">
        <v>132</v>
      </c>
    </row>
    <row r="127" spans="1:4">
      <c r="A127">
        <v>20170226</v>
      </c>
      <c r="B127" t="s">
        <v>129</v>
      </c>
      <c r="C127" t="s">
        <v>133</v>
      </c>
      <c r="D127" t="s">
        <v>132</v>
      </c>
    </row>
    <row r="128" spans="1:4">
      <c r="A128">
        <v>20170304</v>
      </c>
      <c r="B128" t="s">
        <v>129</v>
      </c>
      <c r="C128" t="s">
        <v>133</v>
      </c>
      <c r="D128" t="s">
        <v>132</v>
      </c>
    </row>
    <row r="129" spans="1:4">
      <c r="A129">
        <v>20170305</v>
      </c>
      <c r="B129" t="s">
        <v>129</v>
      </c>
      <c r="C129" t="s">
        <v>133</v>
      </c>
      <c r="D129" t="s">
        <v>132</v>
      </c>
    </row>
    <row r="130" spans="1:4">
      <c r="A130">
        <v>20170311</v>
      </c>
      <c r="B130" t="s">
        <v>129</v>
      </c>
      <c r="C130" t="s">
        <v>130</v>
      </c>
      <c r="D130" t="s">
        <v>133</v>
      </c>
    </row>
    <row r="131" spans="1:4">
      <c r="A131">
        <v>20170312</v>
      </c>
      <c r="B131" t="s">
        <v>129</v>
      </c>
      <c r="C131" t="s">
        <v>130</v>
      </c>
      <c r="D131" t="s">
        <v>133</v>
      </c>
    </row>
    <row r="132" spans="1:4">
      <c r="A132">
        <v>20170318</v>
      </c>
      <c r="B132" t="s">
        <v>130</v>
      </c>
      <c r="C132" t="s">
        <v>133</v>
      </c>
    </row>
    <row r="133" spans="1:4">
      <c r="A133">
        <v>20170319</v>
      </c>
      <c r="B133" t="s">
        <v>129</v>
      </c>
      <c r="C133" t="s">
        <v>133</v>
      </c>
    </row>
    <row r="134" spans="1:4">
      <c r="A134">
        <v>20170320</v>
      </c>
      <c r="B134" t="s">
        <v>129</v>
      </c>
      <c r="C134" t="s">
        <v>130</v>
      </c>
    </row>
    <row r="135" spans="1:4">
      <c r="A135">
        <v>20170325</v>
      </c>
      <c r="B135" t="s">
        <v>129</v>
      </c>
      <c r="C135" t="s">
        <v>130</v>
      </c>
      <c r="D135" t="s">
        <v>133</v>
      </c>
    </row>
    <row r="136" spans="1:4">
      <c r="A136">
        <v>20170326</v>
      </c>
      <c r="B136" t="s">
        <v>129</v>
      </c>
      <c r="C136" t="s">
        <v>130</v>
      </c>
      <c r="D136" t="s">
        <v>133</v>
      </c>
    </row>
    <row r="137" spans="1:4">
      <c r="A137">
        <v>20170401</v>
      </c>
      <c r="B137" t="s">
        <v>129</v>
      </c>
      <c r="C137" t="s">
        <v>133</v>
      </c>
    </row>
    <row r="138" spans="1:4">
      <c r="A138">
        <v>20170402</v>
      </c>
      <c r="B138" t="s">
        <v>129</v>
      </c>
      <c r="C138" t="s">
        <v>133</v>
      </c>
    </row>
    <row r="139" spans="1:4">
      <c r="A139">
        <v>20170408</v>
      </c>
      <c r="B139" t="s">
        <v>134</v>
      </c>
      <c r="C139" t="s">
        <v>129</v>
      </c>
      <c r="D139" t="s">
        <v>133</v>
      </c>
    </row>
    <row r="140" spans="1:4">
      <c r="A140">
        <v>20170409</v>
      </c>
      <c r="B140" t="s">
        <v>134</v>
      </c>
      <c r="C140" t="s">
        <v>129</v>
      </c>
      <c r="D140" t="s">
        <v>133</v>
      </c>
    </row>
    <row r="141" spans="1:4">
      <c r="A141">
        <v>20170415</v>
      </c>
      <c r="B141" t="s">
        <v>134</v>
      </c>
      <c r="C141" t="s">
        <v>129</v>
      </c>
      <c r="D141" t="s">
        <v>133</v>
      </c>
    </row>
    <row r="142" spans="1:4">
      <c r="A142">
        <v>20170416</v>
      </c>
      <c r="B142" t="s">
        <v>134</v>
      </c>
      <c r="C142" t="s">
        <v>129</v>
      </c>
      <c r="D142" t="s">
        <v>133</v>
      </c>
    </row>
    <row r="143" spans="1:4">
      <c r="A143">
        <v>20170422</v>
      </c>
      <c r="B143" t="s">
        <v>134</v>
      </c>
      <c r="C143" t="s">
        <v>131</v>
      </c>
      <c r="D143" t="s">
        <v>101</v>
      </c>
    </row>
    <row r="144" spans="1:4">
      <c r="A144">
        <v>20170423</v>
      </c>
      <c r="B144" t="s">
        <v>134</v>
      </c>
      <c r="C144" t="s">
        <v>131</v>
      </c>
      <c r="D144" t="s">
        <v>101</v>
      </c>
    </row>
    <row r="145" spans="1:4">
      <c r="A145">
        <v>20170429</v>
      </c>
      <c r="B145" t="s">
        <v>135</v>
      </c>
      <c r="C145" t="s">
        <v>131</v>
      </c>
      <c r="D145" t="s">
        <v>101</v>
      </c>
    </row>
    <row r="146" spans="1:4">
      <c r="A146">
        <v>20170430</v>
      </c>
      <c r="B146" t="s">
        <v>135</v>
      </c>
      <c r="C146" t="s">
        <v>131</v>
      </c>
      <c r="D146" t="s">
        <v>101</v>
      </c>
    </row>
    <row r="147" spans="1:4">
      <c r="A147">
        <v>20170506</v>
      </c>
      <c r="B147" t="s">
        <v>135</v>
      </c>
      <c r="C147" t="s">
        <v>131</v>
      </c>
      <c r="D147" t="s">
        <v>101</v>
      </c>
    </row>
    <row r="148" spans="1:4">
      <c r="A148">
        <v>20170507</v>
      </c>
      <c r="B148" t="s">
        <v>135</v>
      </c>
      <c r="C148" t="s">
        <v>131</v>
      </c>
      <c r="D148" t="s">
        <v>101</v>
      </c>
    </row>
    <row r="149" spans="1:4">
      <c r="A149">
        <v>20170513</v>
      </c>
      <c r="B149" t="s">
        <v>135</v>
      </c>
      <c r="C149" t="s">
        <v>131</v>
      </c>
      <c r="D149" t="s">
        <v>101</v>
      </c>
    </row>
    <row r="150" spans="1:4">
      <c r="A150">
        <v>20170514</v>
      </c>
      <c r="B150" t="s">
        <v>135</v>
      </c>
      <c r="C150" t="s">
        <v>131</v>
      </c>
      <c r="D150" t="s">
        <v>101</v>
      </c>
    </row>
    <row r="151" spans="1:4">
      <c r="A151">
        <v>20170520</v>
      </c>
      <c r="B151" t="s">
        <v>135</v>
      </c>
      <c r="C151" t="s">
        <v>131</v>
      </c>
      <c r="D151" t="s">
        <v>101</v>
      </c>
    </row>
    <row r="152" spans="1:4">
      <c r="A152">
        <v>20170521</v>
      </c>
      <c r="B152" t="s">
        <v>135</v>
      </c>
      <c r="C152" t="s">
        <v>131</v>
      </c>
      <c r="D152" t="s">
        <v>101</v>
      </c>
    </row>
    <row r="153" spans="1:4">
      <c r="A153">
        <v>20170527</v>
      </c>
      <c r="B153" t="s">
        <v>131</v>
      </c>
      <c r="C153" t="s">
        <v>101</v>
      </c>
    </row>
    <row r="154" spans="1:4">
      <c r="A154">
        <v>20170528</v>
      </c>
      <c r="B154" t="s">
        <v>131</v>
      </c>
      <c r="C154" t="s">
        <v>101</v>
      </c>
    </row>
    <row r="155" spans="1:4">
      <c r="A155">
        <v>20170603</v>
      </c>
      <c r="B155" t="s">
        <v>131</v>
      </c>
      <c r="C155" t="s">
        <v>133</v>
      </c>
    </row>
    <row r="156" spans="1:4">
      <c r="A156">
        <v>20170604</v>
      </c>
      <c r="B156" t="s">
        <v>131</v>
      </c>
      <c r="C156" t="s">
        <v>133</v>
      </c>
    </row>
    <row r="157" spans="1:4">
      <c r="A157">
        <v>20170610</v>
      </c>
      <c r="B157" t="s">
        <v>131</v>
      </c>
      <c r="C157" t="s">
        <v>133</v>
      </c>
    </row>
    <row r="158" spans="1:4">
      <c r="A158">
        <v>20170611</v>
      </c>
      <c r="B158" t="s">
        <v>131</v>
      </c>
      <c r="C158" t="s">
        <v>133</v>
      </c>
    </row>
    <row r="159" spans="1:4">
      <c r="A159">
        <v>20170617</v>
      </c>
      <c r="B159" t="s">
        <v>136</v>
      </c>
      <c r="C159" t="s">
        <v>131</v>
      </c>
      <c r="D159" t="s">
        <v>133</v>
      </c>
    </row>
    <row r="160" spans="1:4">
      <c r="A160">
        <v>20170618</v>
      </c>
      <c r="B160" t="s">
        <v>136</v>
      </c>
      <c r="C160" t="s">
        <v>131</v>
      </c>
      <c r="D160" t="s">
        <v>133</v>
      </c>
    </row>
    <row r="161" spans="1:4">
      <c r="A161">
        <v>20170624</v>
      </c>
      <c r="B161" t="s">
        <v>136</v>
      </c>
      <c r="C161" t="s">
        <v>131</v>
      </c>
      <c r="D161" t="s">
        <v>133</v>
      </c>
    </row>
    <row r="162" spans="1:4">
      <c r="A162">
        <v>20170625</v>
      </c>
      <c r="B162" t="s">
        <v>136</v>
      </c>
      <c r="C162" t="s">
        <v>131</v>
      </c>
      <c r="D162" t="s">
        <v>133</v>
      </c>
    </row>
    <row r="163" spans="1:4">
      <c r="A163">
        <v>20170701</v>
      </c>
      <c r="B163" t="s">
        <v>136</v>
      </c>
      <c r="C163" t="s">
        <v>134</v>
      </c>
      <c r="D163" t="s">
        <v>130</v>
      </c>
    </row>
    <row r="164" spans="1:4">
      <c r="A164">
        <v>20170702</v>
      </c>
      <c r="B164" t="s">
        <v>136</v>
      </c>
      <c r="C164" t="s">
        <v>134</v>
      </c>
      <c r="D164" t="s">
        <v>130</v>
      </c>
    </row>
    <row r="165" spans="1:4">
      <c r="A165">
        <v>20170708</v>
      </c>
      <c r="B165" t="s">
        <v>136</v>
      </c>
      <c r="C165" t="s">
        <v>134</v>
      </c>
      <c r="D165" t="s">
        <v>130</v>
      </c>
    </row>
    <row r="166" spans="1:4">
      <c r="A166">
        <v>20170709</v>
      </c>
      <c r="B166" t="s">
        <v>136</v>
      </c>
      <c r="C166" t="s">
        <v>134</v>
      </c>
      <c r="D166" t="s">
        <v>130</v>
      </c>
    </row>
    <row r="167" spans="1:4">
      <c r="A167">
        <v>20170715</v>
      </c>
      <c r="B167" t="s">
        <v>136</v>
      </c>
      <c r="C167" t="s">
        <v>134</v>
      </c>
      <c r="D167" t="s">
        <v>130</v>
      </c>
    </row>
    <row r="168" spans="1:4">
      <c r="A168">
        <v>20170716</v>
      </c>
      <c r="B168" t="s">
        <v>136</v>
      </c>
      <c r="C168" t="s">
        <v>134</v>
      </c>
      <c r="D168" t="s">
        <v>130</v>
      </c>
    </row>
    <row r="169" spans="1:4">
      <c r="A169">
        <v>20170722</v>
      </c>
      <c r="B169" t="s">
        <v>136</v>
      </c>
      <c r="C169" t="s">
        <v>134</v>
      </c>
      <c r="D169" t="s">
        <v>130</v>
      </c>
    </row>
    <row r="170" spans="1:4">
      <c r="A170">
        <v>20170723</v>
      </c>
      <c r="B170" t="s">
        <v>136</v>
      </c>
      <c r="C170" t="s">
        <v>134</v>
      </c>
      <c r="D170" t="s">
        <v>130</v>
      </c>
    </row>
    <row r="171" spans="1:4">
      <c r="A171">
        <v>20170729</v>
      </c>
      <c r="B171" t="s">
        <v>137</v>
      </c>
      <c r="C171" t="s">
        <v>135</v>
      </c>
      <c r="D171" t="s">
        <v>132</v>
      </c>
    </row>
    <row r="172" spans="1:4">
      <c r="A172">
        <v>20170730</v>
      </c>
      <c r="B172" t="s">
        <v>137</v>
      </c>
      <c r="C172" t="s">
        <v>135</v>
      </c>
      <c r="D172" t="s">
        <v>132</v>
      </c>
    </row>
    <row r="173" spans="1:4">
      <c r="A173">
        <v>20170805</v>
      </c>
      <c r="B173" t="s">
        <v>137</v>
      </c>
      <c r="C173" t="s">
        <v>135</v>
      </c>
      <c r="D173" t="s">
        <v>132</v>
      </c>
    </row>
    <row r="174" spans="1:4">
      <c r="A174">
        <v>20170806</v>
      </c>
      <c r="B174" t="s">
        <v>137</v>
      </c>
      <c r="C174" t="s">
        <v>135</v>
      </c>
      <c r="D174" t="s">
        <v>132</v>
      </c>
    </row>
    <row r="175" spans="1:4">
      <c r="A175">
        <v>20170812</v>
      </c>
      <c r="B175" t="s">
        <v>137</v>
      </c>
      <c r="C175" t="s">
        <v>135</v>
      </c>
      <c r="D175" t="s">
        <v>132</v>
      </c>
    </row>
    <row r="176" spans="1:4">
      <c r="A176">
        <v>20170813</v>
      </c>
      <c r="B176" t="s">
        <v>137</v>
      </c>
      <c r="C176" t="s">
        <v>135</v>
      </c>
      <c r="D176" t="s">
        <v>132</v>
      </c>
    </row>
    <row r="177" spans="1:4">
      <c r="A177">
        <v>20170819</v>
      </c>
      <c r="B177" t="s">
        <v>137</v>
      </c>
      <c r="C177" t="s">
        <v>135</v>
      </c>
      <c r="D177" t="s">
        <v>132</v>
      </c>
    </row>
    <row r="178" spans="1:4">
      <c r="A178">
        <v>20170820</v>
      </c>
      <c r="B178" t="s">
        <v>137</v>
      </c>
      <c r="C178" t="s">
        <v>135</v>
      </c>
      <c r="D178" t="s">
        <v>132</v>
      </c>
    </row>
    <row r="179" spans="1:4">
      <c r="A179">
        <v>20170826</v>
      </c>
      <c r="B179" t="s">
        <v>137</v>
      </c>
      <c r="C179" t="s">
        <v>135</v>
      </c>
      <c r="D179" t="s">
        <v>132</v>
      </c>
    </row>
    <row r="180" spans="1:4">
      <c r="A180">
        <v>20170827</v>
      </c>
      <c r="B180" t="s">
        <v>137</v>
      </c>
      <c r="C180" t="s">
        <v>135</v>
      </c>
      <c r="D180" t="s">
        <v>132</v>
      </c>
    </row>
    <row r="181" spans="1:4">
      <c r="A181">
        <v>20170902</v>
      </c>
      <c r="B181" t="s">
        <v>137</v>
      </c>
      <c r="C181" t="s">
        <v>135</v>
      </c>
      <c r="D181" t="s">
        <v>132</v>
      </c>
    </row>
    <row r="182" spans="1:4">
      <c r="A182">
        <v>20170903</v>
      </c>
      <c r="B182" t="s">
        <v>137</v>
      </c>
      <c r="C182" t="s">
        <v>135</v>
      </c>
      <c r="D182" t="s">
        <v>132</v>
      </c>
    </row>
    <row r="183" spans="1:4">
      <c r="A183">
        <v>20170909</v>
      </c>
      <c r="B183" t="s">
        <v>129</v>
      </c>
      <c r="C183" t="s">
        <v>133</v>
      </c>
    </row>
    <row r="184" spans="1:4">
      <c r="A184">
        <v>20170910</v>
      </c>
      <c r="B184" t="s">
        <v>129</v>
      </c>
      <c r="C184" t="s">
        <v>133</v>
      </c>
    </row>
    <row r="185" spans="1:4">
      <c r="A185">
        <v>20170916</v>
      </c>
      <c r="B185" t="s">
        <v>129</v>
      </c>
      <c r="C185" t="s">
        <v>133</v>
      </c>
    </row>
    <row r="186" spans="1:4">
      <c r="A186">
        <v>20170917</v>
      </c>
      <c r="B186" t="s">
        <v>129</v>
      </c>
      <c r="C186" t="s">
        <v>133</v>
      </c>
    </row>
    <row r="187" spans="1:4">
      <c r="A187">
        <v>20170918</v>
      </c>
      <c r="B187" t="s">
        <v>129</v>
      </c>
      <c r="C187" t="s">
        <v>133</v>
      </c>
    </row>
    <row r="188" spans="1:4">
      <c r="A188">
        <v>20170923</v>
      </c>
      <c r="B188" t="s">
        <v>129</v>
      </c>
      <c r="C188" t="s">
        <v>133</v>
      </c>
    </row>
    <row r="189" spans="1:4">
      <c r="A189">
        <v>20170924</v>
      </c>
      <c r="B189" t="s">
        <v>129</v>
      </c>
      <c r="C189" t="s">
        <v>133</v>
      </c>
    </row>
    <row r="190" spans="1:4">
      <c r="A190">
        <v>20170930</v>
      </c>
      <c r="B190" t="s">
        <v>129</v>
      </c>
      <c r="C190" t="s">
        <v>133</v>
      </c>
    </row>
    <row r="191" spans="1:4">
      <c r="A191">
        <v>20171001</v>
      </c>
      <c r="B191" t="s">
        <v>129</v>
      </c>
      <c r="C191" t="s">
        <v>133</v>
      </c>
    </row>
    <row r="192" spans="1:4">
      <c r="A192">
        <v>20171007</v>
      </c>
      <c r="B192" t="s">
        <v>131</v>
      </c>
      <c r="C192" t="s">
        <v>101</v>
      </c>
    </row>
    <row r="193" spans="1:4">
      <c r="A193">
        <v>20171008</v>
      </c>
      <c r="B193" t="s">
        <v>131</v>
      </c>
      <c r="C193" t="s">
        <v>101</v>
      </c>
    </row>
    <row r="194" spans="1:4">
      <c r="A194">
        <v>20171009</v>
      </c>
      <c r="B194" t="s">
        <v>131</v>
      </c>
      <c r="C194" t="s">
        <v>101</v>
      </c>
    </row>
    <row r="195" spans="1:4">
      <c r="A195">
        <v>20171014</v>
      </c>
      <c r="B195" t="s">
        <v>135</v>
      </c>
      <c r="C195" t="s">
        <v>131</v>
      </c>
      <c r="D195" t="s">
        <v>101</v>
      </c>
    </row>
    <row r="196" spans="1:4">
      <c r="A196">
        <v>20171015</v>
      </c>
      <c r="B196" t="s">
        <v>135</v>
      </c>
      <c r="C196" t="s">
        <v>131</v>
      </c>
      <c r="D196" t="s">
        <v>101</v>
      </c>
    </row>
    <row r="197" spans="1:4">
      <c r="A197">
        <v>20171021</v>
      </c>
      <c r="B197" t="s">
        <v>135</v>
      </c>
      <c r="C197" t="s">
        <v>131</v>
      </c>
      <c r="D197" t="s">
        <v>101</v>
      </c>
    </row>
    <row r="198" spans="1:4">
      <c r="A198">
        <v>20171022</v>
      </c>
      <c r="B198" t="s">
        <v>135</v>
      </c>
      <c r="C198" t="s">
        <v>131</v>
      </c>
      <c r="D198" t="s">
        <v>101</v>
      </c>
    </row>
    <row r="199" spans="1:4">
      <c r="A199">
        <v>20171028</v>
      </c>
      <c r="B199" t="s">
        <v>135</v>
      </c>
      <c r="C199" t="s">
        <v>131</v>
      </c>
      <c r="D199" t="s">
        <v>101</v>
      </c>
    </row>
    <row r="200" spans="1:4">
      <c r="A200">
        <v>20171029</v>
      </c>
      <c r="B200" t="s">
        <v>135</v>
      </c>
      <c r="C200" t="s">
        <v>131</v>
      </c>
      <c r="D200" t="s">
        <v>101</v>
      </c>
    </row>
    <row r="201" spans="1:4">
      <c r="A201">
        <v>20171103</v>
      </c>
      <c r="B201" t="s">
        <v>134</v>
      </c>
      <c r="C201" t="s">
        <v>101</v>
      </c>
    </row>
    <row r="202" spans="1:4">
      <c r="A202">
        <v>20171104</v>
      </c>
      <c r="B202" t="s">
        <v>134</v>
      </c>
      <c r="C202" t="s">
        <v>131</v>
      </c>
    </row>
    <row r="203" spans="1:4">
      <c r="A203">
        <v>20171105</v>
      </c>
      <c r="B203" t="s">
        <v>131</v>
      </c>
      <c r="C203" t="s">
        <v>101</v>
      </c>
    </row>
    <row r="204" spans="1:4">
      <c r="A204">
        <v>20171111</v>
      </c>
      <c r="B204" t="s">
        <v>134</v>
      </c>
      <c r="C204" t="s">
        <v>131</v>
      </c>
      <c r="D204" t="s">
        <v>101</v>
      </c>
    </row>
    <row r="205" spans="1:4">
      <c r="A205">
        <v>20171112</v>
      </c>
      <c r="B205" t="s">
        <v>134</v>
      </c>
      <c r="C205" t="s">
        <v>131</v>
      </c>
      <c r="D205" t="s">
        <v>101</v>
      </c>
    </row>
    <row r="206" spans="1:4">
      <c r="A206">
        <v>20171118</v>
      </c>
      <c r="B206" t="s">
        <v>134</v>
      </c>
      <c r="C206" t="s">
        <v>131</v>
      </c>
      <c r="D206" t="s">
        <v>101</v>
      </c>
    </row>
    <row r="207" spans="1:4">
      <c r="A207">
        <v>20171119</v>
      </c>
      <c r="B207" t="s">
        <v>134</v>
      </c>
      <c r="C207" t="s">
        <v>131</v>
      </c>
      <c r="D207" t="s">
        <v>101</v>
      </c>
    </row>
    <row r="208" spans="1:4">
      <c r="A208">
        <v>20171125</v>
      </c>
      <c r="B208" t="s">
        <v>131</v>
      </c>
      <c r="C208" t="s">
        <v>101</v>
      </c>
    </row>
    <row r="209" spans="1:4">
      <c r="A209">
        <v>20171126</v>
      </c>
      <c r="B209" t="s">
        <v>131</v>
      </c>
      <c r="C209" t="s">
        <v>101</v>
      </c>
    </row>
    <row r="210" spans="1:4">
      <c r="A210">
        <v>20171202</v>
      </c>
      <c r="B210" t="s">
        <v>129</v>
      </c>
      <c r="C210" t="s">
        <v>130</v>
      </c>
      <c r="D210" t="s">
        <v>133</v>
      </c>
    </row>
    <row r="211" spans="1:4">
      <c r="A211">
        <v>20171203</v>
      </c>
      <c r="B211" t="s">
        <v>129</v>
      </c>
      <c r="C211" t="s">
        <v>130</v>
      </c>
      <c r="D211" t="s">
        <v>133</v>
      </c>
    </row>
    <row r="212" spans="1:4">
      <c r="A212">
        <v>20171209</v>
      </c>
      <c r="B212" t="s">
        <v>129</v>
      </c>
      <c r="C212" t="s">
        <v>130</v>
      </c>
      <c r="D212" t="s">
        <v>133</v>
      </c>
    </row>
    <row r="213" spans="1:4">
      <c r="A213">
        <v>20171210</v>
      </c>
      <c r="B213" t="s">
        <v>129</v>
      </c>
      <c r="C213" t="s">
        <v>130</v>
      </c>
      <c r="D213" t="s">
        <v>133</v>
      </c>
    </row>
    <row r="214" spans="1:4">
      <c r="A214">
        <v>20171216</v>
      </c>
      <c r="B214" t="s">
        <v>129</v>
      </c>
      <c r="C214" t="s">
        <v>130</v>
      </c>
      <c r="D214" t="s">
        <v>133</v>
      </c>
    </row>
    <row r="215" spans="1:4">
      <c r="A215">
        <v>20171217</v>
      </c>
      <c r="B215" t="s">
        <v>129</v>
      </c>
      <c r="C215" t="s">
        <v>130</v>
      </c>
      <c r="D215" t="s">
        <v>133</v>
      </c>
    </row>
    <row r="216" spans="1:4">
      <c r="A216">
        <v>20171223</v>
      </c>
      <c r="B216" t="s">
        <v>129</v>
      </c>
      <c r="C216" t="s">
        <v>133</v>
      </c>
    </row>
    <row r="217" spans="1:4">
      <c r="A217">
        <v>20171224</v>
      </c>
      <c r="B217" t="s">
        <v>129</v>
      </c>
      <c r="C217" t="s">
        <v>133</v>
      </c>
    </row>
    <row r="218" spans="1:4">
      <c r="A218">
        <v>20171228</v>
      </c>
      <c r="B218" t="s">
        <v>129</v>
      </c>
      <c r="C218" t="s">
        <v>133</v>
      </c>
    </row>
    <row r="219" spans="1:4">
      <c r="A219">
        <v>20180106</v>
      </c>
      <c r="B219" t="s">
        <v>129</v>
      </c>
      <c r="C219" t="s">
        <v>101</v>
      </c>
    </row>
    <row r="220" spans="1:4">
      <c r="A220">
        <v>20180107</v>
      </c>
      <c r="B220" t="s">
        <v>129</v>
      </c>
      <c r="C220" t="s">
        <v>101</v>
      </c>
    </row>
    <row r="221" spans="1:4">
      <c r="A221">
        <v>20180108</v>
      </c>
      <c r="B221" t="s">
        <v>129</v>
      </c>
      <c r="C221" t="s">
        <v>101</v>
      </c>
    </row>
    <row r="222" spans="1:4">
      <c r="A222">
        <v>20180113</v>
      </c>
      <c r="B222" t="s">
        <v>129</v>
      </c>
      <c r="C222" t="s">
        <v>130</v>
      </c>
      <c r="D222" t="s">
        <v>101</v>
      </c>
    </row>
    <row r="223" spans="1:4">
      <c r="A223">
        <v>20180114</v>
      </c>
      <c r="B223" t="s">
        <v>129</v>
      </c>
      <c r="C223" t="s">
        <v>130</v>
      </c>
      <c r="D223" t="s">
        <v>101</v>
      </c>
    </row>
    <row r="224" spans="1:4">
      <c r="A224">
        <v>20180120</v>
      </c>
      <c r="B224" t="s">
        <v>129</v>
      </c>
      <c r="C224" t="s">
        <v>130</v>
      </c>
      <c r="D224" t="s">
        <v>101</v>
      </c>
    </row>
    <row r="225" spans="1:4">
      <c r="A225">
        <v>20180121</v>
      </c>
      <c r="B225" t="s">
        <v>129</v>
      </c>
      <c r="C225" t="s">
        <v>130</v>
      </c>
      <c r="D225" t="s">
        <v>101</v>
      </c>
    </row>
    <row r="226" spans="1:4">
      <c r="A226">
        <v>20180127</v>
      </c>
      <c r="B226" t="s">
        <v>131</v>
      </c>
      <c r="C226" t="s">
        <v>130</v>
      </c>
      <c r="D226" t="s">
        <v>101</v>
      </c>
    </row>
    <row r="227" spans="1:4">
      <c r="A227">
        <v>20180128</v>
      </c>
      <c r="B227" t="s">
        <v>131</v>
      </c>
      <c r="C227" t="s">
        <v>130</v>
      </c>
      <c r="D227" t="s">
        <v>101</v>
      </c>
    </row>
    <row r="228" spans="1:4">
      <c r="A228">
        <v>20180203</v>
      </c>
      <c r="B228" t="s">
        <v>131</v>
      </c>
      <c r="C228" t="s">
        <v>101</v>
      </c>
    </row>
    <row r="229" spans="1:4">
      <c r="A229">
        <v>20180204</v>
      </c>
      <c r="B229" t="s">
        <v>131</v>
      </c>
      <c r="C229" t="s">
        <v>101</v>
      </c>
    </row>
    <row r="230" spans="1:4">
      <c r="A230">
        <v>20180210</v>
      </c>
      <c r="B230" t="s">
        <v>101</v>
      </c>
      <c r="C230" t="s">
        <v>132</v>
      </c>
    </row>
    <row r="231" spans="1:4">
      <c r="A231">
        <v>20180211</v>
      </c>
      <c r="B231" t="s">
        <v>131</v>
      </c>
      <c r="C231" t="s">
        <v>101</v>
      </c>
    </row>
    <row r="232" spans="1:4">
      <c r="A232">
        <v>20180212</v>
      </c>
      <c r="B232" t="s">
        <v>131</v>
      </c>
      <c r="C232" t="s">
        <v>132</v>
      </c>
    </row>
    <row r="233" spans="1:4">
      <c r="A233">
        <v>20180213</v>
      </c>
      <c r="B233" t="s">
        <v>132</v>
      </c>
    </row>
    <row r="234" spans="1:4">
      <c r="A234">
        <v>20180217</v>
      </c>
      <c r="B234" t="s">
        <v>131</v>
      </c>
      <c r="C234" t="s">
        <v>101</v>
      </c>
      <c r="D234" t="s">
        <v>132</v>
      </c>
    </row>
    <row r="235" spans="1:4">
      <c r="A235">
        <v>20180218</v>
      </c>
      <c r="B235" t="s">
        <v>131</v>
      </c>
      <c r="C235" t="s">
        <v>101</v>
      </c>
      <c r="D235" t="s">
        <v>132</v>
      </c>
    </row>
    <row r="236" spans="1:4">
      <c r="A236">
        <v>20180224</v>
      </c>
      <c r="B236" t="s">
        <v>129</v>
      </c>
      <c r="C236" t="s">
        <v>133</v>
      </c>
      <c r="D236" t="s">
        <v>132</v>
      </c>
    </row>
    <row r="237" spans="1:4">
      <c r="A237">
        <v>20180225</v>
      </c>
      <c r="B237" t="s">
        <v>129</v>
      </c>
      <c r="C237" t="s">
        <v>133</v>
      </c>
      <c r="D237" t="s">
        <v>132</v>
      </c>
    </row>
    <row r="238" spans="1:4">
      <c r="A238">
        <v>20180303</v>
      </c>
      <c r="B238" t="s">
        <v>129</v>
      </c>
      <c r="C238" t="s">
        <v>133</v>
      </c>
      <c r="D238" t="s">
        <v>132</v>
      </c>
    </row>
    <row r="239" spans="1:4">
      <c r="A239">
        <v>20180304</v>
      </c>
      <c r="B239" t="s">
        <v>129</v>
      </c>
      <c r="C239" t="s">
        <v>133</v>
      </c>
      <c r="D239" t="s">
        <v>132</v>
      </c>
    </row>
    <row r="240" spans="1:4">
      <c r="A240">
        <v>20180310</v>
      </c>
      <c r="B240" t="s">
        <v>129</v>
      </c>
      <c r="C240" t="s">
        <v>130</v>
      </c>
      <c r="D240" t="s">
        <v>133</v>
      </c>
    </row>
    <row r="241" spans="1:4">
      <c r="A241">
        <v>20180311</v>
      </c>
      <c r="B241" t="s">
        <v>129</v>
      </c>
      <c r="C241" t="s">
        <v>130</v>
      </c>
      <c r="D241" t="s">
        <v>133</v>
      </c>
    </row>
    <row r="242" spans="1:4">
      <c r="A242">
        <v>20180317</v>
      </c>
      <c r="B242" t="s">
        <v>129</v>
      </c>
      <c r="C242" t="s">
        <v>130</v>
      </c>
      <c r="D242" t="s">
        <v>133</v>
      </c>
    </row>
    <row r="243" spans="1:4">
      <c r="A243">
        <v>20180318</v>
      </c>
      <c r="B243" t="s">
        <v>129</v>
      </c>
      <c r="C243" t="s">
        <v>130</v>
      </c>
      <c r="D243" t="s">
        <v>133</v>
      </c>
    </row>
    <row r="244" spans="1:4">
      <c r="A244">
        <v>20180324</v>
      </c>
      <c r="B244" t="s">
        <v>129</v>
      </c>
      <c r="C244" t="s">
        <v>130</v>
      </c>
      <c r="D244" t="s">
        <v>133</v>
      </c>
    </row>
    <row r="245" spans="1:4">
      <c r="A245">
        <v>20180325</v>
      </c>
      <c r="B245" t="s">
        <v>129</v>
      </c>
      <c r="C245" t="s">
        <v>130</v>
      </c>
      <c r="D245" t="s">
        <v>133</v>
      </c>
    </row>
    <row r="246" spans="1:4">
      <c r="A246">
        <v>20180331</v>
      </c>
      <c r="B246" t="s">
        <v>129</v>
      </c>
      <c r="C246" t="s">
        <v>133</v>
      </c>
    </row>
    <row r="247" spans="1:4">
      <c r="A247">
        <v>20180401</v>
      </c>
      <c r="B247" t="s">
        <v>129</v>
      </c>
      <c r="C247" t="s">
        <v>133</v>
      </c>
    </row>
    <row r="248" spans="1:4">
      <c r="A248">
        <v>20180407</v>
      </c>
      <c r="B248" t="s">
        <v>134</v>
      </c>
      <c r="C248" t="s">
        <v>129</v>
      </c>
      <c r="D248" t="s">
        <v>133</v>
      </c>
    </row>
    <row r="249" spans="1:4">
      <c r="A249">
        <v>20180408</v>
      </c>
      <c r="B249" t="s">
        <v>134</v>
      </c>
      <c r="C249" t="s">
        <v>129</v>
      </c>
      <c r="D249" t="s">
        <v>133</v>
      </c>
    </row>
    <row r="250" spans="1:4">
      <c r="A250">
        <v>20180414</v>
      </c>
      <c r="B250" t="s">
        <v>134</v>
      </c>
      <c r="C250" t="s">
        <v>129</v>
      </c>
      <c r="D250" t="s">
        <v>133</v>
      </c>
    </row>
    <row r="251" spans="1:4">
      <c r="A251">
        <v>20180415</v>
      </c>
      <c r="B251" t="s">
        <v>134</v>
      </c>
      <c r="C251" t="s">
        <v>129</v>
      </c>
      <c r="D251" t="s">
        <v>133</v>
      </c>
    </row>
    <row r="252" spans="1:4">
      <c r="A252">
        <v>20180421</v>
      </c>
      <c r="B252" t="s">
        <v>134</v>
      </c>
      <c r="C252" t="s">
        <v>131</v>
      </c>
      <c r="D252" t="s">
        <v>101</v>
      </c>
    </row>
    <row r="253" spans="1:4">
      <c r="A253">
        <v>20180422</v>
      </c>
      <c r="B253" t="s">
        <v>134</v>
      </c>
      <c r="C253" t="s">
        <v>131</v>
      </c>
      <c r="D253" t="s">
        <v>101</v>
      </c>
    </row>
    <row r="254" spans="1:4">
      <c r="A254">
        <v>20180428</v>
      </c>
      <c r="B254" t="s">
        <v>135</v>
      </c>
      <c r="C254" t="s">
        <v>131</v>
      </c>
      <c r="D254" t="s">
        <v>101</v>
      </c>
    </row>
    <row r="255" spans="1:4">
      <c r="A255">
        <v>20180429</v>
      </c>
      <c r="B255" t="s">
        <v>135</v>
      </c>
      <c r="C255" t="s">
        <v>131</v>
      </c>
      <c r="D255" t="s">
        <v>101</v>
      </c>
    </row>
    <row r="256" spans="1:4">
      <c r="A256">
        <v>20180505</v>
      </c>
      <c r="B256" t="s">
        <v>135</v>
      </c>
      <c r="C256" t="s">
        <v>131</v>
      </c>
      <c r="D256" t="s">
        <v>101</v>
      </c>
    </row>
    <row r="257" spans="1:4">
      <c r="A257">
        <v>20180506</v>
      </c>
      <c r="B257" t="s">
        <v>135</v>
      </c>
      <c r="C257" t="s">
        <v>131</v>
      </c>
      <c r="D257" t="s">
        <v>101</v>
      </c>
    </row>
    <row r="258" spans="1:4">
      <c r="A258">
        <v>20180512</v>
      </c>
      <c r="B258" t="s">
        <v>135</v>
      </c>
      <c r="C258" t="s">
        <v>131</v>
      </c>
      <c r="D258" t="s">
        <v>101</v>
      </c>
    </row>
    <row r="259" spans="1:4">
      <c r="A259">
        <v>20180513</v>
      </c>
      <c r="B259" t="s">
        <v>135</v>
      </c>
      <c r="C259" t="s">
        <v>131</v>
      </c>
      <c r="D259" t="s">
        <v>101</v>
      </c>
    </row>
    <row r="260" spans="1:4">
      <c r="A260">
        <v>20180519</v>
      </c>
      <c r="B260" t="s">
        <v>135</v>
      </c>
      <c r="C260" t="s">
        <v>131</v>
      </c>
      <c r="D260" t="s">
        <v>101</v>
      </c>
    </row>
    <row r="261" spans="1:4">
      <c r="A261">
        <v>20180520</v>
      </c>
      <c r="B261" t="s">
        <v>135</v>
      </c>
      <c r="C261" t="s">
        <v>131</v>
      </c>
      <c r="D261" t="s">
        <v>101</v>
      </c>
    </row>
    <row r="262" spans="1:4">
      <c r="A262">
        <v>20180526</v>
      </c>
      <c r="B262" t="s">
        <v>131</v>
      </c>
      <c r="C262" t="s">
        <v>101</v>
      </c>
    </row>
    <row r="263" spans="1:4">
      <c r="A263">
        <v>20180527</v>
      </c>
      <c r="B263" t="s">
        <v>131</v>
      </c>
      <c r="C263" t="s">
        <v>101</v>
      </c>
    </row>
    <row r="264" spans="1:4">
      <c r="A264">
        <v>20180602</v>
      </c>
      <c r="B264" t="s">
        <v>131</v>
      </c>
      <c r="C264" t="s">
        <v>133</v>
      </c>
    </row>
    <row r="265" spans="1:4">
      <c r="A265">
        <v>20180603</v>
      </c>
      <c r="B265" t="s">
        <v>131</v>
      </c>
      <c r="C265" t="s">
        <v>133</v>
      </c>
    </row>
    <row r="266" spans="1:4">
      <c r="A266">
        <v>20180609</v>
      </c>
      <c r="B266" t="s">
        <v>131</v>
      </c>
      <c r="C266" t="s">
        <v>133</v>
      </c>
    </row>
    <row r="267" spans="1:4">
      <c r="A267">
        <v>20180610</v>
      </c>
      <c r="B267" t="s">
        <v>131</v>
      </c>
      <c r="C267" t="s">
        <v>133</v>
      </c>
    </row>
    <row r="268" spans="1:4">
      <c r="A268">
        <v>20180616</v>
      </c>
      <c r="B268" t="s">
        <v>136</v>
      </c>
      <c r="C268" t="s">
        <v>131</v>
      </c>
      <c r="D268" t="s">
        <v>133</v>
      </c>
    </row>
    <row r="269" spans="1:4">
      <c r="A269">
        <v>20180617</v>
      </c>
      <c r="B269" t="s">
        <v>136</v>
      </c>
      <c r="C269" t="s">
        <v>131</v>
      </c>
      <c r="D269" t="s">
        <v>133</v>
      </c>
    </row>
    <row r="270" spans="1:4">
      <c r="A270">
        <v>20180623</v>
      </c>
      <c r="B270" t="s">
        <v>136</v>
      </c>
      <c r="C270" t="s">
        <v>131</v>
      </c>
      <c r="D270" t="s">
        <v>133</v>
      </c>
    </row>
    <row r="271" spans="1:4">
      <c r="A271">
        <v>20180624</v>
      </c>
      <c r="B271" t="s">
        <v>136</v>
      </c>
      <c r="C271" t="s">
        <v>131</v>
      </c>
      <c r="D271" t="s">
        <v>133</v>
      </c>
    </row>
    <row r="272" spans="1:4">
      <c r="A272">
        <v>20180630</v>
      </c>
      <c r="B272" t="s">
        <v>136</v>
      </c>
      <c r="C272" t="s">
        <v>134</v>
      </c>
      <c r="D272" t="s">
        <v>130</v>
      </c>
    </row>
    <row r="273" spans="1:4">
      <c r="A273">
        <v>20180701</v>
      </c>
      <c r="B273" t="s">
        <v>136</v>
      </c>
      <c r="C273" t="s">
        <v>134</v>
      </c>
      <c r="D273" t="s">
        <v>130</v>
      </c>
    </row>
    <row r="274" spans="1:4">
      <c r="A274">
        <v>20180707</v>
      </c>
      <c r="B274" t="s">
        <v>136</v>
      </c>
      <c r="C274" t="s">
        <v>134</v>
      </c>
      <c r="D274" t="s">
        <v>130</v>
      </c>
    </row>
    <row r="275" spans="1:4">
      <c r="A275">
        <v>20180708</v>
      </c>
      <c r="B275" t="s">
        <v>136</v>
      </c>
      <c r="C275" t="s">
        <v>134</v>
      </c>
      <c r="D275" t="s">
        <v>130</v>
      </c>
    </row>
    <row r="276" spans="1:4">
      <c r="A276">
        <v>20180714</v>
      </c>
      <c r="B276" t="s">
        <v>136</v>
      </c>
      <c r="C276" t="s">
        <v>134</v>
      </c>
      <c r="D276" t="s">
        <v>130</v>
      </c>
    </row>
    <row r="277" spans="1:4">
      <c r="A277">
        <v>20180715</v>
      </c>
      <c r="B277" t="s">
        <v>136</v>
      </c>
      <c r="C277" t="s">
        <v>134</v>
      </c>
      <c r="D277" t="s">
        <v>130</v>
      </c>
    </row>
    <row r="278" spans="1:4">
      <c r="A278">
        <v>20180721</v>
      </c>
      <c r="B278" t="s">
        <v>136</v>
      </c>
      <c r="C278" t="s">
        <v>134</v>
      </c>
      <c r="D278" t="s">
        <v>130</v>
      </c>
    </row>
    <row r="279" spans="1:4">
      <c r="A279">
        <v>20180722</v>
      </c>
      <c r="B279" t="s">
        <v>136</v>
      </c>
      <c r="C279" t="s">
        <v>134</v>
      </c>
      <c r="D279" t="s">
        <v>130</v>
      </c>
    </row>
    <row r="280" spans="1:4">
      <c r="A280">
        <v>20180728</v>
      </c>
      <c r="B280" t="s">
        <v>137</v>
      </c>
      <c r="C280" t="s">
        <v>135</v>
      </c>
      <c r="D280" t="s">
        <v>132</v>
      </c>
    </row>
    <row r="281" spans="1:4">
      <c r="A281">
        <v>20180729</v>
      </c>
      <c r="B281" t="s">
        <v>137</v>
      </c>
      <c r="C281" t="s">
        <v>135</v>
      </c>
      <c r="D281" t="s">
        <v>132</v>
      </c>
    </row>
    <row r="282" spans="1:4">
      <c r="A282">
        <v>20180804</v>
      </c>
      <c r="B282" t="s">
        <v>137</v>
      </c>
      <c r="C282" t="s">
        <v>135</v>
      </c>
      <c r="D282" t="s">
        <v>132</v>
      </c>
    </row>
    <row r="283" spans="1:4">
      <c r="A283">
        <v>20180805</v>
      </c>
      <c r="B283" t="s">
        <v>137</v>
      </c>
      <c r="C283" t="s">
        <v>135</v>
      </c>
      <c r="D283" t="s">
        <v>132</v>
      </c>
    </row>
    <row r="284" spans="1:4">
      <c r="A284">
        <v>20180811</v>
      </c>
      <c r="B284" t="s">
        <v>137</v>
      </c>
      <c r="C284" t="s">
        <v>135</v>
      </c>
      <c r="D284" t="s">
        <v>132</v>
      </c>
    </row>
    <row r="285" spans="1:4">
      <c r="A285">
        <v>20180812</v>
      </c>
      <c r="B285" t="s">
        <v>137</v>
      </c>
      <c r="C285" t="s">
        <v>135</v>
      </c>
      <c r="D285" t="s">
        <v>132</v>
      </c>
    </row>
    <row r="286" spans="1:4">
      <c r="A286">
        <v>20180818</v>
      </c>
      <c r="B286" t="s">
        <v>137</v>
      </c>
      <c r="C286" t="s">
        <v>135</v>
      </c>
      <c r="D286" t="s">
        <v>132</v>
      </c>
    </row>
    <row r="287" spans="1:4">
      <c r="A287">
        <v>20180819</v>
      </c>
      <c r="B287" t="s">
        <v>137</v>
      </c>
      <c r="C287" t="s">
        <v>135</v>
      </c>
      <c r="D287" t="s">
        <v>132</v>
      </c>
    </row>
    <row r="288" spans="1:4">
      <c r="A288">
        <v>20180825</v>
      </c>
      <c r="B288" t="s">
        <v>137</v>
      </c>
      <c r="C288" t="s">
        <v>135</v>
      </c>
      <c r="D288" t="s">
        <v>132</v>
      </c>
    </row>
    <row r="289" spans="1:4">
      <c r="A289">
        <v>20180826</v>
      </c>
      <c r="B289" t="s">
        <v>137</v>
      </c>
      <c r="C289" t="s">
        <v>135</v>
      </c>
      <c r="D289" t="s">
        <v>132</v>
      </c>
    </row>
    <row r="290" spans="1:4">
      <c r="A290">
        <v>20180901</v>
      </c>
      <c r="B290" t="s">
        <v>137</v>
      </c>
      <c r="C290" t="s">
        <v>135</v>
      </c>
      <c r="D290" t="s">
        <v>132</v>
      </c>
    </row>
    <row r="291" spans="1:4">
      <c r="A291">
        <v>20180902</v>
      </c>
      <c r="B291" t="s">
        <v>137</v>
      </c>
      <c r="C291" t="s">
        <v>135</v>
      </c>
      <c r="D291" t="s">
        <v>132</v>
      </c>
    </row>
    <row r="292" spans="1:4">
      <c r="A292">
        <v>20180908</v>
      </c>
      <c r="B292" t="s">
        <v>129</v>
      </c>
      <c r="C292" t="s">
        <v>133</v>
      </c>
    </row>
    <row r="293" spans="1:4">
      <c r="A293">
        <v>20180909</v>
      </c>
      <c r="B293" t="s">
        <v>129</v>
      </c>
      <c r="C293" t="s">
        <v>133</v>
      </c>
    </row>
    <row r="294" spans="1:4">
      <c r="A294">
        <v>20180915</v>
      </c>
      <c r="B294" t="s">
        <v>129</v>
      </c>
      <c r="C294" t="s">
        <v>133</v>
      </c>
    </row>
    <row r="295" spans="1:4">
      <c r="A295">
        <v>20180916</v>
      </c>
      <c r="B295" t="s">
        <v>129</v>
      </c>
      <c r="C295" t="s">
        <v>133</v>
      </c>
    </row>
    <row r="296" spans="1:4">
      <c r="A296">
        <v>20180917</v>
      </c>
      <c r="B296" t="s">
        <v>129</v>
      </c>
      <c r="C296" t="s">
        <v>133</v>
      </c>
    </row>
    <row r="297" spans="1:4">
      <c r="A297">
        <v>20180922</v>
      </c>
      <c r="B297" t="s">
        <v>129</v>
      </c>
      <c r="C297" t="s">
        <v>133</v>
      </c>
    </row>
    <row r="298" spans="1:4">
      <c r="A298">
        <v>20180923</v>
      </c>
      <c r="B298" t="s">
        <v>129</v>
      </c>
      <c r="C298" t="s">
        <v>133</v>
      </c>
    </row>
    <row r="299" spans="1:4">
      <c r="A299">
        <v>20180929</v>
      </c>
      <c r="B299" t="s">
        <v>129</v>
      </c>
      <c r="C299" t="s">
        <v>133</v>
      </c>
    </row>
    <row r="300" spans="1:4">
      <c r="A300">
        <v>20180930</v>
      </c>
      <c r="B300" t="s">
        <v>129</v>
      </c>
      <c r="C300" t="s">
        <v>133</v>
      </c>
    </row>
    <row r="301" spans="1:4">
      <c r="A301">
        <v>20181001</v>
      </c>
      <c r="B301" t="s">
        <v>133</v>
      </c>
    </row>
    <row r="302" spans="1:4">
      <c r="A302">
        <v>20181002</v>
      </c>
      <c r="B302" t="s">
        <v>133</v>
      </c>
    </row>
    <row r="303" spans="1:4">
      <c r="A303">
        <v>20181006</v>
      </c>
      <c r="B303" t="s">
        <v>131</v>
      </c>
      <c r="C303" t="s">
        <v>101</v>
      </c>
    </row>
    <row r="304" spans="1:4">
      <c r="A304">
        <v>20181007</v>
      </c>
      <c r="B304" t="s">
        <v>131</v>
      </c>
      <c r="C304" t="s">
        <v>101</v>
      </c>
    </row>
    <row r="305" spans="1:4">
      <c r="A305">
        <v>20181008</v>
      </c>
      <c r="B305" t="s">
        <v>131</v>
      </c>
      <c r="C305" t="s">
        <v>101</v>
      </c>
    </row>
    <row r="306" spans="1:4">
      <c r="A306">
        <v>20181013</v>
      </c>
      <c r="B306" t="s">
        <v>135</v>
      </c>
      <c r="C306" t="s">
        <v>131</v>
      </c>
      <c r="D306" t="s">
        <v>101</v>
      </c>
    </row>
    <row r="307" spans="1:4">
      <c r="A307">
        <v>20181014</v>
      </c>
      <c r="B307" t="s">
        <v>135</v>
      </c>
      <c r="C307" t="s">
        <v>131</v>
      </c>
      <c r="D307" t="s">
        <v>101</v>
      </c>
    </row>
    <row r="308" spans="1:4">
      <c r="A308">
        <v>20181020</v>
      </c>
      <c r="B308" t="s">
        <v>135</v>
      </c>
      <c r="C308" t="s">
        <v>131</v>
      </c>
      <c r="D308" t="s">
        <v>101</v>
      </c>
    </row>
    <row r="309" spans="1:4">
      <c r="A309">
        <v>20181021</v>
      </c>
      <c r="B309" t="s">
        <v>135</v>
      </c>
      <c r="C309" t="s">
        <v>131</v>
      </c>
      <c r="D309" t="s">
        <v>101</v>
      </c>
    </row>
    <row r="310" spans="1:4">
      <c r="A310">
        <v>20181027</v>
      </c>
      <c r="B310" t="s">
        <v>135</v>
      </c>
      <c r="C310" t="s">
        <v>131</v>
      </c>
      <c r="D310" t="s">
        <v>101</v>
      </c>
    </row>
    <row r="311" spans="1:4">
      <c r="A311">
        <v>20181028</v>
      </c>
      <c r="B311" t="s">
        <v>135</v>
      </c>
      <c r="C311" t="s">
        <v>131</v>
      </c>
      <c r="D311" t="s">
        <v>101</v>
      </c>
    </row>
    <row r="312" spans="1:4">
      <c r="A312">
        <v>20181103</v>
      </c>
      <c r="B312" t="s">
        <v>134</v>
      </c>
      <c r="C312" t="s">
        <v>131</v>
      </c>
      <c r="D312" t="s">
        <v>101</v>
      </c>
    </row>
    <row r="313" spans="1:4">
      <c r="A313">
        <v>20181104</v>
      </c>
      <c r="B313" t="s">
        <v>134</v>
      </c>
      <c r="C313" t="s">
        <v>131</v>
      </c>
      <c r="D313" t="s">
        <v>101</v>
      </c>
    </row>
    <row r="314" spans="1:4">
      <c r="A314">
        <v>20181110</v>
      </c>
      <c r="B314" t="s">
        <v>134</v>
      </c>
      <c r="C314" t="s">
        <v>131</v>
      </c>
      <c r="D314" t="s">
        <v>101</v>
      </c>
    </row>
    <row r="315" spans="1:4">
      <c r="A315">
        <v>20181111</v>
      </c>
      <c r="B315" t="s">
        <v>134</v>
      </c>
      <c r="C315" t="s">
        <v>131</v>
      </c>
      <c r="D315" t="s">
        <v>101</v>
      </c>
    </row>
    <row r="316" spans="1:4">
      <c r="A316">
        <v>20181117</v>
      </c>
      <c r="B316" t="s">
        <v>134</v>
      </c>
      <c r="C316" t="s">
        <v>131</v>
      </c>
      <c r="D316" t="s">
        <v>101</v>
      </c>
    </row>
    <row r="317" spans="1:4">
      <c r="A317">
        <v>20181118</v>
      </c>
      <c r="B317" t="s">
        <v>134</v>
      </c>
      <c r="C317" t="s">
        <v>131</v>
      </c>
      <c r="D317" t="s">
        <v>101</v>
      </c>
    </row>
    <row r="318" spans="1:4">
      <c r="A318">
        <v>20181124</v>
      </c>
      <c r="B318" t="s">
        <v>131</v>
      </c>
      <c r="C318" t="s">
        <v>101</v>
      </c>
    </row>
    <row r="319" spans="1:4">
      <c r="A319">
        <v>20181125</v>
      </c>
      <c r="B319" t="s">
        <v>131</v>
      </c>
      <c r="C319" t="s">
        <v>101</v>
      </c>
    </row>
    <row r="320" spans="1:4">
      <c r="A320">
        <v>20181201</v>
      </c>
      <c r="B320" t="s">
        <v>129</v>
      </c>
      <c r="C320" t="s">
        <v>130</v>
      </c>
      <c r="D320" t="s">
        <v>133</v>
      </c>
    </row>
    <row r="321" spans="1:4">
      <c r="A321">
        <v>20181202</v>
      </c>
      <c r="B321" t="s">
        <v>129</v>
      </c>
      <c r="C321" t="s">
        <v>130</v>
      </c>
      <c r="D321" t="s">
        <v>133</v>
      </c>
    </row>
    <row r="322" spans="1:4">
      <c r="A322">
        <v>20181208</v>
      </c>
      <c r="B322" t="s">
        <v>129</v>
      </c>
      <c r="C322" t="s">
        <v>130</v>
      </c>
      <c r="D322" t="s">
        <v>133</v>
      </c>
    </row>
    <row r="323" spans="1:4">
      <c r="A323">
        <v>20181209</v>
      </c>
      <c r="B323" t="s">
        <v>129</v>
      </c>
      <c r="C323" t="s">
        <v>130</v>
      </c>
      <c r="D323" t="s">
        <v>133</v>
      </c>
    </row>
    <row r="324" spans="1:4">
      <c r="A324">
        <v>20181215</v>
      </c>
      <c r="B324" t="s">
        <v>129</v>
      </c>
      <c r="C324" t="s">
        <v>130</v>
      </c>
      <c r="D324" t="s">
        <v>133</v>
      </c>
    </row>
    <row r="325" spans="1:4">
      <c r="A325">
        <v>20181216</v>
      </c>
      <c r="B325" t="s">
        <v>129</v>
      </c>
      <c r="C325" t="s">
        <v>130</v>
      </c>
      <c r="D325" t="s">
        <v>133</v>
      </c>
    </row>
    <row r="326" spans="1:4">
      <c r="A326">
        <v>20181222</v>
      </c>
      <c r="B326" t="s">
        <v>129</v>
      </c>
      <c r="C326" t="s">
        <v>133</v>
      </c>
    </row>
    <row r="327" spans="1:4">
      <c r="A327">
        <v>20181223</v>
      </c>
      <c r="B327" t="s">
        <v>129</v>
      </c>
      <c r="C327" t="s">
        <v>133</v>
      </c>
    </row>
    <row r="328" spans="1:4">
      <c r="A328">
        <v>20181228</v>
      </c>
      <c r="B328" t="s">
        <v>129</v>
      </c>
      <c r="C328" t="s">
        <v>133</v>
      </c>
    </row>
    <row r="329" spans="1:4">
      <c r="A329">
        <v>20190105</v>
      </c>
      <c r="B329" t="s">
        <v>129</v>
      </c>
      <c r="C329" t="s">
        <v>101</v>
      </c>
    </row>
    <row r="330" spans="1:4">
      <c r="A330">
        <v>20190106</v>
      </c>
      <c r="B330" t="s">
        <v>129</v>
      </c>
      <c r="C330" t="s">
        <v>101</v>
      </c>
    </row>
    <row r="331" spans="1:4">
      <c r="A331">
        <v>20190112</v>
      </c>
      <c r="B331" t="s">
        <v>129</v>
      </c>
      <c r="C331" t="s">
        <v>101</v>
      </c>
    </row>
    <row r="332" spans="1:4">
      <c r="A332">
        <v>20190113</v>
      </c>
      <c r="B332" t="s">
        <v>129</v>
      </c>
      <c r="C332" t="s">
        <v>101</v>
      </c>
    </row>
    <row r="333" spans="1:4">
      <c r="A333">
        <v>20190114</v>
      </c>
      <c r="B333" t="s">
        <v>129</v>
      </c>
      <c r="C333" t="s">
        <v>101</v>
      </c>
    </row>
    <row r="334" spans="1:4">
      <c r="A334">
        <v>20190119</v>
      </c>
      <c r="B334" t="s">
        <v>129</v>
      </c>
      <c r="C334" t="s">
        <v>130</v>
      </c>
      <c r="D334" t="s">
        <v>101</v>
      </c>
    </row>
    <row r="335" spans="1:4">
      <c r="A335">
        <v>20190120</v>
      </c>
      <c r="B335" t="s">
        <v>129</v>
      </c>
      <c r="C335" t="s">
        <v>130</v>
      </c>
      <c r="D335" t="s">
        <v>101</v>
      </c>
    </row>
    <row r="336" spans="1:4">
      <c r="A336">
        <v>20190126</v>
      </c>
      <c r="B336" t="s">
        <v>131</v>
      </c>
      <c r="C336" t="s">
        <v>130</v>
      </c>
      <c r="D336" t="s">
        <v>101</v>
      </c>
    </row>
    <row r="337" spans="1:4">
      <c r="A337">
        <v>20190127</v>
      </c>
      <c r="B337" t="s">
        <v>131</v>
      </c>
      <c r="C337" t="s">
        <v>130</v>
      </c>
      <c r="D337" t="s">
        <v>101</v>
      </c>
    </row>
    <row r="338" spans="1:4">
      <c r="A338">
        <v>20190202</v>
      </c>
      <c r="B338" t="s">
        <v>131</v>
      </c>
      <c r="C338" t="s">
        <v>130</v>
      </c>
      <c r="D338" t="s">
        <v>101</v>
      </c>
    </row>
    <row r="339" spans="1:4">
      <c r="A339">
        <v>20190203</v>
      </c>
      <c r="B339" t="s">
        <v>131</v>
      </c>
      <c r="C339" t="s">
        <v>130</v>
      </c>
      <c r="D339" t="s">
        <v>101</v>
      </c>
    </row>
    <row r="340" spans="1:4">
      <c r="A340">
        <v>20190209</v>
      </c>
      <c r="B340" t="s">
        <v>131</v>
      </c>
      <c r="C340" t="s">
        <v>101</v>
      </c>
      <c r="D340" t="s">
        <v>132</v>
      </c>
    </row>
    <row r="341" spans="1:4">
      <c r="A341">
        <v>20190210</v>
      </c>
      <c r="B341" t="s">
        <v>131</v>
      </c>
      <c r="C341" t="s">
        <v>101</v>
      </c>
      <c r="D341" t="s">
        <v>132</v>
      </c>
    </row>
    <row r="342" spans="1:4">
      <c r="A342">
        <v>20190211</v>
      </c>
      <c r="B342" t="s">
        <v>131</v>
      </c>
    </row>
    <row r="343" spans="1:4">
      <c r="A343">
        <v>20190216</v>
      </c>
      <c r="B343" t="s">
        <v>131</v>
      </c>
      <c r="C343" t="s">
        <v>101</v>
      </c>
      <c r="D343" t="s">
        <v>132</v>
      </c>
    </row>
    <row r="344" spans="1:4">
      <c r="A344">
        <v>20190217</v>
      </c>
      <c r="B344" t="s">
        <v>131</v>
      </c>
      <c r="C344" t="s">
        <v>101</v>
      </c>
      <c r="D344" t="s">
        <v>132</v>
      </c>
    </row>
    <row r="345" spans="1:4">
      <c r="A345">
        <v>20190223</v>
      </c>
      <c r="B345" t="s">
        <v>129</v>
      </c>
      <c r="C345" t="s">
        <v>133</v>
      </c>
      <c r="D345" t="s">
        <v>132</v>
      </c>
    </row>
    <row r="346" spans="1:4">
      <c r="A346">
        <v>20190224</v>
      </c>
      <c r="B346" t="s">
        <v>129</v>
      </c>
      <c r="C346" t="s">
        <v>133</v>
      </c>
      <c r="D346" t="s">
        <v>132</v>
      </c>
    </row>
    <row r="347" spans="1:4">
      <c r="A347">
        <v>20190302</v>
      </c>
      <c r="B347" t="s">
        <v>129</v>
      </c>
      <c r="C347" t="s">
        <v>133</v>
      </c>
      <c r="D347" t="s">
        <v>132</v>
      </c>
    </row>
    <row r="348" spans="1:4">
      <c r="A348">
        <v>20190303</v>
      </c>
      <c r="B348" t="s">
        <v>129</v>
      </c>
      <c r="C348" t="s">
        <v>133</v>
      </c>
      <c r="D348" t="s">
        <v>132</v>
      </c>
    </row>
    <row r="349" spans="1:4">
      <c r="A349">
        <v>20190309</v>
      </c>
      <c r="B349" t="s">
        <v>129</v>
      </c>
      <c r="C349" t="s">
        <v>130</v>
      </c>
      <c r="D349" t="s">
        <v>133</v>
      </c>
    </row>
    <row r="350" spans="1:4">
      <c r="A350">
        <v>20190310</v>
      </c>
      <c r="B350" t="s">
        <v>129</v>
      </c>
      <c r="C350" t="s">
        <v>130</v>
      </c>
      <c r="D350" t="s">
        <v>133</v>
      </c>
    </row>
    <row r="351" spans="1:4">
      <c r="A351">
        <v>20190316</v>
      </c>
      <c r="B351" t="s">
        <v>129</v>
      </c>
      <c r="C351" t="s">
        <v>130</v>
      </c>
      <c r="D351" t="s">
        <v>133</v>
      </c>
    </row>
    <row r="352" spans="1:4">
      <c r="A352">
        <v>20190317</v>
      </c>
      <c r="B352" t="s">
        <v>129</v>
      </c>
      <c r="C352" t="s">
        <v>130</v>
      </c>
      <c r="D352" t="s">
        <v>133</v>
      </c>
    </row>
    <row r="353" spans="1:4">
      <c r="A353">
        <v>20190323</v>
      </c>
      <c r="B353" t="s">
        <v>129</v>
      </c>
      <c r="C353" t="s">
        <v>130</v>
      </c>
      <c r="D353" t="s">
        <v>133</v>
      </c>
    </row>
    <row r="354" spans="1:4">
      <c r="A354">
        <v>20190324</v>
      </c>
      <c r="B354" t="s">
        <v>129</v>
      </c>
      <c r="C354" t="s">
        <v>130</v>
      </c>
      <c r="D354" t="s">
        <v>133</v>
      </c>
    </row>
    <row r="355" spans="1:4">
      <c r="A355">
        <v>20190330</v>
      </c>
      <c r="B355" t="s">
        <v>129</v>
      </c>
      <c r="C355" t="s">
        <v>133</v>
      </c>
    </row>
    <row r="356" spans="1:4">
      <c r="A356">
        <v>20190331</v>
      </c>
      <c r="B356" t="s">
        <v>129</v>
      </c>
      <c r="C356" t="s">
        <v>133</v>
      </c>
    </row>
    <row r="357" spans="1:4">
      <c r="A357">
        <v>20190406</v>
      </c>
      <c r="B357" t="s">
        <v>134</v>
      </c>
      <c r="C357" t="s">
        <v>129</v>
      </c>
      <c r="D357" t="s">
        <v>133</v>
      </c>
    </row>
    <row r="358" spans="1:4">
      <c r="A358">
        <v>20190407</v>
      </c>
      <c r="B358" t="s">
        <v>134</v>
      </c>
      <c r="C358" t="s">
        <v>129</v>
      </c>
      <c r="D358" t="s">
        <v>133</v>
      </c>
    </row>
    <row r="359" spans="1:4">
      <c r="A359">
        <v>20190413</v>
      </c>
      <c r="B359" t="s">
        <v>134</v>
      </c>
      <c r="C359" t="s">
        <v>129</v>
      </c>
      <c r="D359" t="s">
        <v>133</v>
      </c>
    </row>
    <row r="360" spans="1:4">
      <c r="A360">
        <v>20190414</v>
      </c>
      <c r="B360" t="s">
        <v>134</v>
      </c>
      <c r="C360" t="s">
        <v>129</v>
      </c>
      <c r="D360" t="s">
        <v>133</v>
      </c>
    </row>
    <row r="361" spans="1:4">
      <c r="A361">
        <v>20190420</v>
      </c>
      <c r="B361" t="s">
        <v>134</v>
      </c>
      <c r="C361" t="s">
        <v>131</v>
      </c>
      <c r="D361" t="s">
        <v>101</v>
      </c>
    </row>
    <row r="362" spans="1:4">
      <c r="A362">
        <v>20190421</v>
      </c>
      <c r="B362" t="s">
        <v>134</v>
      </c>
      <c r="C362" t="s">
        <v>131</v>
      </c>
      <c r="D362" t="s">
        <v>101</v>
      </c>
    </row>
    <row r="363" spans="1:4">
      <c r="A363">
        <v>20190427</v>
      </c>
      <c r="B363" t="s">
        <v>135</v>
      </c>
      <c r="C363" t="s">
        <v>131</v>
      </c>
    </row>
    <row r="364" spans="1:4">
      <c r="A364">
        <v>20190428</v>
      </c>
      <c r="B364" t="s">
        <v>131</v>
      </c>
      <c r="C364" t="s">
        <v>101</v>
      </c>
    </row>
    <row r="365" spans="1:4">
      <c r="A365">
        <v>20190429</v>
      </c>
      <c r="B365" t="s">
        <v>135</v>
      </c>
      <c r="C365" t="s">
        <v>101</v>
      </c>
    </row>
    <row r="366" spans="1:4">
      <c r="A366">
        <v>20190504</v>
      </c>
      <c r="B366" t="s">
        <v>135</v>
      </c>
      <c r="C366" t="s">
        <v>131</v>
      </c>
      <c r="D366" t="s">
        <v>101</v>
      </c>
    </row>
    <row r="367" spans="1:4">
      <c r="A367">
        <v>20190505</v>
      </c>
      <c r="B367" t="s">
        <v>135</v>
      </c>
      <c r="C367" t="s">
        <v>131</v>
      </c>
      <c r="D367" t="s">
        <v>101</v>
      </c>
    </row>
    <row r="368" spans="1:4">
      <c r="A368">
        <v>20190511</v>
      </c>
      <c r="B368" t="s">
        <v>135</v>
      </c>
      <c r="C368" t="s">
        <v>131</v>
      </c>
      <c r="D368" t="s">
        <v>101</v>
      </c>
    </row>
    <row r="369" spans="1:4">
      <c r="A369">
        <v>20190512</v>
      </c>
      <c r="B369" t="s">
        <v>135</v>
      </c>
      <c r="C369" t="s">
        <v>131</v>
      </c>
      <c r="D369" t="s">
        <v>101</v>
      </c>
    </row>
    <row r="370" spans="1:4">
      <c r="A370">
        <v>20190518</v>
      </c>
      <c r="B370" t="s">
        <v>135</v>
      </c>
      <c r="C370" t="s">
        <v>131</v>
      </c>
      <c r="D370" t="s">
        <v>101</v>
      </c>
    </row>
    <row r="371" spans="1:4">
      <c r="A371">
        <v>20190519</v>
      </c>
      <c r="B371" t="s">
        <v>135</v>
      </c>
      <c r="C371" t="s">
        <v>131</v>
      </c>
      <c r="D371" t="s">
        <v>101</v>
      </c>
    </row>
    <row r="372" spans="1:4">
      <c r="A372">
        <v>20190525</v>
      </c>
      <c r="B372" t="s">
        <v>131</v>
      </c>
      <c r="C372" t="s">
        <v>101</v>
      </c>
    </row>
    <row r="373" spans="1:4">
      <c r="A373">
        <v>20190526</v>
      </c>
      <c r="B373" t="s">
        <v>131</v>
      </c>
      <c r="C373" t="s">
        <v>101</v>
      </c>
    </row>
    <row r="374" spans="1:4">
      <c r="A374">
        <v>20190601</v>
      </c>
      <c r="B374" t="s">
        <v>131</v>
      </c>
      <c r="C374" t="s">
        <v>133</v>
      </c>
    </row>
    <row r="375" spans="1:4">
      <c r="A375">
        <v>20190602</v>
      </c>
      <c r="B375" t="s">
        <v>131</v>
      </c>
      <c r="C375" t="s">
        <v>133</v>
      </c>
    </row>
    <row r="376" spans="1:4">
      <c r="A376">
        <v>20190608</v>
      </c>
      <c r="B376" t="s">
        <v>131</v>
      </c>
      <c r="C376" t="s">
        <v>133</v>
      </c>
    </row>
    <row r="377" spans="1:4">
      <c r="A377">
        <v>20190609</v>
      </c>
      <c r="B377" t="s">
        <v>131</v>
      </c>
      <c r="C377" t="s">
        <v>133</v>
      </c>
    </row>
    <row r="378" spans="1:4">
      <c r="A378">
        <v>20190615</v>
      </c>
      <c r="B378" t="s">
        <v>136</v>
      </c>
      <c r="C378" t="s">
        <v>131</v>
      </c>
      <c r="D378" t="s">
        <v>133</v>
      </c>
    </row>
    <row r="379" spans="1:4">
      <c r="A379">
        <v>20190616</v>
      </c>
      <c r="B379" t="s">
        <v>136</v>
      </c>
      <c r="C379" t="s">
        <v>131</v>
      </c>
      <c r="D379" t="s">
        <v>133</v>
      </c>
    </row>
    <row r="380" spans="1:4">
      <c r="A380">
        <v>20190622</v>
      </c>
      <c r="B380" t="s">
        <v>136</v>
      </c>
      <c r="C380" t="s">
        <v>131</v>
      </c>
      <c r="D380" t="s">
        <v>133</v>
      </c>
    </row>
    <row r="381" spans="1:4">
      <c r="A381">
        <v>20190623</v>
      </c>
      <c r="B381" t="s">
        <v>136</v>
      </c>
      <c r="C381" t="s">
        <v>131</v>
      </c>
      <c r="D381" t="s">
        <v>133</v>
      </c>
    </row>
    <row r="382" spans="1:4">
      <c r="A382">
        <v>20190629</v>
      </c>
      <c r="B382" t="s">
        <v>136</v>
      </c>
      <c r="C382" t="s">
        <v>134</v>
      </c>
      <c r="D382" t="s">
        <v>130</v>
      </c>
    </row>
    <row r="383" spans="1:4">
      <c r="A383">
        <v>20190630</v>
      </c>
      <c r="B383" t="s">
        <v>136</v>
      </c>
      <c r="C383" t="s">
        <v>134</v>
      </c>
      <c r="D383" t="s">
        <v>130</v>
      </c>
    </row>
    <row r="384" spans="1:4">
      <c r="A384">
        <v>20190706</v>
      </c>
      <c r="B384" t="s">
        <v>136</v>
      </c>
      <c r="C384" t="s">
        <v>134</v>
      </c>
      <c r="D384" t="s">
        <v>130</v>
      </c>
    </row>
    <row r="385" spans="1:4">
      <c r="A385">
        <v>20190707</v>
      </c>
      <c r="B385" t="s">
        <v>136</v>
      </c>
      <c r="C385" t="s">
        <v>134</v>
      </c>
      <c r="D385" t="s">
        <v>130</v>
      </c>
    </row>
    <row r="386" spans="1:4">
      <c r="A386">
        <v>20190713</v>
      </c>
      <c r="B386" t="s">
        <v>136</v>
      </c>
      <c r="C386" t="s">
        <v>134</v>
      </c>
      <c r="D386" t="s">
        <v>130</v>
      </c>
    </row>
    <row r="387" spans="1:4">
      <c r="A387">
        <v>20190714</v>
      </c>
      <c r="B387" t="s">
        <v>136</v>
      </c>
      <c r="C387" t="s">
        <v>134</v>
      </c>
      <c r="D387" t="s">
        <v>130</v>
      </c>
    </row>
    <row r="388" spans="1:4">
      <c r="A388">
        <v>20190720</v>
      </c>
      <c r="B388" t="s">
        <v>136</v>
      </c>
      <c r="C388" t="s">
        <v>134</v>
      </c>
      <c r="D388" t="s">
        <v>130</v>
      </c>
    </row>
    <row r="389" spans="1:4">
      <c r="A389">
        <v>20190721</v>
      </c>
      <c r="B389" t="s">
        <v>136</v>
      </c>
      <c r="C389" t="s">
        <v>134</v>
      </c>
      <c r="D389" t="s">
        <v>130</v>
      </c>
    </row>
    <row r="390" spans="1:4">
      <c r="A390">
        <v>20190727</v>
      </c>
      <c r="B390" t="s">
        <v>137</v>
      </c>
      <c r="C390" t="s">
        <v>135</v>
      </c>
      <c r="D390" t="s">
        <v>132</v>
      </c>
    </row>
    <row r="391" spans="1:4">
      <c r="A391">
        <v>20190728</v>
      </c>
      <c r="B391" t="s">
        <v>137</v>
      </c>
      <c r="C391" t="s">
        <v>135</v>
      </c>
      <c r="D391" t="s">
        <v>132</v>
      </c>
    </row>
    <row r="392" spans="1:4">
      <c r="A392">
        <v>20190803</v>
      </c>
      <c r="B392" t="s">
        <v>137</v>
      </c>
      <c r="C392" t="s">
        <v>135</v>
      </c>
      <c r="D392" t="s">
        <v>132</v>
      </c>
    </row>
    <row r="393" spans="1:4">
      <c r="A393">
        <v>20190804</v>
      </c>
      <c r="B393" t="s">
        <v>137</v>
      </c>
      <c r="C393" t="s">
        <v>135</v>
      </c>
      <c r="D393" t="s">
        <v>132</v>
      </c>
    </row>
    <row r="394" spans="1:4">
      <c r="A394">
        <v>20190810</v>
      </c>
      <c r="B394" t="s">
        <v>137</v>
      </c>
      <c r="C394" t="s">
        <v>135</v>
      </c>
      <c r="D394" t="s">
        <v>132</v>
      </c>
    </row>
    <row r="395" spans="1:4">
      <c r="A395">
        <v>20190811</v>
      </c>
      <c r="B395" t="s">
        <v>137</v>
      </c>
      <c r="C395" t="s">
        <v>135</v>
      </c>
      <c r="D395" t="s">
        <v>132</v>
      </c>
    </row>
    <row r="396" spans="1:4">
      <c r="A396">
        <v>20190817</v>
      </c>
      <c r="B396" t="s">
        <v>137</v>
      </c>
      <c r="C396" t="s">
        <v>135</v>
      </c>
      <c r="D396" t="s">
        <v>132</v>
      </c>
    </row>
    <row r="397" spans="1:4">
      <c r="A397">
        <v>20190818</v>
      </c>
      <c r="B397" t="s">
        <v>137</v>
      </c>
      <c r="C397" t="s">
        <v>135</v>
      </c>
      <c r="D397" t="s">
        <v>132</v>
      </c>
    </row>
    <row r="398" spans="1:4">
      <c r="A398">
        <v>20190824</v>
      </c>
      <c r="B398" t="s">
        <v>137</v>
      </c>
      <c r="C398" t="s">
        <v>135</v>
      </c>
      <c r="D398" t="s">
        <v>132</v>
      </c>
    </row>
    <row r="399" spans="1:4">
      <c r="A399">
        <v>20190825</v>
      </c>
      <c r="B399" t="s">
        <v>137</v>
      </c>
      <c r="C399" t="s">
        <v>135</v>
      </c>
      <c r="D399" t="s">
        <v>132</v>
      </c>
    </row>
    <row r="400" spans="1:4">
      <c r="A400">
        <v>20190831</v>
      </c>
      <c r="B400" t="s">
        <v>137</v>
      </c>
      <c r="C400" t="s">
        <v>135</v>
      </c>
      <c r="D400" t="s">
        <v>132</v>
      </c>
    </row>
    <row r="401" spans="1:4">
      <c r="A401">
        <v>20190901</v>
      </c>
      <c r="B401" t="s">
        <v>137</v>
      </c>
      <c r="C401" t="s">
        <v>135</v>
      </c>
      <c r="D401" t="s">
        <v>132</v>
      </c>
    </row>
    <row r="402" spans="1:4">
      <c r="A402">
        <v>20190907</v>
      </c>
      <c r="B402" t="s">
        <v>129</v>
      </c>
      <c r="C402" t="s">
        <v>133</v>
      </c>
    </row>
    <row r="403" spans="1:4">
      <c r="A403">
        <v>20190908</v>
      </c>
      <c r="B403" t="s">
        <v>129</v>
      </c>
      <c r="C403" t="s">
        <v>133</v>
      </c>
    </row>
    <row r="404" spans="1:4">
      <c r="A404">
        <v>20190914</v>
      </c>
      <c r="B404" t="s">
        <v>129</v>
      </c>
      <c r="C404" t="s">
        <v>133</v>
      </c>
    </row>
    <row r="405" spans="1:4">
      <c r="A405">
        <v>20190915</v>
      </c>
      <c r="B405" t="s">
        <v>129</v>
      </c>
      <c r="C405" t="s">
        <v>133</v>
      </c>
    </row>
    <row r="406" spans="1:4">
      <c r="A406">
        <v>20190916</v>
      </c>
      <c r="B406" t="s">
        <v>129</v>
      </c>
      <c r="C406" t="s">
        <v>133</v>
      </c>
    </row>
    <row r="407" spans="1:4">
      <c r="A407">
        <v>20190921</v>
      </c>
      <c r="B407" t="s">
        <v>129</v>
      </c>
      <c r="C407" t="s">
        <v>133</v>
      </c>
    </row>
    <row r="408" spans="1:4">
      <c r="A408">
        <v>20190922</v>
      </c>
      <c r="B408" t="s">
        <v>129</v>
      </c>
      <c r="C408" t="s">
        <v>133</v>
      </c>
    </row>
    <row r="409" spans="1:4">
      <c r="A409">
        <v>20190928</v>
      </c>
      <c r="B409" t="s">
        <v>129</v>
      </c>
      <c r="C409" t="s">
        <v>133</v>
      </c>
    </row>
    <row r="410" spans="1:4">
      <c r="A410">
        <v>20190929</v>
      </c>
      <c r="B410" t="s">
        <v>129</v>
      </c>
      <c r="C410" t="s">
        <v>133</v>
      </c>
    </row>
    <row r="411" spans="1:4">
      <c r="A411">
        <v>20191005</v>
      </c>
      <c r="B411" t="s">
        <v>135</v>
      </c>
      <c r="C411" t="s">
        <v>131</v>
      </c>
      <c r="D411" t="s">
        <v>101</v>
      </c>
    </row>
    <row r="412" spans="1:4">
      <c r="A412">
        <v>20191006</v>
      </c>
      <c r="B412" t="s">
        <v>135</v>
      </c>
      <c r="C412" t="s">
        <v>131</v>
      </c>
      <c r="D412" t="s">
        <v>101</v>
      </c>
    </row>
    <row r="413" spans="1:4">
      <c r="A413">
        <v>20191012</v>
      </c>
      <c r="B413" t="s">
        <v>131</v>
      </c>
      <c r="C413" t="s">
        <v>101</v>
      </c>
    </row>
    <row r="414" spans="1:4">
      <c r="A414">
        <v>20191013</v>
      </c>
      <c r="B414" t="s">
        <v>131</v>
      </c>
      <c r="C414" t="s">
        <v>101</v>
      </c>
    </row>
    <row r="415" spans="1:4">
      <c r="A415">
        <v>20191014</v>
      </c>
      <c r="B415" t="s">
        <v>131</v>
      </c>
      <c r="C415" t="s">
        <v>101</v>
      </c>
    </row>
    <row r="416" spans="1:4">
      <c r="A416">
        <v>20191015</v>
      </c>
      <c r="B416" t="s">
        <v>131</v>
      </c>
    </row>
    <row r="417" spans="1:4">
      <c r="A417">
        <v>20191019</v>
      </c>
      <c r="B417" t="s">
        <v>135</v>
      </c>
      <c r="C417" t="s">
        <v>131</v>
      </c>
      <c r="D417" t="s">
        <v>101</v>
      </c>
    </row>
    <row r="418" spans="1:4">
      <c r="A418">
        <v>20191020</v>
      </c>
      <c r="B418" t="s">
        <v>135</v>
      </c>
      <c r="C418" t="s">
        <v>131</v>
      </c>
      <c r="D418" t="s">
        <v>101</v>
      </c>
    </row>
    <row r="419" spans="1:4">
      <c r="A419">
        <v>20191021</v>
      </c>
      <c r="B419" t="s">
        <v>131</v>
      </c>
    </row>
    <row r="420" spans="1:4">
      <c r="A420">
        <v>20191026</v>
      </c>
      <c r="B420" t="s">
        <v>135</v>
      </c>
      <c r="C420" t="s">
        <v>131</v>
      </c>
      <c r="D420" t="s">
        <v>101</v>
      </c>
    </row>
    <row r="421" spans="1:4">
      <c r="A421">
        <v>20191027</v>
      </c>
      <c r="B421" t="s">
        <v>135</v>
      </c>
      <c r="C421" t="s">
        <v>131</v>
      </c>
      <c r="D421" t="s">
        <v>101</v>
      </c>
    </row>
    <row r="422" spans="1:4">
      <c r="A422">
        <v>20191102</v>
      </c>
      <c r="B422" t="s">
        <v>134</v>
      </c>
      <c r="C422" t="s">
        <v>131</v>
      </c>
      <c r="D422" t="s">
        <v>101</v>
      </c>
    </row>
    <row r="423" spans="1:4">
      <c r="A423">
        <v>20191103</v>
      </c>
      <c r="B423" t="s">
        <v>134</v>
      </c>
      <c r="C423" t="s">
        <v>131</v>
      </c>
      <c r="D423" t="s">
        <v>101</v>
      </c>
    </row>
    <row r="424" spans="1:4">
      <c r="A424">
        <v>20191109</v>
      </c>
      <c r="B424" t="s">
        <v>134</v>
      </c>
      <c r="C424" t="s">
        <v>131</v>
      </c>
      <c r="D424" t="s">
        <v>101</v>
      </c>
    </row>
    <row r="425" spans="1:4">
      <c r="A425">
        <v>20191110</v>
      </c>
      <c r="B425" t="s">
        <v>134</v>
      </c>
      <c r="C425" t="s">
        <v>131</v>
      </c>
      <c r="D425" t="s">
        <v>101</v>
      </c>
    </row>
    <row r="426" spans="1:4">
      <c r="A426">
        <v>20191116</v>
      </c>
      <c r="B426" t="s">
        <v>134</v>
      </c>
      <c r="C426" t="s">
        <v>131</v>
      </c>
      <c r="D426" t="s">
        <v>101</v>
      </c>
    </row>
    <row r="427" spans="1:4">
      <c r="A427">
        <v>20191117</v>
      </c>
      <c r="B427" t="s">
        <v>134</v>
      </c>
      <c r="C427" t="s">
        <v>131</v>
      </c>
      <c r="D427" t="s">
        <v>101</v>
      </c>
    </row>
    <row r="428" spans="1:4">
      <c r="A428">
        <v>20191123</v>
      </c>
      <c r="B428" t="s">
        <v>131</v>
      </c>
      <c r="C428" t="s">
        <v>101</v>
      </c>
    </row>
    <row r="429" spans="1:4">
      <c r="A429">
        <v>20191124</v>
      </c>
      <c r="B429" t="s">
        <v>131</v>
      </c>
      <c r="C429" t="s">
        <v>101</v>
      </c>
    </row>
    <row r="430" spans="1:4">
      <c r="A430">
        <v>20191130</v>
      </c>
      <c r="B430" t="s">
        <v>129</v>
      </c>
      <c r="C430" t="s">
        <v>130</v>
      </c>
      <c r="D430" t="s">
        <v>133</v>
      </c>
    </row>
    <row r="431" spans="1:4">
      <c r="A431">
        <v>20191201</v>
      </c>
      <c r="B431" t="s">
        <v>129</v>
      </c>
      <c r="C431" t="s">
        <v>130</v>
      </c>
      <c r="D431" t="s">
        <v>133</v>
      </c>
    </row>
    <row r="432" spans="1:4">
      <c r="A432">
        <v>20191207</v>
      </c>
      <c r="B432" t="s">
        <v>129</v>
      </c>
      <c r="C432" t="s">
        <v>130</v>
      </c>
      <c r="D432" t="s">
        <v>133</v>
      </c>
    </row>
    <row r="433" spans="1:4">
      <c r="A433">
        <v>20191208</v>
      </c>
      <c r="B433" t="s">
        <v>129</v>
      </c>
      <c r="C433" t="s">
        <v>130</v>
      </c>
      <c r="D433" t="s">
        <v>133</v>
      </c>
    </row>
    <row r="434" spans="1:4">
      <c r="A434">
        <v>20191214</v>
      </c>
      <c r="B434" t="s">
        <v>129</v>
      </c>
      <c r="C434" t="s">
        <v>130</v>
      </c>
      <c r="D434" t="s">
        <v>133</v>
      </c>
    </row>
    <row r="435" spans="1:4">
      <c r="A435">
        <v>20191215</v>
      </c>
      <c r="B435" t="s">
        <v>129</v>
      </c>
      <c r="C435" t="s">
        <v>130</v>
      </c>
      <c r="D435" t="s">
        <v>133</v>
      </c>
    </row>
    <row r="436" spans="1:4">
      <c r="A436">
        <v>20191221</v>
      </c>
      <c r="B436" t="s">
        <v>129</v>
      </c>
      <c r="C436" t="s">
        <v>133</v>
      </c>
    </row>
    <row r="437" spans="1:4">
      <c r="A437">
        <v>20191222</v>
      </c>
      <c r="B437" t="s">
        <v>129</v>
      </c>
      <c r="C437" t="s">
        <v>133</v>
      </c>
    </row>
    <row r="438" spans="1:4">
      <c r="A438">
        <v>20191228</v>
      </c>
      <c r="B438" t="s">
        <v>129</v>
      </c>
      <c r="C438" t="s">
        <v>133</v>
      </c>
    </row>
    <row r="439" spans="1:4">
      <c r="A439">
        <v>20200105</v>
      </c>
      <c r="B439" t="s">
        <v>146</v>
      </c>
      <c r="C439" t="s">
        <v>147</v>
      </c>
    </row>
    <row r="440" spans="1:4">
      <c r="A440">
        <v>20200106</v>
      </c>
      <c r="B440" t="s">
        <v>146</v>
      </c>
      <c r="C440" t="s">
        <v>147</v>
      </c>
    </row>
    <row r="441" spans="1:4">
      <c r="A441">
        <v>20200111</v>
      </c>
      <c r="B441" t="s">
        <v>146</v>
      </c>
      <c r="C441" t="s">
        <v>147</v>
      </c>
    </row>
    <row r="442" spans="1:4">
      <c r="A442">
        <v>20200112</v>
      </c>
      <c r="B442" t="s">
        <v>146</v>
      </c>
      <c r="C442" t="s">
        <v>147</v>
      </c>
    </row>
    <row r="443" spans="1:4">
      <c r="A443">
        <v>20200113</v>
      </c>
      <c r="B443" t="s">
        <v>146</v>
      </c>
      <c r="C443" t="s">
        <v>147</v>
      </c>
    </row>
    <row r="444" spans="1:4">
      <c r="A444">
        <v>20200118</v>
      </c>
      <c r="B444" t="s">
        <v>146</v>
      </c>
      <c r="C444" t="s">
        <v>147</v>
      </c>
      <c r="D444" t="s">
        <v>148</v>
      </c>
    </row>
    <row r="445" spans="1:4">
      <c r="A445">
        <v>20200119</v>
      </c>
      <c r="B445" t="s">
        <v>146</v>
      </c>
      <c r="C445" t="s">
        <v>147</v>
      </c>
      <c r="D445" t="s">
        <v>148</v>
      </c>
    </row>
    <row r="446" spans="1:4">
      <c r="A446">
        <v>20200125</v>
      </c>
      <c r="B446" t="s">
        <v>146</v>
      </c>
      <c r="C446" t="s">
        <v>147</v>
      </c>
      <c r="D446" t="s">
        <v>148</v>
      </c>
    </row>
    <row r="447" spans="1:4">
      <c r="A447">
        <v>20200126</v>
      </c>
      <c r="B447" t="s">
        <v>146</v>
      </c>
      <c r="C447" t="s">
        <v>147</v>
      </c>
      <c r="D447" t="s">
        <v>148</v>
      </c>
    </row>
    <row r="448" spans="1:4">
      <c r="A448">
        <v>20200201</v>
      </c>
      <c r="B448" t="s">
        <v>149</v>
      </c>
      <c r="C448" t="s">
        <v>147</v>
      </c>
      <c r="D448" t="s">
        <v>148</v>
      </c>
    </row>
    <row r="449" spans="1:4">
      <c r="A449">
        <v>20200202</v>
      </c>
      <c r="B449" t="s">
        <v>149</v>
      </c>
      <c r="C449" t="s">
        <v>147</v>
      </c>
      <c r="D449" t="s">
        <v>148</v>
      </c>
    </row>
    <row r="450" spans="1:4">
      <c r="A450">
        <v>20200208</v>
      </c>
      <c r="B450" t="s">
        <v>149</v>
      </c>
      <c r="C450" t="s">
        <v>147</v>
      </c>
      <c r="D450" t="s">
        <v>148</v>
      </c>
    </row>
    <row r="451" spans="1:4">
      <c r="A451">
        <v>20200209</v>
      </c>
      <c r="B451" t="s">
        <v>149</v>
      </c>
      <c r="C451" t="s">
        <v>147</v>
      </c>
      <c r="D451" t="s">
        <v>148</v>
      </c>
    </row>
    <row r="452" spans="1:4">
      <c r="A452">
        <v>20200215</v>
      </c>
      <c r="B452" t="s">
        <v>149</v>
      </c>
      <c r="C452" t="s">
        <v>147</v>
      </c>
      <c r="D452" t="s">
        <v>148</v>
      </c>
    </row>
    <row r="453" spans="1:4">
      <c r="A453">
        <v>20200216</v>
      </c>
      <c r="B453" t="s">
        <v>149</v>
      </c>
      <c r="C453" t="s">
        <v>147</v>
      </c>
      <c r="D453" t="s">
        <v>148</v>
      </c>
    </row>
    <row r="454" spans="1:4">
      <c r="A454">
        <v>20200222</v>
      </c>
      <c r="B454" t="s">
        <v>149</v>
      </c>
      <c r="C454" t="s">
        <v>147</v>
      </c>
      <c r="D454" t="s">
        <v>148</v>
      </c>
    </row>
    <row r="455" spans="1:4">
      <c r="A455">
        <v>20200223</v>
      </c>
      <c r="B455" t="s">
        <v>149</v>
      </c>
      <c r="C455" t="s">
        <v>147</v>
      </c>
      <c r="D455" t="s">
        <v>148</v>
      </c>
    </row>
    <row r="456" spans="1:4">
      <c r="A456">
        <v>20200229</v>
      </c>
      <c r="B456" t="s">
        <v>146</v>
      </c>
      <c r="C456" t="s">
        <v>150</v>
      </c>
      <c r="D456" t="s">
        <v>151</v>
      </c>
    </row>
    <row r="457" spans="1:4">
      <c r="A457">
        <v>20200301</v>
      </c>
      <c r="B457" t="s">
        <v>146</v>
      </c>
      <c r="C457" t="s">
        <v>150</v>
      </c>
      <c r="D457" t="s">
        <v>151</v>
      </c>
    </row>
    <row r="458" spans="1:4">
      <c r="A458">
        <v>20200307</v>
      </c>
      <c r="B458" t="s">
        <v>146</v>
      </c>
      <c r="C458" t="s">
        <v>150</v>
      </c>
      <c r="D458" t="s">
        <v>151</v>
      </c>
    </row>
    <row r="459" spans="1:4">
      <c r="A459">
        <v>20200308</v>
      </c>
      <c r="B459" t="s">
        <v>146</v>
      </c>
      <c r="C459" t="s">
        <v>150</v>
      </c>
      <c r="D459" t="s">
        <v>151</v>
      </c>
    </row>
    <row r="460" spans="1:4">
      <c r="A460">
        <v>20200314</v>
      </c>
      <c r="B460" t="s">
        <v>146</v>
      </c>
      <c r="C460" t="s">
        <v>150</v>
      </c>
      <c r="D460" t="s">
        <v>151</v>
      </c>
    </row>
    <row r="461" spans="1:4">
      <c r="A461">
        <v>20200315</v>
      </c>
      <c r="B461" t="s">
        <v>146</v>
      </c>
      <c r="C461" t="s">
        <v>150</v>
      </c>
      <c r="D461" t="s">
        <v>151</v>
      </c>
    </row>
    <row r="462" spans="1:4">
      <c r="A462">
        <v>20200320</v>
      </c>
      <c r="B462" t="s">
        <v>146</v>
      </c>
      <c r="C462" t="s">
        <v>151</v>
      </c>
    </row>
    <row r="463" spans="1:4">
      <c r="A463">
        <v>20200321</v>
      </c>
      <c r="B463" t="s">
        <v>146</v>
      </c>
      <c r="C463" t="s">
        <v>151</v>
      </c>
    </row>
    <row r="464" spans="1:4">
      <c r="A464">
        <v>20200322</v>
      </c>
      <c r="B464" t="s">
        <v>146</v>
      </c>
      <c r="C464" t="s">
        <v>151</v>
      </c>
    </row>
    <row r="465" spans="1:4">
      <c r="A465">
        <v>20200328</v>
      </c>
      <c r="B465" t="s">
        <v>146</v>
      </c>
      <c r="C465" t="s">
        <v>150</v>
      </c>
      <c r="D465" t="s">
        <v>151</v>
      </c>
    </row>
    <row r="466" spans="1:4">
      <c r="A466">
        <v>20200329</v>
      </c>
      <c r="B466" t="s">
        <v>146</v>
      </c>
      <c r="C466" t="s">
        <v>150</v>
      </c>
      <c r="D466" t="s">
        <v>151</v>
      </c>
    </row>
    <row r="467" spans="1:4">
      <c r="A467">
        <v>20200331</v>
      </c>
      <c r="B467" t="s">
        <v>129</v>
      </c>
    </row>
    <row r="468" spans="1:4">
      <c r="A468">
        <v>20200404</v>
      </c>
      <c r="B468" t="s">
        <v>146</v>
      </c>
      <c r="C468" t="s">
        <v>151</v>
      </c>
    </row>
    <row r="469" spans="1:4">
      <c r="A469">
        <v>20200405</v>
      </c>
      <c r="B469" t="s">
        <v>146</v>
      </c>
      <c r="C469" t="s">
        <v>151</v>
      </c>
    </row>
    <row r="470" spans="1:4">
      <c r="A470">
        <v>20200411</v>
      </c>
      <c r="B470" t="s">
        <v>152</v>
      </c>
      <c r="C470" t="s">
        <v>146</v>
      </c>
      <c r="D470" t="s">
        <v>151</v>
      </c>
    </row>
    <row r="471" spans="1:4">
      <c r="A471">
        <v>20200412</v>
      </c>
      <c r="B471" t="s">
        <v>152</v>
      </c>
      <c r="C471" t="s">
        <v>146</v>
      </c>
      <c r="D471" t="s">
        <v>151</v>
      </c>
    </row>
    <row r="472" spans="1:4">
      <c r="A472">
        <v>20200418</v>
      </c>
      <c r="B472" t="s">
        <v>152</v>
      </c>
      <c r="C472" t="s">
        <v>146</v>
      </c>
      <c r="D472" t="s">
        <v>151</v>
      </c>
    </row>
    <row r="473" spans="1:4">
      <c r="A473">
        <v>20200419</v>
      </c>
      <c r="B473" t="s">
        <v>152</v>
      </c>
      <c r="C473" t="s">
        <v>146</v>
      </c>
      <c r="D473" t="s">
        <v>151</v>
      </c>
    </row>
    <row r="474" spans="1:4">
      <c r="A474">
        <v>20200425</v>
      </c>
      <c r="B474" t="s">
        <v>152</v>
      </c>
      <c r="C474" t="s">
        <v>149</v>
      </c>
      <c r="D474" t="s">
        <v>147</v>
      </c>
    </row>
    <row r="475" spans="1:4">
      <c r="A475">
        <v>20200426</v>
      </c>
      <c r="B475" t="s">
        <v>152</v>
      </c>
      <c r="C475" t="s">
        <v>149</v>
      </c>
      <c r="D475" t="s">
        <v>147</v>
      </c>
    </row>
    <row r="476" spans="1:4">
      <c r="A476">
        <v>20200502</v>
      </c>
      <c r="B476" t="s">
        <v>152</v>
      </c>
      <c r="C476" t="s">
        <v>149</v>
      </c>
      <c r="D476" t="s">
        <v>147</v>
      </c>
    </row>
    <row r="477" spans="1:4">
      <c r="A477">
        <v>20200503</v>
      </c>
      <c r="B477" t="s">
        <v>152</v>
      </c>
      <c r="C477" t="s">
        <v>149</v>
      </c>
      <c r="D477" t="s">
        <v>147</v>
      </c>
    </row>
    <row r="478" spans="1:4">
      <c r="A478">
        <v>20200509</v>
      </c>
      <c r="B478" t="s">
        <v>153</v>
      </c>
      <c r="C478" t="s">
        <v>149</v>
      </c>
      <c r="D478" t="s">
        <v>147</v>
      </c>
    </row>
    <row r="479" spans="1:4">
      <c r="A479">
        <v>20200510</v>
      </c>
      <c r="B479" t="s">
        <v>153</v>
      </c>
      <c r="C479" t="s">
        <v>149</v>
      </c>
      <c r="D479" t="s">
        <v>147</v>
      </c>
    </row>
    <row r="480" spans="1:4">
      <c r="A480">
        <v>20200516</v>
      </c>
      <c r="B480" t="s">
        <v>153</v>
      </c>
      <c r="C480" t="s">
        <v>149</v>
      </c>
      <c r="D480" t="s">
        <v>147</v>
      </c>
    </row>
    <row r="481" spans="1:4">
      <c r="A481">
        <v>20200517</v>
      </c>
      <c r="B481" t="s">
        <v>153</v>
      </c>
      <c r="C481" t="s">
        <v>149</v>
      </c>
      <c r="D481" t="s">
        <v>147</v>
      </c>
    </row>
    <row r="482" spans="1:4">
      <c r="A482">
        <v>20200523</v>
      </c>
      <c r="B482" t="s">
        <v>153</v>
      </c>
      <c r="C482" t="s">
        <v>149</v>
      </c>
      <c r="D482" t="s">
        <v>147</v>
      </c>
    </row>
    <row r="483" spans="1:4">
      <c r="A483">
        <v>20200524</v>
      </c>
      <c r="B483" t="s">
        <v>153</v>
      </c>
      <c r="C483" t="s">
        <v>149</v>
      </c>
      <c r="D483" t="s">
        <v>147</v>
      </c>
    </row>
    <row r="484" spans="1:4">
      <c r="A484">
        <v>20200530</v>
      </c>
      <c r="B484" t="s">
        <v>149</v>
      </c>
      <c r="C484" t="s">
        <v>147</v>
      </c>
    </row>
    <row r="485" spans="1:4">
      <c r="A485">
        <v>20200531</v>
      </c>
      <c r="B485" t="s">
        <v>149</v>
      </c>
      <c r="C485" t="s">
        <v>147</v>
      </c>
    </row>
    <row r="486" spans="1:4">
      <c r="A486">
        <v>20200606</v>
      </c>
      <c r="B486" t="s">
        <v>149</v>
      </c>
      <c r="C486" t="s">
        <v>151</v>
      </c>
    </row>
    <row r="487" spans="1:4">
      <c r="A487">
        <v>20200607</v>
      </c>
      <c r="B487" t="s">
        <v>149</v>
      </c>
      <c r="C487" t="s">
        <v>151</v>
      </c>
    </row>
    <row r="488" spans="1:4">
      <c r="A488">
        <v>20200613</v>
      </c>
      <c r="B488" t="s">
        <v>154</v>
      </c>
      <c r="C488" t="s">
        <v>149</v>
      </c>
      <c r="D488" t="s">
        <v>151</v>
      </c>
    </row>
    <row r="489" spans="1:4">
      <c r="A489">
        <v>20200614</v>
      </c>
      <c r="B489" t="s">
        <v>154</v>
      </c>
      <c r="C489" t="s">
        <v>149</v>
      </c>
      <c r="D489" t="s">
        <v>151</v>
      </c>
    </row>
    <row r="490" spans="1:4">
      <c r="A490">
        <v>20200620</v>
      </c>
      <c r="B490" t="s">
        <v>154</v>
      </c>
      <c r="C490" t="s">
        <v>149</v>
      </c>
      <c r="D490" t="s">
        <v>151</v>
      </c>
    </row>
    <row r="491" spans="1:4">
      <c r="A491">
        <v>20200621</v>
      </c>
      <c r="B491" t="s">
        <v>154</v>
      </c>
      <c r="C491" t="s">
        <v>149</v>
      </c>
      <c r="D491" t="s">
        <v>151</v>
      </c>
    </row>
    <row r="492" spans="1:4">
      <c r="A492">
        <v>20200627</v>
      </c>
      <c r="B492" t="s">
        <v>154</v>
      </c>
      <c r="C492" t="s">
        <v>149</v>
      </c>
      <c r="D492" t="s">
        <v>151</v>
      </c>
    </row>
    <row r="493" spans="1:4">
      <c r="A493">
        <v>20200628</v>
      </c>
      <c r="B493" t="s">
        <v>154</v>
      </c>
      <c r="C493" t="s">
        <v>149</v>
      </c>
      <c r="D493" t="s">
        <v>151</v>
      </c>
    </row>
    <row r="494" spans="1:4">
      <c r="A494">
        <v>20200704</v>
      </c>
      <c r="B494" t="s">
        <v>154</v>
      </c>
      <c r="C494" t="s">
        <v>152</v>
      </c>
      <c r="D494" t="s">
        <v>151</v>
      </c>
    </row>
    <row r="495" spans="1:4">
      <c r="A495">
        <v>20200705</v>
      </c>
      <c r="B495" t="s">
        <v>154</v>
      </c>
      <c r="C495" t="s">
        <v>152</v>
      </c>
      <c r="D495" t="s">
        <v>151</v>
      </c>
    </row>
    <row r="496" spans="1:4">
      <c r="A496">
        <v>20200711</v>
      </c>
      <c r="B496" t="s">
        <v>154</v>
      </c>
      <c r="C496" t="s">
        <v>152</v>
      </c>
      <c r="D496" t="s">
        <v>151</v>
      </c>
    </row>
    <row r="497" spans="1:4">
      <c r="A497">
        <v>20200712</v>
      </c>
      <c r="B497" t="s">
        <v>154</v>
      </c>
      <c r="C497" t="s">
        <v>152</v>
      </c>
      <c r="D497" t="s">
        <v>151</v>
      </c>
    </row>
    <row r="498" spans="1:4">
      <c r="A498">
        <v>20200718</v>
      </c>
      <c r="B498" t="s">
        <v>154</v>
      </c>
      <c r="C498" t="s">
        <v>152</v>
      </c>
      <c r="D498" t="s">
        <v>151</v>
      </c>
    </row>
    <row r="499" spans="1:4">
      <c r="A499">
        <v>20200719</v>
      </c>
      <c r="B499" t="s">
        <v>154</v>
      </c>
      <c r="C499" t="s">
        <v>152</v>
      </c>
      <c r="D499" t="s">
        <v>151</v>
      </c>
    </row>
    <row r="500" spans="1:4">
      <c r="A500">
        <v>20200725</v>
      </c>
      <c r="B500" t="s">
        <v>155</v>
      </c>
      <c r="C500" t="s">
        <v>153</v>
      </c>
    </row>
    <row r="501" spans="1:4">
      <c r="A501">
        <v>20200726</v>
      </c>
      <c r="B501" t="s">
        <v>155</v>
      </c>
      <c r="C501" t="s">
        <v>153</v>
      </c>
    </row>
    <row r="502" spans="1:4">
      <c r="A502">
        <v>20200801</v>
      </c>
      <c r="B502" t="s">
        <v>155</v>
      </c>
      <c r="C502" t="s">
        <v>153</v>
      </c>
    </row>
    <row r="503" spans="1:4">
      <c r="A503">
        <v>20200802</v>
      </c>
      <c r="B503" t="s">
        <v>155</v>
      </c>
      <c r="C503" t="s">
        <v>153</v>
      </c>
    </row>
    <row r="504" spans="1:4">
      <c r="A504">
        <v>20200808</v>
      </c>
      <c r="B504" t="s">
        <v>155</v>
      </c>
      <c r="C504" t="s">
        <v>153</v>
      </c>
    </row>
    <row r="505" spans="1:4">
      <c r="A505">
        <v>20200809</v>
      </c>
      <c r="B505" t="s">
        <v>155</v>
      </c>
      <c r="C505" t="s">
        <v>153</v>
      </c>
    </row>
    <row r="506" spans="1:4">
      <c r="A506">
        <v>20200815</v>
      </c>
      <c r="B506" t="s">
        <v>155</v>
      </c>
      <c r="C506" t="s">
        <v>153</v>
      </c>
      <c r="D506" t="s">
        <v>148</v>
      </c>
    </row>
    <row r="507" spans="1:4">
      <c r="A507">
        <v>20200816</v>
      </c>
      <c r="B507" t="s">
        <v>155</v>
      </c>
      <c r="C507" t="s">
        <v>153</v>
      </c>
      <c r="D507" t="s">
        <v>148</v>
      </c>
    </row>
    <row r="508" spans="1:4">
      <c r="A508">
        <v>20200822</v>
      </c>
      <c r="B508" t="s">
        <v>155</v>
      </c>
      <c r="C508" t="s">
        <v>153</v>
      </c>
      <c r="D508" t="s">
        <v>148</v>
      </c>
    </row>
    <row r="509" spans="1:4">
      <c r="A509">
        <v>20200823</v>
      </c>
      <c r="B509" t="s">
        <v>155</v>
      </c>
      <c r="C509" t="s">
        <v>153</v>
      </c>
      <c r="D509" t="s">
        <v>148</v>
      </c>
    </row>
    <row r="510" spans="1:4">
      <c r="A510">
        <v>20200829</v>
      </c>
      <c r="B510" t="s">
        <v>155</v>
      </c>
      <c r="C510" t="s">
        <v>153</v>
      </c>
      <c r="D510" t="s">
        <v>148</v>
      </c>
    </row>
    <row r="511" spans="1:4">
      <c r="A511">
        <v>20200830</v>
      </c>
      <c r="B511" t="s">
        <v>155</v>
      </c>
      <c r="C511" t="s">
        <v>153</v>
      </c>
      <c r="D511" t="s">
        <v>148</v>
      </c>
    </row>
    <row r="512" spans="1:4">
      <c r="A512">
        <v>20200905</v>
      </c>
      <c r="B512" t="s">
        <v>155</v>
      </c>
      <c r="C512" t="s">
        <v>153</v>
      </c>
      <c r="D512" t="s">
        <v>148</v>
      </c>
    </row>
    <row r="513" spans="1:4">
      <c r="A513">
        <v>20200906</v>
      </c>
      <c r="B513" t="s">
        <v>155</v>
      </c>
      <c r="C513" t="s">
        <v>153</v>
      </c>
      <c r="D513" t="s">
        <v>148</v>
      </c>
    </row>
    <row r="514" spans="1:4">
      <c r="A514">
        <v>20200912</v>
      </c>
      <c r="B514" t="s">
        <v>146</v>
      </c>
      <c r="C514" t="s">
        <v>150</v>
      </c>
    </row>
    <row r="515" spans="1:4">
      <c r="A515">
        <v>20200913</v>
      </c>
      <c r="B515" t="s">
        <v>146</v>
      </c>
      <c r="C515" t="s">
        <v>150</v>
      </c>
    </row>
    <row r="516" spans="1:4">
      <c r="A516">
        <v>20200919</v>
      </c>
      <c r="B516" t="s">
        <v>146</v>
      </c>
      <c r="C516" t="s">
        <v>150</v>
      </c>
    </row>
    <row r="517" spans="1:4">
      <c r="A517">
        <v>20200920</v>
      </c>
      <c r="B517" t="s">
        <v>146</v>
      </c>
      <c r="C517" t="s">
        <v>150</v>
      </c>
    </row>
    <row r="518" spans="1:4">
      <c r="A518">
        <v>20200921</v>
      </c>
      <c r="B518" t="s">
        <v>146</v>
      </c>
      <c r="C518" t="s">
        <v>150</v>
      </c>
    </row>
    <row r="519" spans="1:4">
      <c r="A519">
        <v>20200926</v>
      </c>
      <c r="B519" t="s">
        <v>146</v>
      </c>
      <c r="C519" t="s">
        <v>150</v>
      </c>
    </row>
    <row r="520" spans="1:4">
      <c r="A520">
        <v>20200927</v>
      </c>
      <c r="B520" t="s">
        <v>146</v>
      </c>
      <c r="C520" t="s">
        <v>150</v>
      </c>
    </row>
    <row r="521" spans="1:4">
      <c r="A521">
        <v>20201003</v>
      </c>
      <c r="B521" t="s">
        <v>146</v>
      </c>
      <c r="C521" t="s">
        <v>150</v>
      </c>
    </row>
    <row r="522" spans="1:4">
      <c r="A522">
        <v>20201004</v>
      </c>
      <c r="B522" t="s">
        <v>146</v>
      </c>
      <c r="C522" t="s">
        <v>150</v>
      </c>
    </row>
    <row r="523" spans="1:4">
      <c r="A523">
        <v>20201010</v>
      </c>
      <c r="B523" t="s">
        <v>153</v>
      </c>
      <c r="C523" t="s">
        <v>149</v>
      </c>
      <c r="D523" t="s">
        <v>147</v>
      </c>
    </row>
    <row r="524" spans="1:4">
      <c r="A524">
        <v>20201011</v>
      </c>
      <c r="B524" t="s">
        <v>153</v>
      </c>
      <c r="C524" t="s">
        <v>149</v>
      </c>
      <c r="D524" t="s">
        <v>147</v>
      </c>
    </row>
    <row r="525" spans="1:4">
      <c r="A525">
        <v>20201017</v>
      </c>
      <c r="B525" t="s">
        <v>153</v>
      </c>
      <c r="C525" t="s">
        <v>149</v>
      </c>
      <c r="D525" t="s">
        <v>147</v>
      </c>
    </row>
    <row r="526" spans="1:4">
      <c r="A526">
        <v>20201018</v>
      </c>
      <c r="B526" t="s">
        <v>153</v>
      </c>
      <c r="C526" t="s">
        <v>149</v>
      </c>
      <c r="D526" t="s">
        <v>147</v>
      </c>
    </row>
    <row r="527" spans="1:4">
      <c r="A527">
        <v>20201024</v>
      </c>
      <c r="B527" t="s">
        <v>153</v>
      </c>
      <c r="C527" t="s">
        <v>149</v>
      </c>
      <c r="D527" t="s">
        <v>147</v>
      </c>
    </row>
    <row r="528" spans="1:4">
      <c r="A528">
        <v>20201025</v>
      </c>
      <c r="B528" t="s">
        <v>153</v>
      </c>
      <c r="C528" t="s">
        <v>149</v>
      </c>
      <c r="D528" t="s">
        <v>147</v>
      </c>
    </row>
  </sheetData>
  <sortState xmlns:xlrd2="http://schemas.microsoft.com/office/spreadsheetml/2017/richdata2" ref="A1:D547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5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20200320</v>
      </c>
      <c r="B1" s="1" t="s">
        <v>145</v>
      </c>
      <c r="C1" s="1">
        <v>6</v>
      </c>
      <c r="D1" s="1">
        <v>1</v>
      </c>
      <c r="E1" s="1" t="s">
        <v>156</v>
      </c>
      <c r="F1" s="1">
        <v>2017104060</v>
      </c>
    </row>
    <row r="2" spans="1:6">
      <c r="A2" s="1">
        <v>20200320</v>
      </c>
      <c r="B2" s="1" t="s">
        <v>129</v>
      </c>
      <c r="C2" s="1">
        <v>6</v>
      </c>
      <c r="D2" s="1">
        <v>2</v>
      </c>
      <c r="E2" s="1" t="s">
        <v>157</v>
      </c>
      <c r="F2" s="1">
        <v>2017104982</v>
      </c>
    </row>
    <row r="3" spans="1:6">
      <c r="A3" s="1">
        <v>20200320</v>
      </c>
      <c r="B3" s="1" t="s">
        <v>129</v>
      </c>
      <c r="C3" s="1">
        <v>6</v>
      </c>
      <c r="D3" s="1">
        <v>3</v>
      </c>
      <c r="E3" s="1" t="s">
        <v>158</v>
      </c>
      <c r="F3" s="1">
        <v>2017104727</v>
      </c>
    </row>
    <row r="4" spans="1:6">
      <c r="A4" s="1">
        <v>20200320</v>
      </c>
      <c r="B4" s="1" t="s">
        <v>129</v>
      </c>
      <c r="C4" s="1">
        <v>6</v>
      </c>
      <c r="D4" s="1">
        <v>4</v>
      </c>
      <c r="E4" s="1" t="s">
        <v>159</v>
      </c>
      <c r="F4" s="1">
        <v>2017102707</v>
      </c>
    </row>
    <row r="5" spans="1:6">
      <c r="A5" s="1">
        <v>20200320</v>
      </c>
      <c r="B5" s="1" t="s">
        <v>129</v>
      </c>
      <c r="C5" s="1">
        <v>6</v>
      </c>
      <c r="D5" s="1">
        <v>5</v>
      </c>
      <c r="E5" s="1" t="s">
        <v>160</v>
      </c>
      <c r="F5" s="1">
        <v>2017105599</v>
      </c>
    </row>
    <row r="6" spans="1:6">
      <c r="A6" s="1">
        <v>20200320</v>
      </c>
      <c r="B6" s="1" t="s">
        <v>129</v>
      </c>
      <c r="C6" s="1">
        <v>6</v>
      </c>
      <c r="D6" s="1">
        <v>6</v>
      </c>
      <c r="E6" s="1" t="s">
        <v>161</v>
      </c>
      <c r="F6" s="1">
        <v>2017104568</v>
      </c>
    </row>
    <row r="7" spans="1:6">
      <c r="A7" s="1">
        <v>20200320</v>
      </c>
      <c r="B7" s="1" t="s">
        <v>129</v>
      </c>
      <c r="C7" s="1">
        <v>6</v>
      </c>
      <c r="D7" s="1">
        <v>7</v>
      </c>
      <c r="E7" s="1" t="s">
        <v>162</v>
      </c>
      <c r="F7" s="1">
        <v>2017100865</v>
      </c>
    </row>
    <row r="8" spans="1:6">
      <c r="A8" s="1">
        <v>20200320</v>
      </c>
      <c r="B8" s="1" t="s">
        <v>129</v>
      </c>
      <c r="C8" s="1">
        <v>6</v>
      </c>
      <c r="D8" s="1">
        <v>8</v>
      </c>
      <c r="E8" s="1" t="s">
        <v>163</v>
      </c>
      <c r="F8" s="1">
        <v>2017110150</v>
      </c>
    </row>
    <row r="9" spans="1:6">
      <c r="A9" s="1">
        <v>20200320</v>
      </c>
      <c r="B9" s="1" t="s">
        <v>129</v>
      </c>
      <c r="C9" s="1">
        <v>6</v>
      </c>
      <c r="D9" s="1">
        <v>9</v>
      </c>
      <c r="E9" s="1" t="s">
        <v>164</v>
      </c>
      <c r="F9" s="1">
        <v>2017102952</v>
      </c>
    </row>
    <row r="10" spans="1:6">
      <c r="A10" s="1">
        <v>20200320</v>
      </c>
      <c r="B10" s="1" t="s">
        <v>129</v>
      </c>
      <c r="C10" s="1">
        <v>6</v>
      </c>
      <c r="D10" s="1">
        <v>10</v>
      </c>
      <c r="E10" s="1" t="s">
        <v>165</v>
      </c>
      <c r="F10" s="1">
        <v>2017101911</v>
      </c>
    </row>
    <row r="11" spans="1:6">
      <c r="A11" s="1">
        <v>20200320</v>
      </c>
      <c r="B11" s="1" t="s">
        <v>129</v>
      </c>
      <c r="C11" s="1">
        <v>6</v>
      </c>
      <c r="D11" s="1">
        <v>11</v>
      </c>
      <c r="E11" s="1" t="s">
        <v>166</v>
      </c>
      <c r="F11" s="1">
        <v>2017105590</v>
      </c>
    </row>
    <row r="12" spans="1:6">
      <c r="A12" s="1">
        <v>20200320</v>
      </c>
      <c r="B12" s="1" t="s">
        <v>129</v>
      </c>
      <c r="C12" s="1">
        <v>6</v>
      </c>
      <c r="D12" s="1">
        <v>12</v>
      </c>
      <c r="E12" s="1" t="s">
        <v>167</v>
      </c>
      <c r="F12" s="1">
        <v>2017110111</v>
      </c>
    </row>
    <row r="13" spans="1:6">
      <c r="A13" s="1">
        <v>20200320</v>
      </c>
      <c r="B13" s="1" t="s">
        <v>129</v>
      </c>
      <c r="C13" s="1">
        <v>6</v>
      </c>
      <c r="D13" s="1">
        <v>13</v>
      </c>
      <c r="E13" s="1" t="s">
        <v>168</v>
      </c>
      <c r="F13" s="1">
        <v>2017104891</v>
      </c>
    </row>
    <row r="14" spans="1:6">
      <c r="A14" s="1">
        <v>20200320</v>
      </c>
      <c r="B14" s="1" t="s">
        <v>129</v>
      </c>
      <c r="C14" s="1">
        <v>6</v>
      </c>
      <c r="D14" s="1">
        <v>14</v>
      </c>
      <c r="E14" s="1" t="s">
        <v>169</v>
      </c>
      <c r="F14" s="1">
        <v>2017104185</v>
      </c>
    </row>
    <row r="15" spans="1:6">
      <c r="A15" s="1">
        <v>20200320</v>
      </c>
      <c r="B15" s="1" t="s">
        <v>129</v>
      </c>
      <c r="C15" s="1">
        <v>6</v>
      </c>
      <c r="D15" s="1">
        <v>15</v>
      </c>
      <c r="E15" s="1" t="s">
        <v>170</v>
      </c>
      <c r="F15" s="1">
        <v>2017105868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owner</cp:lastModifiedBy>
  <dcterms:created xsi:type="dcterms:W3CDTF">2018-04-14T05:05:39Z</dcterms:created>
  <dcterms:modified xsi:type="dcterms:W3CDTF">2020-10-18T03:33:57Z</dcterms:modified>
</cp:coreProperties>
</file>