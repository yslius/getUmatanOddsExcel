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Lancers\2019年\190721_馬単オッズの全出力_kurokawa1184\01_制作\"/>
    </mc:Choice>
  </mc:AlternateContent>
  <xr:revisionPtr revIDLastSave="0" documentId="13_ncr:1_{A003486F-E387-43AB-BF57-FDF0F6F6B798}" xr6:coauthVersionLast="45" xr6:coauthVersionMax="45" xr10:uidLastSave="{00000000-0000-0000-0000-000000000000}"/>
  <bookViews>
    <workbookView xWindow="9705" yWindow="645" windowWidth="18015" windowHeight="14310" xr2:uid="{00000000-000D-0000-FFFF-FFFF00000000}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9"/>
  <definedNames>
    <definedName name="_xlnm._FilterDatabase" localSheetId="5" hidden="1">レース!$A$1:$G$1</definedName>
  </definedNames>
  <calcPr calcId="181029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X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 xr:uid="{00000000-0006-0000-0300-000004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 xr:uid="{00000000-0006-0000-0300-000008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 xr:uid="{00000000-0006-0000-0300-000009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 xr:uid="{00000000-0006-0000-0300-00000A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 xr:uid="{00000000-0006-0000-0300-00000B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<sst xmlns="http://schemas.openxmlformats.org/spreadsheetml/2006/main" count="2605" uniqueCount="165">
  <si>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</si>
  <si>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</si>
  <si>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</si>
  <si>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</si>
  <si>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</si>
  <si>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</si>
  <si>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</si>
  <si>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</si>
  <si>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</si>
  <si>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</si>
  <si>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</si>
  <si>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</si>
  <si>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</si>
  <si>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</si>
  <si>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</si>
  <si>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</si>
  <si>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</si>
  <si>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</si>
  <si>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</si>
  <si>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</si>
  <si>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</si>
  <si>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</si>
  <si>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</si>
  <si>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</si>
  <si>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</si>
  <si>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</si>
  <si>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</si>
  <si>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</si>
  <si>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</si>
  <si>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</si>
  <si>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</si>
  <si>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</si>
  <si>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</si>
  <si>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</si>
  <si>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</si>
  <si>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</si>
  <si>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</si>
  <si>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</si>
  <si>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</si>
  <si>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</si>
  <si>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</si>
  <si>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</si>
  <si>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</si>
  <si>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</si>
  <si>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</si>
  <si>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</si>
  <si>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</si>
  <si>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</si>
  <si>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</si>
  <si>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</si>
  <si>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</si>
  <si>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</si>
  <si>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</si>
  <si>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</si>
  <si>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</si>
  <si>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</si>
  <si>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</si>
  <si>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</si>
  <si>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</si>
  <si>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</si>
  <si>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</si>
  <si>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</si>
  <si>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</si>
  <si>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</si>
  <si>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</si>
  <si>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</si>
  <si>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</si>
  <si>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</si>
  <si>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</si>
  <si>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</si>
  <si>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</si>
  <si>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</si>
  <si>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</si>
  <si>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</si>
  <si>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</si>
  <si>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</si>
  <si>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</si>
  <si>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</si>
  <si>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</si>
  <si>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</si>
  <si>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</si>
  <si>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</si>
  <si>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</si>
  <si>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</si>
  <si>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</si>
  <si>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</si>
  <si>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</si>
  <si>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</si>
  <si>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</si>
  <si>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</si>
  <si>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</si>
  <si>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</si>
  <si>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</si>
  <si>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</si>
  <si>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</si>
  <si>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</si>
  <si>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</si>
  <si>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</si>
  <si>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</si>
  <si>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</si>
  <si>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</si>
  <si>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京都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</si>
  <si>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</si>
  <si>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</si>
  <si>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</si>
  <si>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</si>
  <si>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</si>
  <si>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</si>
  <si>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</si>
  <si>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</si>
  <si>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</si>
  <si>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</si>
  <si>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</si>
  <si>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</si>
  <si>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</si>
  <si>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</si>
  <si>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</si>
  <si>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</si>
  <si>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</si>
  <si>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</si>
  <si>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</si>
  <si>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</si>
  <si>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</si>
  <si>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</si>
  <si>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</si>
  <si>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</si>
  <si>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</si>
  <si>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</si>
  <si>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</si>
  <si>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</si>
  <si>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</si>
  <si>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</si>
  <si>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</si>
  <si>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</si>
  <si>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</si>
  <si>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</si>
  <si>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</si>
  <si>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</si>
  <si>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</si>
  <si>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</si>
  <si>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</si>
  <si>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函館</t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</si>
  <si>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</si>
  <si>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</si>
  <si>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</si>
  <si>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t>セントポーリア　　　　　　　　　　　</t>
    <phoneticPr fontId="1"/>
  </si>
  <si>
    <t>ベイビーシャーク　　　　　　　　　　</t>
  </si>
  <si>
    <t>ビップレックス　　　　　　　　　　　</t>
  </si>
  <si>
    <t>ターニングアップ　　　　　　　　　　</t>
  </si>
  <si>
    <t>シゲルテンチョウ　　　　　　　　　　</t>
  </si>
  <si>
    <t>ビーチリゾート　　　　　　　　　　　</t>
  </si>
  <si>
    <t>キンバ　　　　　　　　　　　　　　　</t>
  </si>
  <si>
    <t>カモミールティー　　　　　　　　　　</t>
  </si>
  <si>
    <t>メイショウワゲン　　　　　　　　　　</t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</si>
  <si>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ver2.3</t>
    </r>
    <phoneticPr fontId="1"/>
  </si>
  <si>
    <t>中山</t>
    <phoneticPr fontId="1"/>
  </si>
  <si>
    <t>京都</t>
    <phoneticPr fontId="1"/>
  </si>
  <si>
    <t>小倉</t>
    <phoneticPr fontId="1"/>
  </si>
  <si>
    <t>東京</t>
    <phoneticPr fontId="1"/>
  </si>
  <si>
    <t>中京</t>
    <phoneticPr fontId="1"/>
  </si>
  <si>
    <t>阪神</t>
    <phoneticPr fontId="1"/>
  </si>
  <si>
    <t>福島</t>
    <phoneticPr fontId="1"/>
  </si>
  <si>
    <t>新潟</t>
    <phoneticPr fontId="1"/>
  </si>
  <si>
    <t>函館</t>
    <phoneticPr fontId="1"/>
  </si>
  <si>
    <t>札幌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</si>
</sst>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 xr:uid="{00000000-0005-0000-0000-000006000000}"/>
    <cellStyle name="桁区切り 2" xfId="2" xr:uid="{00000000-0005-0000-0000-000008000000}"/>
    <cellStyle name="標準" xfId="0" builtinId="0"/>
    <cellStyle name="標準 2" xfId="3" xr:uid="{00000000-0005-0000-0000-00000A000000}"/>
    <cellStyle name="標準 4" xfId="1" xr:uid="{00000000-0005-0000-0000-00000B000000}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154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CommandButton2">
          <controlPr defaultSize="0" autoLine="0" r:id="rId5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4" name="CommandButton2"/>
      </mc:Fallback>
    </mc:AlternateContent>
    <mc:AlternateContent xmlns:mc="http://schemas.openxmlformats.org/markup-compatibility/2006">
      <mc:Choice Requires="x14">
        <control shapeId="1054" r:id="rId6" name="Label2">
          <controlPr defaultSize="0" autoLine="0" r:id="rId7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6" name="Label2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1" r:id="rId10" name="Label1">
          <controlPr defaultSize="0" autoLine="0" r:id="rId11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10" name="Label1"/>
      </mc:Fallback>
    </mc:AlternateContent>
    <mc:AlternateContent xmlns:mc="http://schemas.openxmlformats.org/markup-compatibility/2006">
      <mc:Choice Requires="x14">
        <control shapeId="1050" r:id="rId12" name="CommandButton1">
          <controlPr defaultSize="0" autoLine="0" r:id="rId13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12" name="CommandButton1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ED150"/>
  <sheetViews>
    <sheetView workbookViewId="0"/>
  </sheetViews>
  <sheetFormatPr defaultRowHeight="18.75"/>
  <cols>
    <col min="13" max="13" width="9.75" customWidth="1"/>
  </cols>
  <sheetData>
    <row r="2" spans="1:129">
      <c r="BM2" t="s">
        <v>102</v>
      </c>
      <c r="BY2" t="s">
        <v>103</v>
      </c>
      <c r="CK2" t="s">
        <v>103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105</v>
      </c>
      <c r="AS3" s="25" t="s">
        <v>104</v>
      </c>
      <c r="AT3" s="25" t="s">
        <v>105</v>
      </c>
      <c r="AU3" s="25" t="s">
        <v>104</v>
      </c>
      <c r="AV3" s="25" t="s">
        <v>105</v>
      </c>
      <c r="AW3" s="25" t="s">
        <v>104</v>
      </c>
      <c r="AX3" s="25" t="s">
        <v>105</v>
      </c>
      <c r="AY3" s="25" t="s">
        <v>104</v>
      </c>
      <c r="AZ3" s="25" t="s">
        <v>105</v>
      </c>
      <c r="BA3" s="25" t="s">
        <v>104</v>
      </c>
      <c r="BB3" s="25" t="s">
        <v>105</v>
      </c>
      <c r="BC3" s="25" t="s">
        <v>104</v>
      </c>
      <c r="BD3" s="25" t="s">
        <v>105</v>
      </c>
      <c r="BE3" s="25" t="s">
        <v>104</v>
      </c>
      <c r="BF3" s="25" t="s">
        <v>105</v>
      </c>
      <c r="BG3" s="25" t="s">
        <v>104</v>
      </c>
      <c r="BH3" s="25" t="s">
        <v>105</v>
      </c>
      <c r="BI3" s="25" t="s">
        <v>104</v>
      </c>
      <c r="BJ3" s="25" t="s">
        <v>105</v>
      </c>
      <c r="BK3" s="25" t="s">
        <v>104</v>
      </c>
      <c r="BM3" s="25" t="s">
        <v>105</v>
      </c>
      <c r="BN3" s="25" t="s">
        <v>104</v>
      </c>
      <c r="BO3" s="25" t="s">
        <v>105</v>
      </c>
      <c r="BP3" s="25" t="s">
        <v>104</v>
      </c>
      <c r="BQ3" s="25" t="s">
        <v>105</v>
      </c>
      <c r="BR3" s="25" t="s">
        <v>104</v>
      </c>
      <c r="BS3" s="25" t="s">
        <v>105</v>
      </c>
      <c r="BT3" s="25" t="s">
        <v>104</v>
      </c>
      <c r="BU3" s="25" t="s">
        <v>105</v>
      </c>
      <c r="BV3" s="25" t="s">
        <v>104</v>
      </c>
      <c r="BY3" s="25" t="s">
        <v>105</v>
      </c>
      <c r="BZ3" s="25" t="s">
        <v>104</v>
      </c>
      <c r="CA3" s="25" t="s">
        <v>105</v>
      </c>
      <c r="CB3" s="25" t="s">
        <v>104</v>
      </c>
      <c r="CC3" s="25" t="s">
        <v>105</v>
      </c>
      <c r="CD3" s="25" t="s">
        <v>104</v>
      </c>
      <c r="CE3" s="25" t="s">
        <v>105</v>
      </c>
      <c r="CF3" s="25" t="s">
        <v>104</v>
      </c>
      <c r="CG3" s="25" t="s">
        <v>105</v>
      </c>
      <c r="CH3" s="25" t="s">
        <v>104</v>
      </c>
      <c r="CK3" s="25" t="s">
        <v>105</v>
      </c>
      <c r="CL3" s="25" t="s">
        <v>104</v>
      </c>
      <c r="CM3" s="25" t="s">
        <v>105</v>
      </c>
      <c r="CN3" s="25" t="s">
        <v>104</v>
      </c>
      <c r="CO3" s="25" t="s">
        <v>105</v>
      </c>
      <c r="CP3" s="25" t="s">
        <v>104</v>
      </c>
      <c r="CQ3" s="25" t="s">
        <v>105</v>
      </c>
      <c r="CR3" s="25" t="s">
        <v>104</v>
      </c>
      <c r="CS3" s="25" t="s">
        <v>105</v>
      </c>
      <c r="CT3" s="25" t="s">
        <v>104</v>
      </c>
    </row>
    <row r="4" spans="1:129">
      <c r="A4" t="s">
        <v>106</v>
      </c>
      <c r="B4" t="s">
        <v>107</v>
      </c>
      <c r="C4" t="s">
        <v>108</v>
      </c>
      <c r="D4" t="s">
        <v>109</v>
      </c>
      <c r="E4" t="s">
        <v>110</v>
      </c>
      <c r="F4" t="s">
        <v>111</v>
      </c>
      <c r="G4" t="s">
        <v>112</v>
      </c>
      <c r="H4" t="s">
        <v>113</v>
      </c>
      <c r="I4" t="s">
        <v>114</v>
      </c>
      <c r="J4" t="s">
        <v>115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142</v>
      </c>
      <c r="AK4" s="32" t="s">
        <v>143</v>
      </c>
      <c r="AL4" s="32" t="s">
        <v>144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116</v>
      </c>
      <c r="CX4" t="s">
        <v>117</v>
      </c>
      <c r="CY4" t="s">
        <v>118</v>
      </c>
      <c r="CZ4" t="s">
        <v>119</v>
      </c>
      <c r="DA4" t="s">
        <v>120</v>
      </c>
      <c r="DB4" t="s">
        <v>121</v>
      </c>
      <c r="DC4" t="s">
        <v>122</v>
      </c>
      <c r="DD4" t="s">
        <v>123</v>
      </c>
      <c r="DE4" t="s">
        <v>124</v>
      </c>
      <c r="DF4" s="25" t="s">
        <v>125</v>
      </c>
      <c r="DG4" s="25" t="s">
        <v>126</v>
      </c>
      <c r="DH4" s="25" t="s">
        <v>127</v>
      </c>
      <c r="DI4" s="25" t="s">
        <v>128</v>
      </c>
      <c r="DJ4" s="25" t="s">
        <v>138</v>
      </c>
      <c r="DL4" t="s">
        <v>116</v>
      </c>
      <c r="DM4" t="s">
        <v>117</v>
      </c>
      <c r="DN4" t="s">
        <v>118</v>
      </c>
      <c r="DO4" t="s">
        <v>119</v>
      </c>
      <c r="DP4" t="s">
        <v>120</v>
      </c>
      <c r="DQ4" t="s">
        <v>121</v>
      </c>
      <c r="DR4" t="s">
        <v>122</v>
      </c>
      <c r="DS4" t="s">
        <v>123</v>
      </c>
      <c r="DT4" t="s">
        <v>124</v>
      </c>
      <c r="DU4" s="25" t="s">
        <v>125</v>
      </c>
      <c r="DV4" s="25" t="s">
        <v>126</v>
      </c>
      <c r="DW4" s="25" t="s">
        <v>127</v>
      </c>
      <c r="DX4" s="25" t="s">
        <v>128</v>
      </c>
      <c r="DY4" s="25" t="s">
        <v>138</v>
      </c>
    </row>
    <row r="5" spans="1:129">
      <c r="A5">
        <v>8</v>
      </c>
      <c r="B5">
        <v>7</v>
      </c>
      <c r="C5">
        <v>3.3</v>
      </c>
      <c r="D5">
        <v>1</v>
      </c>
      <c r="E5">
        <v>2</v>
      </c>
      <c r="F5">
        <v>68443</v>
      </c>
      <c r="G5">
        <v>7.3</v>
      </c>
      <c r="H5">
        <v>2.2999999999999998</v>
      </c>
      <c r="L5">
        <f>IFERROR(C5/H5,"")</f>
        <v>1.4347826086956521</v>
      </c>
      <c r="M5">
        <f>IFERROR(C5-H5,"")</f>
        <v>1</v>
      </c>
      <c r="O5">
        <f t="shared" ref="O5:O30" si="0">IF(D5&lt;E5,C5,"")</f>
        <v>3.3</v>
      </c>
      <c r="P5">
        <f>IF(D5&lt;E5,C5/H5,"")</f>
        <v>1.4347826086956521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2.2999999999999998</v>
      </c>
      <c r="AS5" s="25">
        <f>IFERROR(IF(AR5="","",$E5),"")</f>
        <v>2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2.2999999999999998</v>
      </c>
      <c r="BN5">
        <f t="array" ref="BN5">IFERROR(VALUE(INDEX(AS:AS,SMALL(IF($AS$5:$AS$150&lt;&gt;"",ROW($AS$5:$AS$150),9999),ROW(A1)))&amp;""),"")</f>
        <v>2</v>
      </c>
      <c r="BO5">
        <f t="array" ref="BO5">IFERROR(VALUE(INDEX(AT:AT,SMALL(IF($AT$5:$AT$150&lt;&gt;"",ROW($AT$5:$AT$150),9999),ROW(A1)))&amp;""),"")</f>
        <v>3.3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7.7</v>
      </c>
      <c r="BR5">
        <f t="array" ref="BR5">IFERROR(VALUE(INDEX(AW:AW,SMALL(IF($AW$5:$AW$150&lt;&gt;"",ROW($AW$5:$AW$150),9999),ROW(A1)))&amp;""),"")</f>
        <v>1</v>
      </c>
      <c r="BS5">
        <f t="array" ref="BS5">IFERROR(VALUE(INDEX(AX:AX,SMALL(IF($AX$5:$AX$150&lt;&gt;"",ROW($AX$5:$AX$150),9999),ROW(A1)))&amp;""),"")</f>
        <v>9.9</v>
      </c>
      <c r="BT5">
        <f t="array" ref="BT5">IFERROR(VALUE(INDEX(AY:AY,SMALL(IF($AY$5:$AY$150&lt;&gt;"",ROW($AY$5:$AY$150),9999),ROW(A1)))&amp;""),"")</f>
        <v>1</v>
      </c>
      <c r="BU5">
        <f t="array" ref="BU5">IFERROR(VALUE(INDEX(AZ:AZ,SMALL(IF($AZ$5:$AZ$150&lt;&gt;"",ROW($AZ$5:$AZ$150),9999),ROW(A1)))&amp;""),"")</f>
        <v>17.5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-14.1</v>
      </c>
      <c r="BY5">
        <f>IFERROR(ROUNDUP(BM6/BM5,2),"")</f>
        <v>7.14</v>
      </c>
      <c r="BZ5">
        <f>BN5</f>
        <v>2</v>
      </c>
      <c r="CA5">
        <f>IFERROR(ROUNDUP(BO6/BO5,2),"")</f>
        <v>8.76</v>
      </c>
      <c r="CB5">
        <f>BP5</f>
        <v>1</v>
      </c>
      <c r="CC5">
        <f>IFERROR(ROUNDUP(BQ6/BQ5,2),"")</f>
        <v>2.6399999999999997</v>
      </c>
      <c r="CD5">
        <f>BR5</f>
        <v>1</v>
      </c>
      <c r="CE5">
        <f>IFERROR(ROUNDUP(BS6/BS5,2),"")</f>
        <v>2.7199999999999998</v>
      </c>
      <c r="CF5">
        <f>BT5</f>
        <v>1</v>
      </c>
      <c r="CG5">
        <f>IFERROR(ROUNDUP(BU6/BU5,2),"")</f>
        <v>2.1799999999999997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>
        <f t="shared" ref="DM5:DM32" si="24">IF($E5=2,$Q5,"")</f>
        <v>0</v>
      </c>
      <c r="DN5" t="str">
        <f t="shared" ref="DN5:DN32" si="25">IF($E5=3,$Q5,"")</f>
        <v/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7</v>
      </c>
      <c r="B6">
        <v>8</v>
      </c>
      <c r="C6">
        <v>7.3</v>
      </c>
      <c r="D6">
        <v>2</v>
      </c>
      <c r="E6">
        <v>1</v>
      </c>
      <c r="F6">
        <v>31606</v>
      </c>
      <c r="G6">
        <v>3.3</v>
      </c>
      <c r="H6">
        <v>2.2999999999999998</v>
      </c>
      <c r="L6">
        <f t="shared" ref="L6:L32" si="37">IFERROR(C6/H6,"")</f>
        <v>3.1739130434782612</v>
      </c>
      <c r="M6">
        <f t="shared" ref="M6:M31" si="38">IFERROR(C6-H6,"")</f>
        <v>5</v>
      </c>
      <c r="O6" t="str">
        <f t="shared" si="0"/>
        <v/>
      </c>
      <c r="P6" t="str">
        <f t="shared" ref="P6:P30" si="39">IF(D6&lt;E6,C6/H6,"")</f>
        <v/>
      </c>
      <c r="V6">
        <f t="shared" si="1"/>
        <v>7.3</v>
      </c>
      <c r="W6">
        <f t="shared" si="2"/>
        <v>3.1739130434782612</v>
      </c>
      <c r="AJ6">
        <v>2</v>
      </c>
      <c r="AK6" t="e">
        <f>#REF!</f>
        <v>#REF!</v>
      </c>
      <c r="AL6" s="25" t="str">
        <f>IFERROR(RANK(AK6,AK5:AK22,0),"")</f>
        <v/>
      </c>
      <c r="AR6" t="str">
        <f t="shared" ref="AR6:AR69" si="40">IF($D6=AR$4,$G6,"")</f>
        <v/>
      </c>
      <c r="AS6" s="25" t="str">
        <f t="shared" ref="AS6:AS69" si="41">IFERROR(IF(AR6="","",E6),"")</f>
        <v/>
      </c>
      <c r="AT6">
        <f t="shared" ref="AT6:AT69" si="42">IF($D6=AT$4,$G6,"")</f>
        <v>3.3</v>
      </c>
      <c r="AU6" s="25">
        <f t="shared" ref="AU6:AW69" si="43">IFERROR(IF(AT6="","",$E6),"")</f>
        <v>1</v>
      </c>
      <c r="AV6" t="str">
        <f t="shared" ref="AV6:AV69" si="44">IF($D6=AV$4,$G6,"")</f>
        <v/>
      </c>
      <c r="AW6" s="25" t="str">
        <f t="shared" si="43"/>
        <v/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16.399999999999999</v>
      </c>
      <c r="BN6">
        <f t="array" ref="BN6">IFERROR(VALUE(INDEX(AS:AS,SMALL(IF($AS$5:$AS$150&lt;&gt;"",ROW($AS$5:$AS$150),9999),ROW(A2)))&amp;""),"")</f>
        <v>3</v>
      </c>
      <c r="BO6">
        <f t="array" ref="BO6">IFERROR(VALUE(INDEX(AT:AT,SMALL(IF($AT$5:$AT$150&lt;&gt;"",ROW($AT$5:$AT$150),9999),ROW(A2)))&amp;""),"")</f>
        <v>28.9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20.3</v>
      </c>
      <c r="BR6">
        <f t="array" ref="BR6">IFERROR(VALUE(INDEX(AW:AW,SMALL(IF($AW$5:$AW$150&lt;&gt;"",ROW($AW$5:$AW$150),9999),ROW(A2)))&amp;""),"")</f>
        <v>2</v>
      </c>
      <c r="BS6">
        <f t="array" ref="BS6">IFERROR(VALUE(INDEX(AX:AX,SMALL(IF($AX$5:$AX$150&lt;&gt;"",ROW($AX$5:$AX$150),9999),ROW(A2)))&amp;""),"")</f>
        <v>26.9</v>
      </c>
      <c r="BT6">
        <f t="array" ref="BT6">IFERROR(VALUE(INDEX(AY:AY,SMALL(IF($AY$5:$AY$150&lt;&gt;"",ROW($AY$5:$AY$150),9999),ROW(A2)))&amp;""),"")</f>
        <v>2</v>
      </c>
      <c r="BU6">
        <f t="array" ref="BU6">IFERROR(VALUE(INDEX(AZ:AZ,SMALL(IF($AZ$5:$AZ$150&lt;&gt;"",ROW($AZ$5:$AZ$150),9999),ROW(A2)))&amp;""),"")</f>
        <v>38</v>
      </c>
      <c r="BV6">
        <f t="array" ref="BV6">IFERROR(VALUE(INDEX(BA:BA,SMALL(IF($BA$5:$BA$150&lt;&gt;"",ROW($BA$5:$BA$150),9999),ROW(A2)))&amp;""),"")</f>
        <v>2</v>
      </c>
      <c r="BX6">
        <f t="shared" ref="BX6:BX19" si="53">IFERROR(ROUNDUP(BM6-BM7,2),"")</f>
        <v>-7.1</v>
      </c>
      <c r="BY6">
        <f t="shared" ref="BY6:BY19" si="54">IFERROR(ROUNDUP(BM7/BM6,2),"")</f>
        <v>1.44</v>
      </c>
      <c r="BZ6">
        <f t="shared" ref="BZ6:BZ19" si="55">BN6</f>
        <v>3</v>
      </c>
      <c r="CA6">
        <f t="shared" ref="CA6:CA19" si="56">IFERROR(ROUNDUP(BO7/BO6,2),"")</f>
        <v>1.31</v>
      </c>
      <c r="CB6">
        <f t="shared" ref="CB6:CB19" si="57">BP6</f>
        <v>3</v>
      </c>
      <c r="CC6">
        <f t="shared" ref="CC6:CC19" si="58">IFERROR(ROUNDUP(BQ7/BQ6,2),"")</f>
        <v>2.5799999999999996</v>
      </c>
      <c r="CD6">
        <f t="shared" ref="CD6:CD19" si="59">BR6</f>
        <v>2</v>
      </c>
      <c r="CE6">
        <f t="shared" ref="CE6:CE19" si="60">IFERROR(ROUNDUP(BS7/BS6,2),"")</f>
        <v>1.6300000000000001</v>
      </c>
      <c r="CF6">
        <f t="shared" ref="CF6:CF19" si="61">BT6</f>
        <v>2</v>
      </c>
      <c r="CG6">
        <f t="shared" ref="CG6:CG19" si="62">IFERROR(ROUNDUP(BU7/BU6,2),"")</f>
        <v>1.31</v>
      </c>
      <c r="CH6">
        <f t="shared" ref="CH6:CH19" si="63">BV6</f>
        <v>2</v>
      </c>
      <c r="CW6" t="str">
        <f t="shared" si="9"/>
        <v/>
      </c>
      <c r="CX6">
        <f t="shared" si="10"/>
        <v>0</v>
      </c>
      <c r="CY6" t="str">
        <f t="shared" si="11"/>
        <v/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>
        <f t="shared" si="23"/>
        <v>0</v>
      </c>
      <c r="DM6" t="str">
        <f t="shared" si="24"/>
        <v/>
      </c>
      <c r="DN6" t="str">
        <f t="shared" si="25"/>
        <v/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8</v>
      </c>
      <c r="B7">
        <v>1</v>
      </c>
      <c r="C7">
        <v>7.7</v>
      </c>
      <c r="D7">
        <v>1</v>
      </c>
      <c r="E7">
        <v>3</v>
      </c>
      <c r="F7">
        <v>29734</v>
      </c>
      <c r="G7">
        <v>16.399999999999999</v>
      </c>
      <c r="H7">
        <v>5.2</v>
      </c>
      <c r="L7">
        <f t="shared" si="37"/>
        <v>1.4807692307692308</v>
      </c>
      <c r="M7">
        <f t="shared" si="38"/>
        <v>2.5</v>
      </c>
      <c r="O7">
        <f t="shared" si="0"/>
        <v>7.7</v>
      </c>
      <c r="P7">
        <f t="shared" si="39"/>
        <v>1.4807692307692308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16.399999999999999</v>
      </c>
      <c r="AS7" s="25">
        <f t="shared" si="41"/>
        <v>3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23.5</v>
      </c>
      <c r="BN7">
        <f t="array" ref="BN7">IFERROR(VALUE(INDEX(AS:AS,SMALL(IF($AS$5:$AS$150&lt;&gt;"",ROW($AS$5:$AS$150),9999),ROW(A3)))&amp;""),"")</f>
        <v>4</v>
      </c>
      <c r="BO7">
        <f t="array" ref="BO7">IFERROR(VALUE(INDEX(AT:AT,SMALL(IF($AT$5:$AT$150&lt;&gt;"",ROW($AT$5:$AT$150),9999),ROW(A3)))&amp;""),"")</f>
        <v>37.700000000000003</v>
      </c>
      <c r="BP7">
        <f t="array" ref="BP7">IFERROR(VALUE(INDEX(AU:AU,SMALL(IF($AU$5:$AU$150&lt;&gt;"",ROW($AU$5:$AU$150),9999),ROW(A3)))&amp;""),"")</f>
        <v>4</v>
      </c>
      <c r="BQ7">
        <f t="array" ref="BQ7">IFERROR(VALUE(INDEX(AV:AV,SMALL(IF($AV$5:$AV$150&lt;&gt;"",ROW($AV$5:$AV$150),9999),ROW(A3)))&amp;""),"")</f>
        <v>52.2</v>
      </c>
      <c r="BR7">
        <f t="array" ref="BR7">IFERROR(VALUE(INDEX(AW:AW,SMALL(IF($AW$5:$AW$150&lt;&gt;"",ROW($AW$5:$AW$150),9999),ROW(A3)))&amp;""),"")</f>
        <v>4</v>
      </c>
      <c r="BS7">
        <f t="array" ref="BS7">IFERROR(VALUE(INDEX(AX:AX,SMALL(IF($AX$5:$AX$150&lt;&gt;"",ROW($AX$5:$AX$150),9999),ROW(A3)))&amp;""),"")</f>
        <v>43.7</v>
      </c>
      <c r="BT7">
        <f t="array" ref="BT7">IFERROR(VALUE(INDEX(AY:AY,SMALL(IF($AY$5:$AY$150&lt;&gt;"",ROW($AY$5:$AY$150),9999),ROW(A3)))&amp;""),"")</f>
        <v>3</v>
      </c>
      <c r="BU7">
        <f t="array" ref="BU7">IFERROR(VALUE(INDEX(AZ:AZ,SMALL(IF($AZ$5:$AZ$150&lt;&gt;"",ROW($AZ$5:$AZ$150),9999),ROW(A3)))&amp;""),"")</f>
        <v>49.7</v>
      </c>
      <c r="BV7">
        <f t="array" ref="BV7">IFERROR(VALUE(INDEX(BA:BA,SMALL(IF($BA$5:$BA$150&lt;&gt;"",ROW($BA$5:$BA$150),9999),ROW(A3)))&amp;""),"")</f>
        <v>3</v>
      </c>
      <c r="BX7">
        <f t="shared" si="53"/>
        <v>-17.5</v>
      </c>
      <c r="BY7">
        <f t="shared" si="54"/>
        <v>1.75</v>
      </c>
      <c r="BZ7">
        <f t="shared" si="55"/>
        <v>4</v>
      </c>
      <c r="CA7">
        <f t="shared" si="56"/>
        <v>1.53</v>
      </c>
      <c r="CB7">
        <f t="shared" si="57"/>
        <v>4</v>
      </c>
      <c r="CC7">
        <f t="shared" si="58"/>
        <v>1.17</v>
      </c>
      <c r="CD7">
        <f t="shared" si="59"/>
        <v>4</v>
      </c>
      <c r="CE7">
        <f t="shared" si="60"/>
        <v>1.65</v>
      </c>
      <c r="CF7">
        <f t="shared" si="61"/>
        <v>3</v>
      </c>
      <c r="CG7">
        <f t="shared" si="62"/>
        <v>1.34</v>
      </c>
      <c r="CH7">
        <f t="shared" si="63"/>
        <v>3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>
        <f t="shared" si="25"/>
        <v>0</v>
      </c>
      <c r="DO7" t="str">
        <f t="shared" si="26"/>
        <v/>
      </c>
      <c r="DP7" t="str">
        <f t="shared" si="27"/>
        <v/>
      </c>
      <c r="DQ7" t="str">
        <f t="shared" si="28"/>
        <v/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8</v>
      </c>
      <c r="B8">
        <v>3</v>
      </c>
      <c r="C8">
        <v>9.9</v>
      </c>
      <c r="D8">
        <v>1</v>
      </c>
      <c r="E8">
        <v>4</v>
      </c>
      <c r="F8">
        <v>23251</v>
      </c>
      <c r="G8">
        <v>23.5</v>
      </c>
      <c r="H8">
        <v>7</v>
      </c>
      <c r="L8">
        <f t="shared" si="37"/>
        <v>1.4142857142857144</v>
      </c>
      <c r="M8">
        <f t="shared" si="38"/>
        <v>2.9000000000000004</v>
      </c>
      <c r="O8">
        <f t="shared" si="0"/>
        <v>9.9</v>
      </c>
      <c r="P8">
        <f t="shared" si="39"/>
        <v>1.4142857142857144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23.5</v>
      </c>
      <c r="AS8" s="25">
        <f t="shared" si="41"/>
        <v>4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41</v>
      </c>
      <c r="BN8">
        <f t="array" ref="BN8">IFERROR(VALUE(INDEX(AS:AS,SMALL(IF($AS$5:$AS$150&lt;&gt;"",ROW($AS$5:$AS$150),9999),ROW(A4)))&amp;""),"")</f>
        <v>5</v>
      </c>
      <c r="BO8">
        <f t="array" ref="BO8">IFERROR(VALUE(INDEX(AT:AT,SMALL(IF($AT$5:$AT$150&lt;&gt;"",ROW($AT$5:$AT$150),9999),ROW(A4)))&amp;""),"")</f>
        <v>57.6</v>
      </c>
      <c r="BP8">
        <f t="array" ref="BP8">IFERROR(VALUE(INDEX(AU:AU,SMALL(IF($AU$5:$AU$150&lt;&gt;"",ROW($AU$5:$AU$150),9999),ROW(A4)))&amp;""),"")</f>
        <v>5</v>
      </c>
      <c r="BQ8">
        <f t="array" ref="BQ8">IFERROR(VALUE(INDEX(AV:AV,SMALL(IF($AV$5:$AV$150&lt;&gt;"",ROW($AV$5:$AV$150),9999),ROW(A4)))&amp;""),"")</f>
        <v>60.9</v>
      </c>
      <c r="BR8">
        <f t="array" ref="BR8">IFERROR(VALUE(INDEX(AW:AW,SMALL(IF($AW$5:$AW$150&lt;&gt;"",ROW($AW$5:$AW$150),9999),ROW(A4)))&amp;""),"")</f>
        <v>5</v>
      </c>
      <c r="BS8">
        <f t="array" ref="BS8">IFERROR(VALUE(INDEX(AX:AX,SMALL(IF($AX$5:$AX$150&lt;&gt;"",ROW($AX$5:$AX$150),9999),ROW(A4)))&amp;""),"")</f>
        <v>72.099999999999994</v>
      </c>
      <c r="BT8">
        <f t="array" ref="BT8">IFERROR(VALUE(INDEX(AY:AY,SMALL(IF($AY$5:$AY$150&lt;&gt;"",ROW($AY$5:$AY$150),9999),ROW(A4)))&amp;""),"")</f>
        <v>5</v>
      </c>
      <c r="BU8">
        <f t="array" ref="BU8">IFERROR(VALUE(INDEX(AZ:AZ,SMALL(IF($AZ$5:$AZ$150&lt;&gt;"",ROW($AZ$5:$AZ$150),9999),ROW(A4)))&amp;""),"")</f>
        <v>66.3</v>
      </c>
      <c r="BV8">
        <f t="array" ref="BV8">IFERROR(VALUE(INDEX(BA:BA,SMALL(IF($BA$5:$BA$150&lt;&gt;"",ROW($BA$5:$BA$150),9999),ROW(A4)))&amp;""),"")</f>
        <v>4</v>
      </c>
      <c r="BX8">
        <f t="shared" si="53"/>
        <v>-57.2</v>
      </c>
      <c r="BY8">
        <f t="shared" si="54"/>
        <v>2.4</v>
      </c>
      <c r="BZ8">
        <f t="shared" si="55"/>
        <v>5</v>
      </c>
      <c r="CA8">
        <f t="shared" si="56"/>
        <v>2.86</v>
      </c>
      <c r="CB8">
        <f t="shared" si="57"/>
        <v>5</v>
      </c>
      <c r="CC8">
        <f t="shared" si="58"/>
        <v>3.34</v>
      </c>
      <c r="CD8">
        <f t="shared" si="59"/>
        <v>5</v>
      </c>
      <c r="CE8">
        <f t="shared" si="60"/>
        <v>2.6199999999999997</v>
      </c>
      <c r="CF8">
        <f t="shared" si="61"/>
        <v>5</v>
      </c>
      <c r="CG8">
        <f t="shared" si="62"/>
        <v>3.78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 t="str">
        <f t="shared" si="24"/>
        <v/>
      </c>
      <c r="DN8" t="str">
        <f t="shared" si="25"/>
        <v/>
      </c>
      <c r="DO8">
        <f t="shared" si="26"/>
        <v>0</v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1</v>
      </c>
      <c r="B9">
        <v>8</v>
      </c>
      <c r="C9">
        <v>16.399999999999999</v>
      </c>
      <c r="D9">
        <v>3</v>
      </c>
      <c r="E9">
        <v>1</v>
      </c>
      <c r="F9">
        <v>14036</v>
      </c>
      <c r="G9">
        <v>7.7</v>
      </c>
      <c r="H9">
        <v>5.2</v>
      </c>
      <c r="L9">
        <f t="shared" si="37"/>
        <v>3.1538461538461533</v>
      </c>
      <c r="M9">
        <f t="shared" si="38"/>
        <v>11.2</v>
      </c>
      <c r="O9" t="str">
        <f t="shared" si="0"/>
        <v/>
      </c>
      <c r="P9" t="str">
        <f t="shared" si="39"/>
        <v/>
      </c>
      <c r="V9">
        <f t="shared" si="1"/>
        <v>16.399999999999999</v>
      </c>
      <c r="W9">
        <f t="shared" si="2"/>
        <v>3.1538461538461533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 t="str">
        <f t="shared" si="42"/>
        <v/>
      </c>
      <c r="AU9" s="25" t="str">
        <f t="shared" si="43"/>
        <v/>
      </c>
      <c r="AV9">
        <f t="shared" si="44"/>
        <v>7.7</v>
      </c>
      <c r="AW9" s="25">
        <f t="shared" si="43"/>
        <v>1</v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98.2</v>
      </c>
      <c r="BN9">
        <f t="array" ref="BN9">IFERROR(VALUE(INDEX(AS:AS,SMALL(IF($AS$5:$AS$150&lt;&gt;"",ROW($AS$5:$AS$150),9999),ROW(A5)))&amp;""),"")</f>
        <v>6</v>
      </c>
      <c r="BO9">
        <f t="array" ref="BO9">IFERROR(VALUE(INDEX(AT:AT,SMALL(IF($AT$5:$AT$150&lt;&gt;"",ROW($AT$5:$AT$150),9999),ROW(A5)))&amp;""),"")</f>
        <v>164.7</v>
      </c>
      <c r="BP9">
        <f t="array" ref="BP9">IFERROR(VALUE(INDEX(AU:AU,SMALL(IF($AU$5:$AU$150&lt;&gt;"",ROW($AU$5:$AU$150),9999),ROW(A5)))&amp;""),"")</f>
        <v>6</v>
      </c>
      <c r="BQ9">
        <f t="array" ref="BQ9">IFERROR(VALUE(INDEX(AV:AV,SMALL(IF($AV$5:$AV$150&lt;&gt;"",ROW($AV$5:$AV$150),9999),ROW(A5)))&amp;""),"")</f>
        <v>203.3</v>
      </c>
      <c r="BR9">
        <f t="array" ref="BR9">IFERROR(VALUE(INDEX(AW:AW,SMALL(IF($AW$5:$AW$150&lt;&gt;"",ROW($AW$5:$AW$150),9999),ROW(A5)))&amp;""),"")</f>
        <v>6</v>
      </c>
      <c r="BS9">
        <f t="array" ref="BS9">IFERROR(VALUE(INDEX(AX:AX,SMALL(IF($AX$5:$AX$150&lt;&gt;"",ROW($AX$5:$AX$150),9999),ROW(A5)))&amp;""),"")</f>
        <v>188.2</v>
      </c>
      <c r="BT9">
        <f t="array" ref="BT9">IFERROR(VALUE(INDEX(AY:AY,SMALL(IF($AY$5:$AY$150&lt;&gt;"",ROW($AY$5:$AY$150),9999),ROW(A5)))&amp;""),"")</f>
        <v>6</v>
      </c>
      <c r="BU9">
        <f t="array" ref="BU9">IFERROR(VALUE(INDEX(AZ:AZ,SMALL(IF($AZ$5:$AZ$150&lt;&gt;"",ROW($AZ$5:$AZ$150),9999),ROW(A5)))&amp;""),"")</f>
        <v>250.2</v>
      </c>
      <c r="BV9">
        <f t="array" ref="BV9">IFERROR(VALUE(INDEX(BA:BA,SMALL(IF($BA$5:$BA$150&lt;&gt;"",ROW($BA$5:$BA$150),9999),ROW(A5)))&amp;""),"")</f>
        <v>6</v>
      </c>
      <c r="BX9">
        <f t="shared" si="53"/>
        <v>-80.8</v>
      </c>
      <c r="BY9">
        <f t="shared" si="54"/>
        <v>1.83</v>
      </c>
      <c r="BZ9">
        <f t="shared" si="55"/>
        <v>6</v>
      </c>
      <c r="CA9">
        <f t="shared" si="56"/>
        <v>2.15</v>
      </c>
      <c r="CB9">
        <f t="shared" si="57"/>
        <v>6</v>
      </c>
      <c r="CC9">
        <f t="shared" si="58"/>
        <v>2.0699999999999998</v>
      </c>
      <c r="CD9">
        <f t="shared" si="59"/>
        <v>6</v>
      </c>
      <c r="CE9">
        <f t="shared" si="60"/>
        <v>2.23</v>
      </c>
      <c r="CF9">
        <f t="shared" si="61"/>
        <v>6</v>
      </c>
      <c r="CG9">
        <f t="shared" si="62"/>
        <v>2.13</v>
      </c>
      <c r="CH9">
        <f t="shared" si="63"/>
        <v>6</v>
      </c>
      <c r="CW9" t="str">
        <f t="shared" si="9"/>
        <v/>
      </c>
      <c r="CX9" t="str">
        <f t="shared" si="10"/>
        <v/>
      </c>
      <c r="CY9">
        <f t="shared" si="11"/>
        <v>0</v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8</v>
      </c>
      <c r="B10">
        <v>5</v>
      </c>
      <c r="C10">
        <v>17.5</v>
      </c>
      <c r="D10">
        <v>1</v>
      </c>
      <c r="E10">
        <v>5</v>
      </c>
      <c r="F10">
        <v>13113</v>
      </c>
      <c r="G10">
        <v>41</v>
      </c>
      <c r="H10">
        <v>12.3</v>
      </c>
      <c r="L10">
        <f t="shared" si="37"/>
        <v>1.4227642276422763</v>
      </c>
      <c r="M10">
        <f t="shared" si="38"/>
        <v>5.1999999999999993</v>
      </c>
      <c r="O10">
        <f t="shared" si="0"/>
        <v>17.5</v>
      </c>
      <c r="P10">
        <f t="shared" si="39"/>
        <v>1.4227642276422763</v>
      </c>
      <c r="V10" t="str">
        <f t="shared" si="1"/>
        <v/>
      </c>
      <c r="W10" t="str">
        <f t="shared" si="2"/>
        <v/>
      </c>
      <c r="AJ10">
        <v>6</v>
      </c>
      <c r="AK10" t="e">
        <f>#REF!</f>
        <v>#REF!</v>
      </c>
      <c r="AL10" s="25" t="str">
        <f>IFERROR(RANK(#REF!,AK5:AK22,0),"")</f>
        <v/>
      </c>
      <c r="AR10">
        <f t="shared" si="40"/>
        <v>41</v>
      </c>
      <c r="AS10" s="25">
        <f t="shared" si="41"/>
        <v>5</v>
      </c>
      <c r="AT10" t="str">
        <f t="shared" si="42"/>
        <v/>
      </c>
      <c r="AU10" s="25" t="str">
        <f t="shared" si="43"/>
        <v/>
      </c>
      <c r="AV10" t="str">
        <f t="shared" si="44"/>
        <v/>
      </c>
      <c r="AW10" s="25" t="str">
        <f t="shared" si="43"/>
        <v/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179</v>
      </c>
      <c r="BN10">
        <f t="array" ref="BN10">IFERROR(VALUE(INDEX(AS:AS,SMALL(IF($AS$5:$AS$150&lt;&gt;"",ROW($AS$5:$AS$150),9999),ROW(A6)))&amp;""),"")</f>
        <v>7</v>
      </c>
      <c r="BO10">
        <f t="array" ref="BO10">IFERROR(VALUE(INDEX(AT:AT,SMALL(IF($AT$5:$AT$150&lt;&gt;"",ROW($AT$5:$AT$150),9999),ROW(A6)))&amp;""),"")</f>
        <v>352.8</v>
      </c>
      <c r="BP10">
        <f t="array" ref="BP10">IFERROR(VALUE(INDEX(AU:AU,SMALL(IF($AU$5:$AU$150&lt;&gt;"",ROW($AU$5:$AU$150),9999),ROW(A6)))&amp;""),"")</f>
        <v>7</v>
      </c>
      <c r="BQ10">
        <f t="array" ref="BQ10">IFERROR(VALUE(INDEX(AV:AV,SMALL(IF($AV$5:$AV$150&lt;&gt;"",ROW($AV$5:$AV$150),9999),ROW(A6)))&amp;""),"")</f>
        <v>419.5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418</v>
      </c>
      <c r="BT10">
        <f t="array" ref="BT10">IFERROR(VALUE(INDEX(AY:AY,SMALL(IF($AY$5:$AY$150&lt;&gt;"",ROW($AY$5:$AY$150),9999),ROW(A6)))&amp;""),"")</f>
        <v>7</v>
      </c>
      <c r="BU10">
        <f t="array" ref="BU10">IFERROR(VALUE(INDEX(AZ:AZ,SMALL(IF($AZ$5:$AZ$150&lt;&gt;"",ROW($AZ$5:$AZ$150),9999),ROW(A6)))&amp;""),"")</f>
        <v>530.5</v>
      </c>
      <c r="BV10">
        <f t="array" ref="BV10">IFERROR(VALUE(INDEX(BA:BA,SMALL(IF($BA$5:$BA$150&lt;&gt;"",ROW($BA$5:$BA$150),9999),ROW(A6)))&amp;""),"")</f>
        <v>7</v>
      </c>
      <c r="BX10">
        <f t="shared" si="53"/>
        <v>-199.9</v>
      </c>
      <c r="BY10">
        <f t="shared" si="54"/>
        <v>2.1199999999999997</v>
      </c>
      <c r="BZ10">
        <f t="shared" si="55"/>
        <v>7</v>
      </c>
      <c r="CA10">
        <f t="shared" si="56"/>
        <v>1.99</v>
      </c>
      <c r="CB10">
        <f t="shared" si="57"/>
        <v>7</v>
      </c>
      <c r="CC10">
        <f t="shared" si="58"/>
        <v>1.94</v>
      </c>
      <c r="CD10">
        <f t="shared" si="59"/>
        <v>7</v>
      </c>
      <c r="CE10">
        <f t="shared" si="60"/>
        <v>1.37</v>
      </c>
      <c r="CF10">
        <f t="shared" si="61"/>
        <v>7</v>
      </c>
      <c r="CG10">
        <f t="shared" si="62"/>
        <v>0.81</v>
      </c>
      <c r="CH10">
        <f t="shared" si="63"/>
        <v>7</v>
      </c>
      <c r="CW10">
        <f t="shared" si="9"/>
        <v>0</v>
      </c>
      <c r="CX10" t="str">
        <f t="shared" si="10"/>
        <v/>
      </c>
      <c r="CY10" t="str">
        <f t="shared" si="11"/>
        <v/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 t="str">
        <f t="shared" si="23"/>
        <v/>
      </c>
      <c r="DM10" t="str">
        <f t="shared" si="24"/>
        <v/>
      </c>
      <c r="DN10" t="str">
        <f t="shared" si="25"/>
        <v/>
      </c>
      <c r="DO10" t="str">
        <f t="shared" si="26"/>
        <v/>
      </c>
      <c r="DP10">
        <f t="shared" si="27"/>
        <v>0</v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7</v>
      </c>
      <c r="B11">
        <v>1</v>
      </c>
      <c r="C11">
        <v>20.3</v>
      </c>
      <c r="D11">
        <v>2</v>
      </c>
      <c r="E11">
        <v>3</v>
      </c>
      <c r="F11">
        <v>11322</v>
      </c>
      <c r="G11">
        <v>28.9</v>
      </c>
      <c r="H11">
        <v>11.9</v>
      </c>
      <c r="L11">
        <f t="shared" si="37"/>
        <v>1.7058823529411764</v>
      </c>
      <c r="M11">
        <f t="shared" si="38"/>
        <v>8.4</v>
      </c>
      <c r="O11">
        <f t="shared" si="0"/>
        <v>20.3</v>
      </c>
      <c r="P11">
        <f t="shared" si="39"/>
        <v>1.7058823529411764</v>
      </c>
      <c r="V11" t="str">
        <f t="shared" si="1"/>
        <v/>
      </c>
      <c r="W11" t="str">
        <f t="shared" si="2"/>
        <v/>
      </c>
      <c r="AJ11">
        <v>7</v>
      </c>
      <c r="AK11" t="e">
        <f>#REF!</f>
        <v>#REF!</v>
      </c>
      <c r="AL11" s="25" t="str">
        <f>IFERROR(RANK(#REF!,AK5:AK22,0),"")</f>
        <v/>
      </c>
      <c r="AR11" t="str">
        <f t="shared" si="40"/>
        <v/>
      </c>
      <c r="AS11" s="25" t="str">
        <f t="shared" si="41"/>
        <v/>
      </c>
      <c r="AT11">
        <f t="shared" si="42"/>
        <v>28.9</v>
      </c>
      <c r="AU11" s="25">
        <f t="shared" si="43"/>
        <v>3</v>
      </c>
      <c r="AV11" t="str">
        <f t="shared" si="44"/>
        <v/>
      </c>
      <c r="AW11" s="25" t="str">
        <f t="shared" si="43"/>
        <v/>
      </c>
      <c r="AX11" t="str">
        <f t="shared" si="45"/>
        <v/>
      </c>
      <c r="AY11" s="25" t="str">
        <f t="shared" si="3"/>
        <v/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378.9</v>
      </c>
      <c r="BN11">
        <f t="array" ref="BN11">IFERROR(VALUE(INDEX(AS:AS,SMALL(IF($AS$5:$AS$150&lt;&gt;"",ROW($AS$5:$AS$150),9999),ROW(A7)))&amp;""),"")</f>
        <v>8</v>
      </c>
      <c r="BO11">
        <f t="array" ref="BO11">IFERROR(VALUE(INDEX(AT:AT,SMALL(IF($AT$5:$AT$150&lt;&gt;"",ROW($AT$5:$AT$150),9999),ROW(A7)))&amp;""),"")</f>
        <v>701.4</v>
      </c>
      <c r="BP11">
        <f t="array" ref="BP11">IFERROR(VALUE(INDEX(AU:AU,SMALL(IF($AU$5:$AU$150&lt;&gt;"",ROW($AU$5:$AU$150),9999),ROW(A7)))&amp;""),"")</f>
        <v>8</v>
      </c>
      <c r="BQ11">
        <f t="array" ref="BQ11">IFERROR(VALUE(INDEX(AV:AV,SMALL(IF($AV$5:$AV$150&lt;&gt;"",ROW($AV$5:$AV$150),9999),ROW(A7)))&amp;""),"")</f>
        <v>812.5</v>
      </c>
      <c r="BR11">
        <f t="array" ref="BR11">IFERROR(VALUE(INDEX(AW:AW,SMALL(IF($AW$5:$AW$150&lt;&gt;"",ROW($AW$5:$AW$150),9999),ROW(A7)))&amp;""),"")</f>
        <v>8</v>
      </c>
      <c r="BS11">
        <f t="array" ref="BS11">IFERROR(VALUE(INDEX(AX:AX,SMALL(IF($AX$5:$AX$150&lt;&gt;"",ROW($AX$5:$AX$150),9999),ROW(A7)))&amp;""),"")</f>
        <v>572.6</v>
      </c>
      <c r="BT11">
        <f t="array" ref="BT11">IFERROR(VALUE(INDEX(AY:AY,SMALL(IF($AY$5:$AY$150&lt;&gt;"",ROW($AY$5:$AY$150),9999),ROW(A7)))&amp;""),"")</f>
        <v>8</v>
      </c>
      <c r="BU11">
        <f t="array" ref="BU11">IFERROR(VALUE(INDEX(AZ:AZ,SMALL(IF($AZ$5:$AZ$150&lt;&gt;"",ROW($AZ$5:$AZ$150),9999),ROW(A7)))&amp;""),"")</f>
        <v>424.9</v>
      </c>
      <c r="BV11">
        <f t="array" ref="BV11">IFERROR(VALUE(INDEX(BA:BA,SMALL(IF($BA$5:$BA$150&lt;&gt;"",ROW($BA$5:$BA$150),9999),ROW(A7)))&amp;""),"")</f>
        <v>8</v>
      </c>
      <c r="BX11">
        <f t="shared" si="53"/>
        <v>-110</v>
      </c>
      <c r="BY11">
        <f t="shared" si="54"/>
        <v>1.3</v>
      </c>
      <c r="BZ11">
        <f t="shared" si="55"/>
        <v>8</v>
      </c>
      <c r="CA11">
        <f t="shared" si="56"/>
        <v>0.45</v>
      </c>
      <c r="CB11">
        <f t="shared" si="57"/>
        <v>8</v>
      </c>
      <c r="CC11">
        <f t="shared" si="58"/>
        <v>0.71</v>
      </c>
      <c r="CD11">
        <f t="shared" si="59"/>
        <v>8</v>
      </c>
      <c r="CE11">
        <f t="shared" si="60"/>
        <v>0.61</v>
      </c>
      <c r="CF11">
        <f t="shared" si="61"/>
        <v>8</v>
      </c>
      <c r="CG11">
        <f t="shared" si="62"/>
        <v>5.18</v>
      </c>
      <c r="CH11">
        <f t="shared" si="63"/>
        <v>8</v>
      </c>
      <c r="CW11" t="str">
        <f t="shared" si="9"/>
        <v/>
      </c>
      <c r="CX11">
        <f t="shared" si="10"/>
        <v>0</v>
      </c>
      <c r="CY11" t="str">
        <f t="shared" si="11"/>
        <v/>
      </c>
      <c r="CZ11" t="str">
        <f t="shared" si="12"/>
        <v/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 t="str">
        <f t="shared" si="23"/>
        <v/>
      </c>
      <c r="DM11" t="str">
        <f t="shared" si="24"/>
        <v/>
      </c>
      <c r="DN11">
        <f t="shared" si="25"/>
        <v>0</v>
      </c>
      <c r="DO11" t="str">
        <f t="shared" si="26"/>
        <v/>
      </c>
      <c r="DP11" t="str">
        <f t="shared" si="27"/>
        <v/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3</v>
      </c>
      <c r="B12">
        <v>8</v>
      </c>
      <c r="C12">
        <v>23.5</v>
      </c>
      <c r="D12">
        <v>4</v>
      </c>
      <c r="E12">
        <v>1</v>
      </c>
      <c r="F12">
        <v>9810</v>
      </c>
      <c r="G12">
        <v>9.9</v>
      </c>
      <c r="H12">
        <v>7</v>
      </c>
      <c r="L12">
        <f t="shared" si="37"/>
        <v>3.3571428571428572</v>
      </c>
      <c r="M12">
        <f t="shared" si="38"/>
        <v>16.5</v>
      </c>
      <c r="O12" t="str">
        <f t="shared" si="0"/>
        <v/>
      </c>
      <c r="P12" t="str">
        <f t="shared" si="39"/>
        <v/>
      </c>
      <c r="V12">
        <f t="shared" si="1"/>
        <v>23.5</v>
      </c>
      <c r="W12">
        <f t="shared" si="2"/>
        <v>3.3571428571428572</v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 t="str">
        <f t="shared" si="42"/>
        <v/>
      </c>
      <c r="AU12" s="25" t="str">
        <f t="shared" si="43"/>
        <v/>
      </c>
      <c r="AV12" t="str">
        <f t="shared" si="44"/>
        <v/>
      </c>
      <c r="AW12" s="25" t="str">
        <f t="shared" si="43"/>
        <v/>
      </c>
      <c r="AX12">
        <f t="shared" si="45"/>
        <v>9.9</v>
      </c>
      <c r="AY12" s="25">
        <f t="shared" si="3"/>
        <v>1</v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488.9</v>
      </c>
      <c r="BN12">
        <f t="array" ref="BN12">IFERROR(VALUE(INDEX(AS:AS,SMALL(IF($AS$5:$AS$150&lt;&gt;"",ROW($AS$5:$AS$150),9999),ROW(A8)))&amp;""),"")</f>
        <v>9</v>
      </c>
      <c r="BO12">
        <f t="array" ref="BO12">IFERROR(VALUE(INDEX(AT:AT,SMALL(IF($AT$5:$AT$150&lt;&gt;"",ROW($AT$5:$AT$150),9999),ROW(A8)))&amp;""),"")</f>
        <v>314.39999999999998</v>
      </c>
      <c r="BP12">
        <f t="array" ref="BP12">IFERROR(VALUE(INDEX(AU:AU,SMALL(IF($AU$5:$AU$150&lt;&gt;"",ROW($AU$5:$AU$150),9999),ROW(A8)))&amp;""),"")</f>
        <v>9</v>
      </c>
      <c r="BQ12">
        <f t="array" ref="BQ12">IFERROR(VALUE(INDEX(AV:AV,SMALL(IF($AV$5:$AV$150&lt;&gt;"",ROW($AV$5:$AV$150),9999),ROW(A8)))&amp;""),"")</f>
        <v>575.4</v>
      </c>
      <c r="BR12">
        <f t="array" ref="BR12">IFERROR(VALUE(INDEX(AW:AW,SMALL(IF($AW$5:$AW$150&lt;&gt;"",ROW($AW$5:$AW$150),9999),ROW(A8)))&amp;""),"")</f>
        <v>9</v>
      </c>
      <c r="BS12">
        <f t="array" ref="BS12">IFERROR(VALUE(INDEX(AX:AX,SMALL(IF($AX$5:$AX$150&lt;&gt;"",ROW($AX$5:$AX$150),9999),ROW(A8)))&amp;""),"")</f>
        <v>343.9</v>
      </c>
      <c r="BT12">
        <f t="array" ref="BT12">IFERROR(VALUE(INDEX(AY:AY,SMALL(IF($AY$5:$AY$150&lt;&gt;"",ROW($AY$5:$AY$150),9999),ROW(A8)))&amp;""),"")</f>
        <v>9</v>
      </c>
      <c r="BU12">
        <f t="array" ref="BU12">IFERROR(VALUE(INDEX(AZ:AZ,SMALL(IF($AZ$5:$AZ$150&lt;&gt;"",ROW($AZ$5:$AZ$150),9999),ROW(A8)))&amp;""),"")</f>
        <v>2197.8000000000002</v>
      </c>
      <c r="BV12">
        <f t="array" ref="BV12">IFERROR(VALUE(INDEX(BA:BA,SMALL(IF($BA$5:$BA$150&lt;&gt;"",ROW($BA$5:$BA$150),9999),ROW(A8)))&amp;""),"")</f>
        <v>9</v>
      </c>
      <c r="BX12" t="str">
        <f t="shared" si="53"/>
        <v/>
      </c>
      <c r="BY12" t="str">
        <f t="shared" si="54"/>
        <v/>
      </c>
      <c r="BZ12">
        <f t="shared" si="55"/>
        <v>9</v>
      </c>
      <c r="CA12" t="str">
        <f t="shared" si="56"/>
        <v/>
      </c>
      <c r="CB12">
        <f t="shared" si="57"/>
        <v>9</v>
      </c>
      <c r="CC12" t="str">
        <f t="shared" si="58"/>
        <v/>
      </c>
      <c r="CD12">
        <f t="shared" si="59"/>
        <v>9</v>
      </c>
      <c r="CE12" t="str">
        <f t="shared" si="60"/>
        <v/>
      </c>
      <c r="CF12">
        <f t="shared" si="61"/>
        <v>9</v>
      </c>
      <c r="CG12" t="str">
        <f t="shared" si="62"/>
        <v/>
      </c>
      <c r="CH12">
        <f t="shared" si="63"/>
        <v>9</v>
      </c>
      <c r="CW12" t="str">
        <f t="shared" si="9"/>
        <v/>
      </c>
      <c r="CX12" t="str">
        <f t="shared" si="10"/>
        <v/>
      </c>
      <c r="CY12" t="str">
        <f t="shared" si="11"/>
        <v/>
      </c>
      <c r="CZ12">
        <f t="shared" si="12"/>
        <v>0</v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>
        <f t="shared" si="23"/>
        <v>0</v>
      </c>
      <c r="DM12" t="str">
        <f t="shared" si="24"/>
        <v/>
      </c>
      <c r="DN12" t="str">
        <f t="shared" si="25"/>
        <v/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7</v>
      </c>
      <c r="B13">
        <v>3</v>
      </c>
      <c r="C13">
        <v>26.9</v>
      </c>
      <c r="D13">
        <v>2</v>
      </c>
      <c r="E13">
        <v>4</v>
      </c>
      <c r="F13">
        <v>8575</v>
      </c>
      <c r="G13">
        <v>37.700000000000003</v>
      </c>
      <c r="H13">
        <v>15.7</v>
      </c>
      <c r="L13">
        <f t="shared" si="37"/>
        <v>1.713375796178344</v>
      </c>
      <c r="M13">
        <f t="shared" si="38"/>
        <v>11.2</v>
      </c>
      <c r="O13">
        <f t="shared" si="0"/>
        <v>26.9</v>
      </c>
      <c r="P13">
        <f t="shared" si="39"/>
        <v>1.713375796178344</v>
      </c>
      <c r="V13" t="str">
        <f t="shared" si="1"/>
        <v/>
      </c>
      <c r="W13" t="str">
        <f t="shared" si="2"/>
        <v/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>
        <f t="shared" si="42"/>
        <v>37.700000000000003</v>
      </c>
      <c r="AU13" s="25">
        <f t="shared" si="43"/>
        <v>4</v>
      </c>
      <c r="AV13" t="str">
        <f t="shared" si="44"/>
        <v/>
      </c>
      <c r="AW13" s="25" t="str">
        <f t="shared" si="43"/>
        <v/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 t="str">
        <f t="shared" si="47"/>
        <v/>
      </c>
      <c r="BC13" s="25" t="str">
        <f t="shared" si="48"/>
        <v/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 t="str">
        <f t="array" ref="BM13">IFERROR(VALUE(INDEX(AR:AR,SMALL(IF($AR$5:$AR$150&lt;&gt;"",ROW($AR$5:$AR$150),9999),ROW(A9)))&amp;""),"")</f>
        <v/>
      </c>
      <c r="BN13" t="str">
        <f t="array" ref="BN13">IFERROR(VALUE(INDEX(AS:AS,SMALL(IF($AS$5:$AS$150&lt;&gt;"",ROW($AS$5:$AS$150),9999),ROW(A9)))&amp;""),"")</f>
        <v/>
      </c>
      <c r="BO13" t="str">
        <f t="array" ref="BO13">IFERROR(VALUE(INDEX(AT:AT,SMALL(IF($AT$5:$AT$150&lt;&gt;"",ROW($AT$5:$AT$150),9999),ROW(A9)))&amp;""),"")</f>
        <v/>
      </c>
      <c r="BP13" t="str">
        <f t="array" ref="BP13">IFERROR(VALUE(INDEX(AU:AU,SMALL(IF($AU$5:$AU$150&lt;&gt;"",ROW($AU$5:$AU$150),9999),ROW(A9)))&amp;""),"")</f>
        <v/>
      </c>
      <c r="BQ13" t="str">
        <f t="array" ref="BQ13">IFERROR(VALUE(INDEX(AV:AV,SMALL(IF($AV$5:$AV$150&lt;&gt;"",ROW($AV$5:$AV$150),9999),ROW(A9)))&amp;""),"")</f>
        <v/>
      </c>
      <c r="BR13" t="str">
        <f t="array" ref="BR13">IFERROR(VALUE(INDEX(AW:AW,SMALL(IF($AW$5:$AW$150&lt;&gt;"",ROW($AW$5:$AW$150),9999),ROW(A9)))&amp;""),"")</f>
        <v/>
      </c>
      <c r="BS13" t="str">
        <f t="array" ref="BS13">IFERROR(VALUE(INDEX(AX:AX,SMALL(IF($AX$5:$AX$150&lt;&gt;"",ROW($AX$5:$AX$150),9999),ROW(A9)))&amp;""),"")</f>
        <v/>
      </c>
      <c r="BT13" t="str">
        <f t="array" ref="BT13">IFERROR(VALUE(INDEX(AY:AY,SMALL(IF($AY$5:$AY$150&lt;&gt;"",ROW($AY$5:$AY$150),9999),ROW(A9)))&amp;""),"")</f>
        <v/>
      </c>
      <c r="BU13" t="str">
        <f t="array" ref="BU13">IFERROR(VALUE(INDEX(AZ:AZ,SMALL(IF($AZ$5:$AZ$150&lt;&gt;"",ROW($AZ$5:$AZ$150),9999),ROW(A9)))&amp;""),"")</f>
        <v/>
      </c>
      <c r="BV13" t="str">
        <f t="array" ref="BV13">IFERROR(VALUE(INDEX(BA:BA,SMALL(IF($BA$5:$BA$150&lt;&gt;"",ROW($BA$5:$BA$150),9999),ROW(A9)))&amp;""),"")</f>
        <v/>
      </c>
      <c r="BX13" t="str">
        <f t="shared" si="53"/>
        <v/>
      </c>
      <c r="BY13" t="str">
        <f t="shared" si="54"/>
        <v/>
      </c>
      <c r="BZ13" t="str">
        <f t="shared" si="55"/>
        <v/>
      </c>
      <c r="CA13" t="str">
        <f t="shared" si="56"/>
        <v/>
      </c>
      <c r="CB13" t="str">
        <f t="shared" si="57"/>
        <v/>
      </c>
      <c r="CC13" t="str">
        <f t="shared" si="58"/>
        <v/>
      </c>
      <c r="CD13" t="str">
        <f t="shared" si="59"/>
        <v/>
      </c>
      <c r="CE13" t="str">
        <f t="shared" si="60"/>
        <v/>
      </c>
      <c r="CF13" t="str">
        <f t="shared" si="61"/>
        <v/>
      </c>
      <c r="CG13" t="str">
        <f t="shared" si="62"/>
        <v/>
      </c>
      <c r="CH13" t="str">
        <f t="shared" si="63"/>
        <v/>
      </c>
      <c r="CW13" t="str">
        <f t="shared" si="9"/>
        <v/>
      </c>
      <c r="CX13">
        <f t="shared" si="10"/>
        <v>0</v>
      </c>
      <c r="CY13" t="str">
        <f t="shared" si="11"/>
        <v/>
      </c>
      <c r="CZ13" t="str">
        <f t="shared" si="12"/>
        <v/>
      </c>
      <c r="DA13" t="str">
        <f t="shared" si="13"/>
        <v/>
      </c>
      <c r="DB13" t="str">
        <f t="shared" si="14"/>
        <v/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 t="str">
        <f t="shared" si="23"/>
        <v/>
      </c>
      <c r="DM13" t="str">
        <f t="shared" si="24"/>
        <v/>
      </c>
      <c r="DN13" t="str">
        <f t="shared" si="25"/>
        <v/>
      </c>
      <c r="DO13">
        <f t="shared" si="26"/>
        <v>0</v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1</v>
      </c>
      <c r="B14">
        <v>7</v>
      </c>
      <c r="C14">
        <v>28.9</v>
      </c>
      <c r="D14">
        <v>3</v>
      </c>
      <c r="E14">
        <v>2</v>
      </c>
      <c r="F14">
        <v>7963</v>
      </c>
      <c r="G14">
        <v>20.3</v>
      </c>
      <c r="H14">
        <v>11.9</v>
      </c>
      <c r="L14">
        <f t="shared" si="37"/>
        <v>2.4285714285714284</v>
      </c>
      <c r="M14">
        <f t="shared" si="38"/>
        <v>17</v>
      </c>
      <c r="O14" t="str">
        <f t="shared" si="0"/>
        <v/>
      </c>
      <c r="P14" t="str">
        <f t="shared" si="39"/>
        <v/>
      </c>
      <c r="V14">
        <f t="shared" si="1"/>
        <v>28.9</v>
      </c>
      <c r="W14">
        <f t="shared" si="2"/>
        <v>2.4285714285714284</v>
      </c>
      <c r="AJ14">
        <v>10</v>
      </c>
      <c r="AK14" t="e">
        <f>#REF!</f>
        <v>#REF!</v>
      </c>
      <c r="AL14" s="25" t="str">
        <f>IFERROR(RANK(AK14,AK5:AK22,0),"")</f>
        <v/>
      </c>
      <c r="AR14" t="str">
        <f t="shared" si="40"/>
        <v/>
      </c>
      <c r="AS14" s="25" t="str">
        <f t="shared" si="41"/>
        <v/>
      </c>
      <c r="AT14" t="str">
        <f t="shared" si="42"/>
        <v/>
      </c>
      <c r="AU14" s="25" t="str">
        <f t="shared" si="43"/>
        <v/>
      </c>
      <c r="AV14">
        <f t="shared" si="44"/>
        <v>20.3</v>
      </c>
      <c r="AW14" s="25">
        <f t="shared" si="43"/>
        <v>2</v>
      </c>
      <c r="AX14" t="str">
        <f t="shared" si="45"/>
        <v/>
      </c>
      <c r="AY14" s="25" t="str">
        <f t="shared" si="3"/>
        <v/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 t="str">
        <f t="array" ref="BM14">IFERROR(VALUE(INDEX(AR:AR,SMALL(IF($AR$5:$AR$150&lt;&gt;"",ROW($AR$5:$AR$150),9999),ROW(A10)))&amp;""),"")</f>
        <v/>
      </c>
      <c r="BN14" t="str">
        <f t="array" ref="BN14">IFERROR(VALUE(INDEX(AS:AS,SMALL(IF($AS$5:$AS$150&lt;&gt;"",ROW($AS$5:$AS$150),9999),ROW(A10)))&amp;""),"")</f>
        <v/>
      </c>
      <c r="BO14" t="str">
        <f t="array" ref="BO14">IFERROR(VALUE(INDEX(AT:AT,SMALL(IF($AT$5:$AT$150&lt;&gt;"",ROW($AT$5:$AT$150),9999),ROW(A10)))&amp;""),"")</f>
        <v/>
      </c>
      <c r="BP14" t="str">
        <f t="array" ref="BP14">IFERROR(VALUE(INDEX(AU:AU,SMALL(IF($AU$5:$AU$150&lt;&gt;"",ROW($AU$5:$AU$150),9999),ROW(A10)))&amp;""),"")</f>
        <v/>
      </c>
      <c r="BQ14" t="str">
        <f t="array" ref="BQ14">IFERROR(VALUE(INDEX(AV:AV,SMALL(IF($AV$5:$AV$150&lt;&gt;"",ROW($AV$5:$AV$150),9999),ROW(A10)))&amp;""),"")</f>
        <v/>
      </c>
      <c r="BR14" t="str">
        <f t="array" ref="BR14">IFERROR(VALUE(INDEX(AW:AW,SMALL(IF($AW$5:$AW$150&lt;&gt;"",ROW($AW$5:$AW$150),9999),ROW(A10)))&amp;""),"")</f>
        <v/>
      </c>
      <c r="BS14" t="str">
        <f t="array" ref="BS14">IFERROR(VALUE(INDEX(AX:AX,SMALL(IF($AX$5:$AX$150&lt;&gt;"",ROW($AX$5:$AX$150),9999),ROW(A10)))&amp;""),"")</f>
        <v/>
      </c>
      <c r="BT14" t="str">
        <f t="array" ref="BT14">IFERROR(VALUE(INDEX(AY:AY,SMALL(IF($AY$5:$AY$150&lt;&gt;"",ROW($AY$5:$AY$150),9999),ROW(A10)))&amp;""),"")</f>
        <v/>
      </c>
      <c r="BU14" t="str">
        <f t="array" ref="BU14">IFERROR(VALUE(INDEX(AZ:AZ,SMALL(IF($AZ$5:$AZ$150&lt;&gt;"",ROW($AZ$5:$AZ$150),9999),ROW(A10)))&amp;""),"")</f>
        <v/>
      </c>
      <c r="BV14" t="str">
        <f t="array" ref="BV14">IFERROR(VALUE(INDEX(BA:BA,SMALL(IF($BA$5:$BA$150&lt;&gt;"",ROW($BA$5:$BA$150),9999),ROW(A10)))&amp;""),"")</f>
        <v/>
      </c>
      <c r="BX14" t="str">
        <f t="shared" si="53"/>
        <v/>
      </c>
      <c r="BY14" t="str">
        <f t="shared" si="54"/>
        <v/>
      </c>
      <c r="BZ14" t="str">
        <f t="shared" si="55"/>
        <v/>
      </c>
      <c r="CA14" t="str">
        <f t="shared" si="56"/>
        <v/>
      </c>
      <c r="CB14" t="str">
        <f t="shared" si="57"/>
        <v/>
      </c>
      <c r="CC14" t="str">
        <f t="shared" si="58"/>
        <v/>
      </c>
      <c r="CD14" t="str">
        <f t="shared" si="59"/>
        <v/>
      </c>
      <c r="CE14" t="str">
        <f t="shared" si="60"/>
        <v/>
      </c>
      <c r="CF14" t="str">
        <f t="shared" si="61"/>
        <v/>
      </c>
      <c r="CG14" t="str">
        <f t="shared" si="62"/>
        <v/>
      </c>
      <c r="CH14" t="str">
        <f t="shared" si="63"/>
        <v/>
      </c>
      <c r="CW14" t="str">
        <f t="shared" si="9"/>
        <v/>
      </c>
      <c r="CX14" t="str">
        <f t="shared" si="10"/>
        <v/>
      </c>
      <c r="CY14">
        <f t="shared" si="11"/>
        <v>0</v>
      </c>
      <c r="CZ14" t="str">
        <f t="shared" si="12"/>
        <v/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>
        <f t="shared" si="24"/>
        <v>0</v>
      </c>
      <c r="DN14" t="str">
        <f t="shared" si="25"/>
        <v/>
      </c>
      <c r="DO14" t="str">
        <f t="shared" si="26"/>
        <v/>
      </c>
      <c r="DP14" t="str">
        <f t="shared" si="27"/>
        <v/>
      </c>
      <c r="DQ14" t="str">
        <f t="shared" si="28"/>
        <v/>
      </c>
      <c r="DR14" t="str">
        <f t="shared" si="29"/>
        <v/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8</v>
      </c>
      <c r="B15">
        <v>2</v>
      </c>
      <c r="C15">
        <v>35.299999999999997</v>
      </c>
      <c r="D15">
        <v>1</v>
      </c>
      <c r="E15">
        <v>6</v>
      </c>
      <c r="F15">
        <v>6537</v>
      </c>
      <c r="G15">
        <v>98.2</v>
      </c>
      <c r="H15">
        <v>26</v>
      </c>
      <c r="L15">
        <f t="shared" si="37"/>
        <v>1.3576923076923075</v>
      </c>
      <c r="M15">
        <f t="shared" si="38"/>
        <v>9.2999999999999972</v>
      </c>
      <c r="O15">
        <f t="shared" si="0"/>
        <v>35.299999999999997</v>
      </c>
      <c r="P15">
        <f t="shared" si="39"/>
        <v>1.3576923076923075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>
        <f t="shared" si="40"/>
        <v>98.2</v>
      </c>
      <c r="AS15" s="25">
        <f t="shared" si="41"/>
        <v>6</v>
      </c>
      <c r="AT15" t="str">
        <f t="shared" si="42"/>
        <v/>
      </c>
      <c r="AU15" s="25" t="str">
        <f t="shared" si="43"/>
        <v/>
      </c>
      <c r="AV15" t="str">
        <f t="shared" si="44"/>
        <v/>
      </c>
      <c r="AW15" s="25" t="str">
        <f t="shared" si="43"/>
        <v/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 t="str">
        <f t="array" ref="BM15">IFERROR(VALUE(INDEX(AR:AR,SMALL(IF($AR$5:$AR$150&lt;&gt;"",ROW($AR$5:$AR$150),9999),ROW(A11)))&amp;""),"")</f>
        <v/>
      </c>
      <c r="BN15" t="str">
        <f t="array" ref="BN15">IFERROR(VALUE(INDEX(AS:AS,SMALL(IF($AS$5:$AS$150&lt;&gt;"",ROW($AS$5:$AS$150),9999),ROW(A11)))&amp;""),"")</f>
        <v/>
      </c>
      <c r="BO15" t="str">
        <f t="array" ref="BO15">IFERROR(VALUE(INDEX(AT:AT,SMALL(IF($AT$5:$AT$150&lt;&gt;"",ROW($AT$5:$AT$150),9999),ROW(A11)))&amp;""),"")</f>
        <v/>
      </c>
      <c r="BP15" t="str">
        <f t="array" ref="BP15">IFERROR(VALUE(INDEX(AU:AU,SMALL(IF($AU$5:$AU$150&lt;&gt;"",ROW($AU$5:$AU$150),9999),ROW(A11)))&amp;""),"")</f>
        <v/>
      </c>
      <c r="BQ15" t="str">
        <f t="array" ref="BQ15">IFERROR(VALUE(INDEX(AV:AV,SMALL(IF($AV$5:$AV$150&lt;&gt;"",ROW($AV$5:$AV$150),9999),ROW(A11)))&amp;""),"")</f>
        <v/>
      </c>
      <c r="BR15" t="str">
        <f t="array" ref="BR15">IFERROR(VALUE(INDEX(AW:AW,SMALL(IF($AW$5:$AW$150&lt;&gt;"",ROW($AW$5:$AW$150),9999),ROW(A11)))&amp;""),"")</f>
        <v/>
      </c>
      <c r="BS15" t="str">
        <f t="array" ref="BS15">IFERROR(VALUE(INDEX(AX:AX,SMALL(IF($AX$5:$AX$150&lt;&gt;"",ROW($AX$5:$AX$150),9999),ROW(A11)))&amp;""),"")</f>
        <v/>
      </c>
      <c r="BT15" t="str">
        <f t="array" ref="BT15">IFERROR(VALUE(INDEX(AY:AY,SMALL(IF($AY$5:$AY$150&lt;&gt;"",ROW($AY$5:$AY$150),9999),ROW(A11)))&amp;""),"")</f>
        <v/>
      </c>
      <c r="BU15" t="str">
        <f t="array" ref="BU15">IFERROR(VALUE(INDEX(AZ:AZ,SMALL(IF($AZ$5:$AZ$150&lt;&gt;"",ROW($AZ$5:$AZ$150),9999),ROW(A11)))&amp;""),"")</f>
        <v/>
      </c>
      <c r="BV15" t="str">
        <f t="array" ref="BV15">IFERROR(VALUE(INDEX(BA:BA,SMALL(IF($BA$5:$BA$150&lt;&gt;"",ROW($BA$5:$BA$150),9999),ROW(A11)))&amp;""),"")</f>
        <v/>
      </c>
      <c r="BX15" t="str">
        <f t="shared" si="53"/>
        <v/>
      </c>
      <c r="BY15" t="str">
        <f t="shared" si="54"/>
        <v/>
      </c>
      <c r="BZ15" t="str">
        <f t="shared" si="55"/>
        <v/>
      </c>
      <c r="CA15" t="str">
        <f t="shared" si="56"/>
        <v/>
      </c>
      <c r="CB15" t="str">
        <f t="shared" si="57"/>
        <v/>
      </c>
      <c r="CC15" t="str">
        <f t="shared" si="58"/>
        <v/>
      </c>
      <c r="CD15" t="str">
        <f t="shared" si="59"/>
        <v/>
      </c>
      <c r="CE15" t="str">
        <f t="shared" si="60"/>
        <v/>
      </c>
      <c r="CF15" t="str">
        <f t="shared" si="61"/>
        <v/>
      </c>
      <c r="CG15" t="str">
        <f t="shared" si="62"/>
        <v/>
      </c>
      <c r="CH15" t="str">
        <f t="shared" si="63"/>
        <v/>
      </c>
      <c r="CW15">
        <f t="shared" si="9"/>
        <v>0</v>
      </c>
      <c r="CX15" t="str">
        <f t="shared" si="10"/>
        <v/>
      </c>
      <c r="CY15" t="str">
        <f t="shared" si="11"/>
        <v/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 t="str">
        <f t="shared" si="25"/>
        <v/>
      </c>
      <c r="DO15" t="str">
        <f t="shared" si="26"/>
        <v/>
      </c>
      <c r="DP15" t="str">
        <f t="shared" si="27"/>
        <v/>
      </c>
      <c r="DQ15">
        <f t="shared" si="28"/>
        <v>0</v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3</v>
      </c>
      <c r="B16">
        <v>7</v>
      </c>
      <c r="C16">
        <v>37.700000000000003</v>
      </c>
      <c r="D16">
        <v>4</v>
      </c>
      <c r="E16">
        <v>2</v>
      </c>
      <c r="F16">
        <v>6110</v>
      </c>
      <c r="G16">
        <v>26.9</v>
      </c>
      <c r="H16">
        <v>15.7</v>
      </c>
      <c r="L16">
        <f t="shared" si="37"/>
        <v>2.4012738853503186</v>
      </c>
      <c r="M16">
        <f t="shared" si="38"/>
        <v>22.000000000000004</v>
      </c>
      <c r="O16" t="str">
        <f t="shared" si="0"/>
        <v/>
      </c>
      <c r="P16" t="str">
        <f t="shared" si="39"/>
        <v/>
      </c>
      <c r="V16">
        <f t="shared" si="1"/>
        <v>37.700000000000003</v>
      </c>
      <c r="W16">
        <f t="shared" si="2"/>
        <v>2.4012738853503186</v>
      </c>
      <c r="AJ16">
        <v>12</v>
      </c>
      <c r="AK16" t="e">
        <f>#REF!</f>
        <v>#REF!</v>
      </c>
      <c r="AL16" s="25" t="str">
        <f>IFERROR(RANK(AK16,AK5:AK22,0),"")</f>
        <v/>
      </c>
      <c r="AR16" t="str">
        <f t="shared" si="40"/>
        <v/>
      </c>
      <c r="AS16" s="25" t="str">
        <f t="shared" si="41"/>
        <v/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>
        <f t="shared" si="45"/>
        <v>26.9</v>
      </c>
      <c r="AY16" s="25">
        <f t="shared" si="3"/>
        <v>2</v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 t="str">
        <f t="array" ref="BM16">IFERROR(VALUE(INDEX(AR:AR,SMALL(IF($AR$5:$AR$150&lt;&gt;"",ROW($AR$5:$AR$150),9999),ROW(A12)))&amp;""),"")</f>
        <v/>
      </c>
      <c r="BN16" t="str">
        <f t="array" ref="BN16">IFERROR(VALUE(INDEX(AS:AS,SMALL(IF($AS$5:$AS$150&lt;&gt;"",ROW($AS$5:$AS$150),9999),ROW(A12)))&amp;""),"")</f>
        <v/>
      </c>
      <c r="BO16" t="str">
        <f t="array" ref="BO16">IFERROR(VALUE(INDEX(AT:AT,SMALL(IF($AT$5:$AT$150&lt;&gt;"",ROW($AT$5:$AT$150),9999),ROW(A12)))&amp;""),"")</f>
        <v/>
      </c>
      <c r="BP16" t="str">
        <f t="array" ref="BP16">IFERROR(VALUE(INDEX(AU:AU,SMALL(IF($AU$5:$AU$150&lt;&gt;"",ROW($AU$5:$AU$150),9999),ROW(A12)))&amp;""),"")</f>
        <v/>
      </c>
      <c r="BQ16" t="str">
        <f t="array" ref="BQ16">IFERROR(VALUE(INDEX(AV:AV,SMALL(IF($AV$5:$AV$150&lt;&gt;"",ROW($AV$5:$AV$150),9999),ROW(A12)))&amp;""),"")</f>
        <v/>
      </c>
      <c r="BR16" t="str">
        <f t="array" ref="BR16">IFERROR(VALUE(INDEX(AW:AW,SMALL(IF($AW$5:$AW$150&lt;&gt;"",ROW($AW$5:$AW$150),9999),ROW(A12)))&amp;""),"")</f>
        <v/>
      </c>
      <c r="BS16" t="str">
        <f t="array" ref="BS16">IFERROR(VALUE(INDEX(AX:AX,SMALL(IF($AX$5:$AX$150&lt;&gt;"",ROW($AX$5:$AX$150),9999),ROW(A12)))&amp;""),"")</f>
        <v/>
      </c>
      <c r="BT16" t="str">
        <f t="array" ref="BT16">IFERROR(VALUE(INDEX(AY:AY,SMALL(IF($AY$5:$AY$150&lt;&gt;"",ROW($AY$5:$AY$150),9999),ROW(A12)))&amp;""),"")</f>
        <v/>
      </c>
      <c r="BU16" t="str">
        <f t="array" ref="BU16">IFERROR(VALUE(INDEX(AZ:AZ,SMALL(IF($AZ$5:$AZ$150&lt;&gt;"",ROW($AZ$5:$AZ$150),9999),ROW(A12)))&amp;""),"")</f>
        <v/>
      </c>
      <c r="BV16" t="str">
        <f t="array" ref="BV16">IFERROR(VALUE(INDEX(BA:BA,SMALL(IF($BA$5:$BA$150&lt;&gt;"",ROW($BA$5:$BA$150),9999),ROW(A12)))&amp;""),"")</f>
        <v/>
      </c>
      <c r="BX16" t="str">
        <f t="shared" si="53"/>
        <v/>
      </c>
      <c r="BY16" t="str">
        <f t="shared" si="54"/>
        <v/>
      </c>
      <c r="BZ16" t="str">
        <f t="shared" si="55"/>
        <v/>
      </c>
      <c r="CA16" t="str">
        <f t="shared" si="56"/>
        <v/>
      </c>
      <c r="CB16" t="str">
        <f t="shared" si="57"/>
        <v/>
      </c>
      <c r="CC16" t="str">
        <f t="shared" si="58"/>
        <v/>
      </c>
      <c r="CD16" t="str">
        <f t="shared" si="59"/>
        <v/>
      </c>
      <c r="CE16" t="str">
        <f t="shared" si="60"/>
        <v/>
      </c>
      <c r="CF16" t="str">
        <f t="shared" si="61"/>
        <v/>
      </c>
      <c r="CG16" t="str">
        <f t="shared" si="62"/>
        <v/>
      </c>
      <c r="CH16" t="str">
        <f t="shared" si="63"/>
        <v/>
      </c>
      <c r="CW16" t="str">
        <f t="shared" si="9"/>
        <v/>
      </c>
      <c r="CX16" t="str">
        <f t="shared" si="10"/>
        <v/>
      </c>
      <c r="CY16" t="str">
        <f t="shared" si="11"/>
        <v/>
      </c>
      <c r="CZ16">
        <f t="shared" si="12"/>
        <v>0</v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 t="str">
        <f t="shared" si="23"/>
        <v/>
      </c>
      <c r="DM16">
        <f t="shared" si="24"/>
        <v>0</v>
      </c>
      <c r="DN16" t="str">
        <f t="shared" si="25"/>
        <v/>
      </c>
      <c r="DO16" t="str">
        <f t="shared" si="26"/>
        <v/>
      </c>
      <c r="DP16" t="str">
        <f t="shared" si="27"/>
        <v/>
      </c>
      <c r="DQ16" t="str">
        <f t="shared" si="28"/>
        <v/>
      </c>
      <c r="DR16" t="str">
        <f t="shared" si="29"/>
        <v/>
      </c>
      <c r="DS16" t="str">
        <f t="shared" si="30"/>
        <v/>
      </c>
      <c r="DT16" t="str">
        <f t="shared" si="31"/>
        <v/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7</v>
      </c>
      <c r="B17">
        <v>5</v>
      </c>
      <c r="C17">
        <v>38</v>
      </c>
      <c r="D17">
        <v>2</v>
      </c>
      <c r="E17">
        <v>5</v>
      </c>
      <c r="F17">
        <v>6066</v>
      </c>
      <c r="G17">
        <v>57.6</v>
      </c>
      <c r="H17">
        <v>22.9</v>
      </c>
      <c r="L17">
        <f t="shared" si="37"/>
        <v>1.6593886462882097</v>
      </c>
      <c r="M17">
        <f t="shared" si="38"/>
        <v>15.100000000000001</v>
      </c>
      <c r="O17">
        <f t="shared" si="0"/>
        <v>38</v>
      </c>
      <c r="P17">
        <f t="shared" si="39"/>
        <v>1.6593886462882097</v>
      </c>
      <c r="V17" t="str">
        <f t="shared" si="1"/>
        <v/>
      </c>
      <c r="W17" t="str">
        <f t="shared" si="2"/>
        <v/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>
        <f t="shared" si="42"/>
        <v>57.6</v>
      </c>
      <c r="AU17" s="25">
        <f t="shared" si="43"/>
        <v>5</v>
      </c>
      <c r="AV17" t="str">
        <f t="shared" si="44"/>
        <v/>
      </c>
      <c r="AW17" s="25" t="str">
        <f t="shared" si="43"/>
        <v/>
      </c>
      <c r="AX17" t="str">
        <f t="shared" si="45"/>
        <v/>
      </c>
      <c r="AY17" s="25" t="str">
        <f t="shared" si="3"/>
        <v/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 t="str">
        <f t="array" ref="BM17">IFERROR(VALUE(INDEX(AR:AR,SMALL(IF($AR$5:$AR$150&lt;&gt;"",ROW($AR$5:$AR$150),9999),ROW(A13)))&amp;""),"")</f>
        <v/>
      </c>
      <c r="BN17" t="str">
        <f t="array" ref="BN17">IFERROR(VALUE(INDEX(AS:AS,SMALL(IF($AS$5:$AS$150&lt;&gt;"",ROW($AS$5:$AS$150),9999),ROW(A13)))&amp;""),"")</f>
        <v/>
      </c>
      <c r="BO17" t="str">
        <f t="array" ref="BO17">IFERROR(VALUE(INDEX(AT:AT,SMALL(IF($AT$5:$AT$150&lt;&gt;"",ROW($AT$5:$AT$150),9999),ROW(A13)))&amp;""),"")</f>
        <v/>
      </c>
      <c r="BP17" t="str">
        <f t="array" ref="BP17">IFERROR(VALUE(INDEX(AU:AU,SMALL(IF($AU$5:$AU$150&lt;&gt;"",ROW($AU$5:$AU$150),9999),ROW(A13)))&amp;""),"")</f>
        <v/>
      </c>
      <c r="BQ17" t="str">
        <f t="array" ref="BQ17">IFERROR(VALUE(INDEX(AV:AV,SMALL(IF($AV$5:$AV$150&lt;&gt;"",ROW($AV$5:$AV$150),9999),ROW(A13)))&amp;""),"")</f>
        <v/>
      </c>
      <c r="BR17" t="str">
        <f t="array" ref="BR17">IFERROR(VALUE(INDEX(AW:AW,SMALL(IF($AW$5:$AW$150&lt;&gt;"",ROW($AW$5:$AW$150),9999),ROW(A13)))&amp;""),"")</f>
        <v/>
      </c>
      <c r="BS17" t="str">
        <f t="array" ref="BS17">IFERROR(VALUE(INDEX(AX:AX,SMALL(IF($AX$5:$AX$150&lt;&gt;"",ROW($AX$5:$AX$150),9999),ROW(A13)))&amp;""),"")</f>
        <v/>
      </c>
      <c r="BT17" t="str">
        <f t="array" ref="BT17">IFERROR(VALUE(INDEX(AY:AY,SMALL(IF($AY$5:$AY$150&lt;&gt;"",ROW($AY$5:$AY$150),9999),ROW(A13)))&amp;""),"")</f>
        <v/>
      </c>
      <c r="BU17" t="str">
        <f t="array" ref="BU17">IFERROR(VALUE(INDEX(AZ:AZ,SMALL(IF($AZ$5:$AZ$150&lt;&gt;"",ROW($AZ$5:$AZ$150),9999),ROW(A13)))&amp;""),"")</f>
        <v/>
      </c>
      <c r="BV17" t="str">
        <f t="array" ref="BV17">IFERROR(VALUE(INDEX(BA:BA,SMALL(IF($BA$5:$BA$150&lt;&gt;"",ROW($BA$5:$BA$150),9999),ROW(A13)))&amp;""),"")</f>
        <v/>
      </c>
      <c r="BX17" t="str">
        <f t="shared" si="53"/>
        <v/>
      </c>
      <c r="BY17" t="str">
        <f t="shared" si="54"/>
        <v/>
      </c>
      <c r="BZ17" t="str">
        <f t="shared" si="55"/>
        <v/>
      </c>
      <c r="CA17" t="str">
        <f t="shared" si="56"/>
        <v/>
      </c>
      <c r="CB17" t="str">
        <f t="shared" si="57"/>
        <v/>
      </c>
      <c r="CC17" t="str">
        <f t="shared" si="58"/>
        <v/>
      </c>
      <c r="CD17" t="str">
        <f t="shared" si="59"/>
        <v/>
      </c>
      <c r="CE17" t="str">
        <f t="shared" si="60"/>
        <v/>
      </c>
      <c r="CF17" t="str">
        <f t="shared" si="61"/>
        <v/>
      </c>
      <c r="CG17" t="str">
        <f t="shared" si="62"/>
        <v/>
      </c>
      <c r="CH17" t="str">
        <f t="shared" si="63"/>
        <v/>
      </c>
      <c r="CW17" t="str">
        <f t="shared" si="9"/>
        <v/>
      </c>
      <c r="CX17">
        <f t="shared" si="10"/>
        <v>0</v>
      </c>
      <c r="CY17" t="str">
        <f t="shared" si="11"/>
        <v/>
      </c>
      <c r="CZ17" t="str">
        <f t="shared" si="12"/>
        <v/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 t="str">
        <f t="shared" si="24"/>
        <v/>
      </c>
      <c r="DN17" t="str">
        <f t="shared" si="25"/>
        <v/>
      </c>
      <c r="DO17" t="str">
        <f t="shared" si="26"/>
        <v/>
      </c>
      <c r="DP17">
        <f t="shared" si="27"/>
        <v>0</v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5</v>
      </c>
      <c r="B18">
        <v>8</v>
      </c>
      <c r="C18">
        <v>41</v>
      </c>
      <c r="D18">
        <v>5</v>
      </c>
      <c r="E18">
        <v>1</v>
      </c>
      <c r="F18">
        <v>5616</v>
      </c>
      <c r="G18">
        <v>17.5</v>
      </c>
      <c r="H18">
        <v>12.3</v>
      </c>
      <c r="L18">
        <f t="shared" si="37"/>
        <v>3.333333333333333</v>
      </c>
      <c r="M18">
        <f t="shared" si="38"/>
        <v>28.7</v>
      </c>
      <c r="O18" t="str">
        <f t="shared" si="0"/>
        <v/>
      </c>
      <c r="P18" t="str">
        <f t="shared" si="39"/>
        <v/>
      </c>
      <c r="V18">
        <f t="shared" si="1"/>
        <v>41</v>
      </c>
      <c r="W18">
        <f t="shared" si="2"/>
        <v>3.333333333333333</v>
      </c>
      <c r="AJ18">
        <v>14</v>
      </c>
      <c r="AK18" t="e">
        <f>#REF!</f>
        <v>#REF!</v>
      </c>
      <c r="AL18" s="25" t="str">
        <f>IFERROR(RANK(AK18,AK5:AK22,0),"")</f>
        <v/>
      </c>
      <c r="AR18" t="str">
        <f t="shared" si="40"/>
        <v/>
      </c>
      <c r="AS18" s="25" t="str">
        <f t="shared" si="41"/>
        <v/>
      </c>
      <c r="AT18" t="str">
        <f t="shared" si="42"/>
        <v/>
      </c>
      <c r="AU18" s="25" t="str">
        <f t="shared" si="43"/>
        <v/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>
        <f t="shared" si="46"/>
        <v>17.5</v>
      </c>
      <c r="BA18" s="25">
        <f t="shared" si="4"/>
        <v>1</v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 t="str">
        <f t="array" ref="BM18">IFERROR(VALUE(INDEX(AR:AR,SMALL(IF($AR$5:$AR$150&lt;&gt;"",ROW($AR$5:$AR$150),9999),ROW(A14)))&amp;""),"")</f>
        <v/>
      </c>
      <c r="BN18" t="str">
        <f t="array" ref="BN18">IFERROR(VALUE(INDEX(AS:AS,SMALL(IF($AS$5:$AS$150&lt;&gt;"",ROW($AS$5:$AS$150),9999),ROW(A14)))&amp;""),"")</f>
        <v/>
      </c>
      <c r="BO18" t="str">
        <f t="array" ref="BO18">IFERROR(VALUE(INDEX(AT:AT,SMALL(IF($AT$5:$AT$150&lt;&gt;"",ROW($AT$5:$AT$150),9999),ROW(A14)))&amp;""),"")</f>
        <v/>
      </c>
      <c r="BP18" t="str">
        <f t="array" ref="BP18">IFERROR(VALUE(INDEX(AU:AU,SMALL(IF($AU$5:$AU$150&lt;&gt;"",ROW($AU$5:$AU$150),9999),ROW(A14)))&amp;""),"")</f>
        <v/>
      </c>
      <c r="BQ18" t="str">
        <f t="array" ref="BQ18">IFERROR(VALUE(INDEX(AV:AV,SMALL(IF($AV$5:$AV$150&lt;&gt;"",ROW($AV$5:$AV$150),9999),ROW(A14)))&amp;""),"")</f>
        <v/>
      </c>
      <c r="BR18" t="str">
        <f t="array" ref="BR18">IFERROR(VALUE(INDEX(AW:AW,SMALL(IF($AW$5:$AW$150&lt;&gt;"",ROW($AW$5:$AW$150),9999),ROW(A14)))&amp;""),"")</f>
        <v/>
      </c>
      <c r="BS18" t="str">
        <f t="array" ref="BS18">IFERROR(VALUE(INDEX(AX:AX,SMALL(IF($AX$5:$AX$150&lt;&gt;"",ROW($AX$5:$AX$150),9999),ROW(A14)))&amp;""),"")</f>
        <v/>
      </c>
      <c r="BT18" t="str">
        <f t="array" ref="BT18">IFERROR(VALUE(INDEX(AY:AY,SMALL(IF($AY$5:$AY$150&lt;&gt;"",ROW($AY$5:$AY$150),9999),ROW(A14)))&amp;""),"")</f>
        <v/>
      </c>
      <c r="BU18" t="str">
        <f t="array" ref="BU18">IFERROR(VALUE(INDEX(AZ:AZ,SMALL(IF($AZ$5:$AZ$150&lt;&gt;"",ROW($AZ$5:$AZ$150),9999),ROW(A14)))&amp;""),"")</f>
        <v/>
      </c>
      <c r="BV18" t="str">
        <f t="array" ref="BV18">IFERROR(VALUE(INDEX(BA:BA,SMALL(IF($BA$5:$BA$150&lt;&gt;"",ROW($BA$5:$BA$150),9999),ROW(A14)))&amp;""),"")</f>
        <v/>
      </c>
      <c r="BX18" t="str">
        <f t="shared" si="53"/>
        <v/>
      </c>
      <c r="BY18" t="str">
        <f t="shared" si="54"/>
        <v/>
      </c>
      <c r="BZ18" t="str">
        <f t="shared" si="55"/>
        <v/>
      </c>
      <c r="CA18" t="str">
        <f t="shared" si="56"/>
        <v/>
      </c>
      <c r="CB18" t="str">
        <f t="shared" si="57"/>
        <v/>
      </c>
      <c r="CC18" t="str">
        <f t="shared" si="58"/>
        <v/>
      </c>
      <c r="CD18" t="str">
        <f t="shared" si="59"/>
        <v/>
      </c>
      <c r="CE18" t="str">
        <f t="shared" si="60"/>
        <v/>
      </c>
      <c r="CF18" t="str">
        <f t="shared" si="61"/>
        <v/>
      </c>
      <c r="CG18" t="str">
        <f t="shared" si="62"/>
        <v/>
      </c>
      <c r="CH18" t="str">
        <f t="shared" si="63"/>
        <v/>
      </c>
      <c r="CW18" t="str">
        <f t="shared" si="9"/>
        <v/>
      </c>
      <c r="CX18" t="str">
        <f t="shared" si="10"/>
        <v/>
      </c>
      <c r="CY18" t="str">
        <f t="shared" si="11"/>
        <v/>
      </c>
      <c r="CZ18" t="str">
        <f t="shared" si="12"/>
        <v/>
      </c>
      <c r="DA18">
        <f t="shared" si="13"/>
        <v>0</v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>
        <f t="shared" si="23"/>
        <v>0</v>
      </c>
      <c r="DM18" t="str">
        <f t="shared" si="24"/>
        <v/>
      </c>
      <c r="DN18" t="str">
        <f t="shared" si="25"/>
        <v/>
      </c>
      <c r="DO18" t="str">
        <f t="shared" si="26"/>
        <v/>
      </c>
      <c r="DP18" t="str">
        <f t="shared" si="27"/>
        <v/>
      </c>
      <c r="DQ18" t="str">
        <f t="shared" si="28"/>
        <v/>
      </c>
      <c r="DR18" t="str">
        <f t="shared" si="29"/>
        <v/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1</v>
      </c>
      <c r="B19">
        <v>3</v>
      </c>
      <c r="C19">
        <v>43.7</v>
      </c>
      <c r="D19">
        <v>3</v>
      </c>
      <c r="E19">
        <v>4</v>
      </c>
      <c r="F19">
        <v>5271</v>
      </c>
      <c r="G19">
        <v>52.2</v>
      </c>
      <c r="H19">
        <v>23.8</v>
      </c>
      <c r="L19">
        <f t="shared" si="37"/>
        <v>1.8361344537815127</v>
      </c>
      <c r="M19">
        <f t="shared" si="38"/>
        <v>19.900000000000002</v>
      </c>
      <c r="O19">
        <f t="shared" si="0"/>
        <v>43.7</v>
      </c>
      <c r="P19">
        <f t="shared" si="39"/>
        <v>1.8361344537815127</v>
      </c>
      <c r="V19" t="str">
        <f t="shared" si="1"/>
        <v/>
      </c>
      <c r="W19" t="str">
        <f t="shared" si="2"/>
        <v/>
      </c>
      <c r="AJ19">
        <v>15</v>
      </c>
      <c r="AK19">
        <f>AF105</f>
        <v>0</v>
      </c>
      <c r="AL19" s="25" t="str">
        <f>IFERROR(RANK(AK19,AK5:AK22,0),"")</f>
        <v/>
      </c>
      <c r="AR19" t="str">
        <f t="shared" si="40"/>
        <v/>
      </c>
      <c r="AS19" s="25" t="str">
        <f t="shared" si="41"/>
        <v/>
      </c>
      <c r="AT19" t="str">
        <f t="shared" si="42"/>
        <v/>
      </c>
      <c r="AU19" s="25" t="str">
        <f t="shared" si="43"/>
        <v/>
      </c>
      <c r="AV19">
        <f t="shared" si="44"/>
        <v>52.2</v>
      </c>
      <c r="AW19" s="25">
        <f t="shared" si="43"/>
        <v>4</v>
      </c>
      <c r="AX19" t="str">
        <f t="shared" si="45"/>
        <v/>
      </c>
      <c r="AY19" s="25" t="str">
        <f t="shared" si="3"/>
        <v/>
      </c>
      <c r="AZ19" t="str">
        <f t="shared" si="46"/>
        <v/>
      </c>
      <c r="BA19" s="25" t="str">
        <f t="shared" si="4"/>
        <v/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 t="str">
        <f t="array" ref="BM19">IFERROR(VALUE(INDEX(AR:AR,SMALL(IF($AR$5:$AR$150&lt;&gt;"",ROW($AR$5:$AR$150),9999),ROW(A15)))&amp;""),"")</f>
        <v/>
      </c>
      <c r="BN19" t="str">
        <f t="array" ref="BN19">IFERROR(VALUE(INDEX(AS:AS,SMALL(IF($AS$5:$AS$150&lt;&gt;"",ROW($AS$5:$AS$150),9999),ROW(A15)))&amp;""),"")</f>
        <v/>
      </c>
      <c r="BO19" t="str">
        <f t="array" ref="BO19">IFERROR(VALUE(INDEX(AT:AT,SMALL(IF($AT$5:$AT$150&lt;&gt;"",ROW($AT$5:$AT$150),9999),ROW(A15)))&amp;""),"")</f>
        <v/>
      </c>
      <c r="BP19" t="str">
        <f t="array" ref="BP19">IFERROR(VALUE(INDEX(AU:AU,SMALL(IF($AU$5:$AU$150&lt;&gt;"",ROW($AU$5:$AU$150),9999),ROW(A15)))&amp;""),"")</f>
        <v/>
      </c>
      <c r="BQ19" t="str">
        <f t="array" ref="BQ19">IFERROR(VALUE(INDEX(AV:AV,SMALL(IF($AV$5:$AV$150&lt;&gt;"",ROW($AV$5:$AV$150),9999),ROW(A15)))&amp;""),"")</f>
        <v/>
      </c>
      <c r="BR19" t="str">
        <f t="array" ref="BR19">IFERROR(VALUE(INDEX(AW:AW,SMALL(IF($AW$5:$AW$150&lt;&gt;"",ROW($AW$5:$AW$150),9999),ROW(A15)))&amp;""),"")</f>
        <v/>
      </c>
      <c r="BS19" t="str">
        <f t="array" ref="BS19">IFERROR(VALUE(INDEX(AX:AX,SMALL(IF($AX$5:$AX$150&lt;&gt;"",ROW($AX$5:$AX$150),9999),ROW(A15)))&amp;""),"")</f>
        <v/>
      </c>
      <c r="BT19" t="str">
        <f t="array" ref="BT19">IFERROR(VALUE(INDEX(AY:AY,SMALL(IF($AY$5:$AY$150&lt;&gt;"",ROW($AY$5:$AY$150),9999),ROW(A15)))&amp;""),"")</f>
        <v/>
      </c>
      <c r="BU19" t="str">
        <f t="array" ref="BU19">IFERROR(VALUE(INDEX(AZ:AZ,SMALL(IF($AZ$5:$AZ$150&lt;&gt;"",ROW($AZ$5:$AZ$150),9999),ROW(A15)))&amp;""),"")</f>
        <v/>
      </c>
      <c r="BV19" t="str">
        <f t="array" ref="BV19">IFERROR(VALUE(INDEX(BA:BA,SMALL(IF($BA$5:$BA$150&lt;&gt;"",ROW($BA$5:$BA$150),9999),ROW(A15)))&amp;""),"")</f>
        <v/>
      </c>
      <c r="BX19" t="str">
        <f t="shared" si="53"/>
        <v/>
      </c>
      <c r="BY19" t="str">
        <f t="shared" si="54"/>
        <v/>
      </c>
      <c r="BZ19" t="str">
        <f t="shared" si="55"/>
        <v/>
      </c>
      <c r="CA19" t="str">
        <f t="shared" si="56"/>
        <v/>
      </c>
      <c r="CB19" t="str">
        <f t="shared" si="57"/>
        <v/>
      </c>
      <c r="CC19" t="str">
        <f t="shared" si="58"/>
        <v/>
      </c>
      <c r="CD19" t="str">
        <f t="shared" si="59"/>
        <v/>
      </c>
      <c r="CE19" t="str">
        <f t="shared" si="60"/>
        <v/>
      </c>
      <c r="CF19" t="str">
        <f t="shared" si="61"/>
        <v/>
      </c>
      <c r="CG19" t="str">
        <f t="shared" si="62"/>
        <v/>
      </c>
      <c r="CH19" t="str">
        <f t="shared" si="63"/>
        <v/>
      </c>
      <c r="CW19" t="str">
        <f t="shared" si="9"/>
        <v/>
      </c>
      <c r="CX19" t="str">
        <f t="shared" si="10"/>
        <v/>
      </c>
      <c r="CY19">
        <f t="shared" si="11"/>
        <v>0</v>
      </c>
      <c r="CZ19" t="str">
        <f t="shared" si="12"/>
        <v/>
      </c>
      <c r="DA19" t="str">
        <f t="shared" si="13"/>
        <v/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 t="str">
        <f t="shared" si="23"/>
        <v/>
      </c>
      <c r="DM19" t="str">
        <f t="shared" si="24"/>
        <v/>
      </c>
      <c r="DN19" t="str">
        <f t="shared" si="25"/>
        <v/>
      </c>
      <c r="DO19">
        <f t="shared" si="26"/>
        <v>0</v>
      </c>
      <c r="DP19" t="str">
        <f t="shared" si="27"/>
        <v/>
      </c>
      <c r="DQ19" t="str">
        <f t="shared" si="28"/>
        <v/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1</v>
      </c>
      <c r="B20">
        <v>5</v>
      </c>
      <c r="C20">
        <v>49.7</v>
      </c>
      <c r="D20">
        <v>3</v>
      </c>
      <c r="E20">
        <v>5</v>
      </c>
      <c r="F20">
        <v>4642</v>
      </c>
      <c r="G20">
        <v>60.9</v>
      </c>
      <c r="H20">
        <v>27.4</v>
      </c>
      <c r="L20">
        <f t="shared" si="37"/>
        <v>1.8138686131386863</v>
      </c>
      <c r="M20">
        <f t="shared" si="38"/>
        <v>22.300000000000004</v>
      </c>
      <c r="O20">
        <f t="shared" si="0"/>
        <v>49.7</v>
      </c>
      <c r="P20">
        <f t="shared" si="39"/>
        <v>1.8138686131386863</v>
      </c>
      <c r="V20" t="str">
        <f t="shared" si="1"/>
        <v/>
      </c>
      <c r="W20" t="str">
        <f t="shared" si="2"/>
        <v/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 t="str">
        <f t="shared" si="42"/>
        <v/>
      </c>
      <c r="AU20" s="25" t="str">
        <f t="shared" si="43"/>
        <v/>
      </c>
      <c r="AV20">
        <f t="shared" si="44"/>
        <v>60.9</v>
      </c>
      <c r="AW20" s="25">
        <f t="shared" si="43"/>
        <v>5</v>
      </c>
      <c r="AX20" t="str">
        <f t="shared" si="45"/>
        <v/>
      </c>
      <c r="AY20" s="25" t="str">
        <f t="shared" si="3"/>
        <v/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 t="str">
        <f t="shared" si="10"/>
        <v/>
      </c>
      <c r="CY20">
        <f t="shared" si="11"/>
        <v>0</v>
      </c>
      <c r="CZ20" t="str">
        <f t="shared" si="12"/>
        <v/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 t="str">
        <f t="shared" si="25"/>
        <v/>
      </c>
      <c r="DO20" t="str">
        <f t="shared" si="26"/>
        <v/>
      </c>
      <c r="DP20">
        <f t="shared" si="27"/>
        <v>0</v>
      </c>
      <c r="DQ20" t="str">
        <f t="shared" si="28"/>
        <v/>
      </c>
      <c r="DR20" t="str">
        <f t="shared" si="29"/>
        <v/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8</v>
      </c>
      <c r="B21">
        <v>9</v>
      </c>
      <c r="C21">
        <v>51.1</v>
      </c>
      <c r="D21">
        <v>1</v>
      </c>
      <c r="E21">
        <v>7</v>
      </c>
      <c r="F21">
        <v>4510</v>
      </c>
      <c r="G21">
        <v>179</v>
      </c>
      <c r="H21">
        <v>39.799999999999997</v>
      </c>
      <c r="L21">
        <f t="shared" si="37"/>
        <v>1.2839195979899498</v>
      </c>
      <c r="M21">
        <f t="shared" si="38"/>
        <v>11.300000000000004</v>
      </c>
      <c r="O21">
        <f t="shared" si="0"/>
        <v>51.1</v>
      </c>
      <c r="P21">
        <f t="shared" si="39"/>
        <v>1.2839195979899498</v>
      </c>
      <c r="V21" t="str">
        <f t="shared" si="1"/>
        <v/>
      </c>
      <c r="W21" t="str">
        <f t="shared" si="2"/>
        <v/>
      </c>
      <c r="AJ21">
        <v>17</v>
      </c>
      <c r="AK21">
        <f>AH105</f>
        <v>0</v>
      </c>
      <c r="AL21" s="25" t="str">
        <f>IFERROR(RANK(AK21,AK5:AK22,0),"")</f>
        <v/>
      </c>
      <c r="AR21">
        <f t="shared" si="40"/>
        <v>179</v>
      </c>
      <c r="AS21" s="25">
        <f t="shared" si="41"/>
        <v>7</v>
      </c>
      <c r="AT21" t="str">
        <f t="shared" si="42"/>
        <v/>
      </c>
      <c r="AU21" s="25" t="str">
        <f t="shared" si="43"/>
        <v/>
      </c>
      <c r="AV21" t="str">
        <f t="shared" si="44"/>
        <v/>
      </c>
      <c r="AW21" s="25" t="str">
        <f t="shared" si="43"/>
        <v/>
      </c>
      <c r="AX21" t="str">
        <f t="shared" si="45"/>
        <v/>
      </c>
      <c r="AY21" s="25" t="str">
        <f t="shared" si="3"/>
        <v/>
      </c>
      <c r="AZ21" t="str">
        <f t="shared" si="46"/>
        <v/>
      </c>
      <c r="BA21" s="25" t="str">
        <f t="shared" si="4"/>
        <v/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>
        <f t="shared" si="9"/>
        <v>0</v>
      </c>
      <c r="CX21" t="str">
        <f t="shared" si="10"/>
        <v/>
      </c>
      <c r="CY21" t="str">
        <f t="shared" si="11"/>
        <v/>
      </c>
      <c r="CZ21" t="str">
        <f t="shared" si="12"/>
        <v/>
      </c>
      <c r="DA21" t="str">
        <f t="shared" si="13"/>
        <v/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 t="str">
        <f t="shared" si="23"/>
        <v/>
      </c>
      <c r="DM21" t="str">
        <f t="shared" si="24"/>
        <v/>
      </c>
      <c r="DN21" t="str">
        <f t="shared" si="25"/>
        <v/>
      </c>
      <c r="DO21" t="str">
        <f t="shared" si="26"/>
        <v/>
      </c>
      <c r="DP21" t="str">
        <f t="shared" si="27"/>
        <v/>
      </c>
      <c r="DQ21" t="str">
        <f t="shared" si="28"/>
        <v/>
      </c>
      <c r="DR21">
        <f t="shared" si="29"/>
        <v>0</v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3</v>
      </c>
      <c r="B22">
        <v>1</v>
      </c>
      <c r="C22">
        <v>52.2</v>
      </c>
      <c r="D22">
        <v>4</v>
      </c>
      <c r="E22">
        <v>3</v>
      </c>
      <c r="F22">
        <v>4417</v>
      </c>
      <c r="G22">
        <v>43.7</v>
      </c>
      <c r="H22">
        <v>23.8</v>
      </c>
      <c r="L22">
        <f t="shared" si="37"/>
        <v>2.1932773109243699</v>
      </c>
      <c r="M22">
        <f t="shared" si="38"/>
        <v>28.400000000000002</v>
      </c>
      <c r="O22" t="str">
        <f t="shared" si="0"/>
        <v/>
      </c>
      <c r="P22" t="str">
        <f t="shared" si="39"/>
        <v/>
      </c>
      <c r="V22">
        <f t="shared" si="1"/>
        <v>52.2</v>
      </c>
      <c r="W22">
        <f t="shared" si="2"/>
        <v>2.1932773109243699</v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 t="str">
        <f t="shared" si="42"/>
        <v/>
      </c>
      <c r="AU22" s="25" t="str">
        <f t="shared" si="43"/>
        <v/>
      </c>
      <c r="AV22" t="str">
        <f t="shared" si="44"/>
        <v/>
      </c>
      <c r="AW22" s="25" t="str">
        <f t="shared" si="43"/>
        <v/>
      </c>
      <c r="AX22">
        <f t="shared" si="45"/>
        <v>43.7</v>
      </c>
      <c r="AY22" s="25">
        <f t="shared" si="3"/>
        <v>3</v>
      </c>
      <c r="AZ22" t="str">
        <f t="shared" si="46"/>
        <v/>
      </c>
      <c r="BA22" s="25" t="str">
        <f t="shared" si="4"/>
        <v/>
      </c>
      <c r="BB22" t="str">
        <f t="shared" si="47"/>
        <v/>
      </c>
      <c r="BC22" s="25" t="str">
        <f t="shared" si="48"/>
        <v/>
      </c>
      <c r="BD22" t="str">
        <f t="shared" si="49"/>
        <v/>
      </c>
      <c r="BE22" s="25" t="str">
        <f t="shared" si="5"/>
        <v/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 t="str">
        <f t="shared" si="10"/>
        <v/>
      </c>
      <c r="CY22" t="str">
        <f t="shared" si="11"/>
        <v/>
      </c>
      <c r="CZ22">
        <f t="shared" si="12"/>
        <v>0</v>
      </c>
      <c r="DA22" t="str">
        <f t="shared" si="13"/>
        <v/>
      </c>
      <c r="DB22" t="str">
        <f t="shared" si="14"/>
        <v/>
      </c>
      <c r="DC22" t="str">
        <f t="shared" si="15"/>
        <v/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 t="str">
        <f t="shared" si="23"/>
        <v/>
      </c>
      <c r="DM22" t="str">
        <f t="shared" si="24"/>
        <v/>
      </c>
      <c r="DN22">
        <f t="shared" si="25"/>
        <v>0</v>
      </c>
      <c r="DO22" t="str">
        <f t="shared" si="26"/>
        <v/>
      </c>
      <c r="DP22" t="str">
        <f t="shared" si="27"/>
        <v/>
      </c>
      <c r="DQ22" t="str">
        <f t="shared" si="28"/>
        <v/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5</v>
      </c>
      <c r="B23">
        <v>7</v>
      </c>
      <c r="C23">
        <v>57.6</v>
      </c>
      <c r="D23">
        <v>5</v>
      </c>
      <c r="E23">
        <v>2</v>
      </c>
      <c r="F23">
        <v>4000</v>
      </c>
      <c r="G23">
        <v>38</v>
      </c>
      <c r="H23">
        <v>22.9</v>
      </c>
      <c r="L23">
        <f t="shared" si="37"/>
        <v>2.5152838427947599</v>
      </c>
      <c r="M23">
        <f t="shared" si="38"/>
        <v>34.700000000000003</v>
      </c>
      <c r="O23" t="str">
        <f t="shared" si="0"/>
        <v/>
      </c>
      <c r="P23" t="str">
        <f t="shared" si="39"/>
        <v/>
      </c>
      <c r="V23">
        <f t="shared" si="1"/>
        <v>57.6</v>
      </c>
      <c r="W23">
        <f t="shared" si="2"/>
        <v>2.5152838427947599</v>
      </c>
      <c r="AR23" t="str">
        <f t="shared" si="40"/>
        <v/>
      </c>
      <c r="AS23" s="25" t="str">
        <f t="shared" si="41"/>
        <v/>
      </c>
      <c r="AT23" t="str">
        <f t="shared" si="42"/>
        <v/>
      </c>
      <c r="AU23" s="25" t="str">
        <f t="shared" si="43"/>
        <v/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>
        <f t="shared" si="46"/>
        <v>38</v>
      </c>
      <c r="BA23" s="25">
        <f t="shared" si="4"/>
        <v>2</v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 t="str">
        <f t="shared" si="10"/>
        <v/>
      </c>
      <c r="CY23" t="str">
        <f t="shared" si="11"/>
        <v/>
      </c>
      <c r="CZ23" t="str">
        <f t="shared" si="12"/>
        <v/>
      </c>
      <c r="DA23">
        <f t="shared" si="13"/>
        <v>0</v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>
        <f t="shared" si="24"/>
        <v>0</v>
      </c>
      <c r="DN23" t="str">
        <f t="shared" si="25"/>
        <v/>
      </c>
      <c r="DO23" t="str">
        <f t="shared" si="26"/>
        <v/>
      </c>
      <c r="DP23" t="str">
        <f t="shared" si="27"/>
        <v/>
      </c>
      <c r="DQ23" t="str">
        <f t="shared" si="28"/>
        <v/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5</v>
      </c>
      <c r="B24">
        <v>1</v>
      </c>
      <c r="C24">
        <v>60.9</v>
      </c>
      <c r="D24">
        <v>5</v>
      </c>
      <c r="E24">
        <v>3</v>
      </c>
      <c r="F24">
        <v>3787</v>
      </c>
      <c r="G24">
        <v>49.7</v>
      </c>
      <c r="H24">
        <v>27.4</v>
      </c>
      <c r="L24">
        <f t="shared" si="37"/>
        <v>2.2226277372262775</v>
      </c>
      <c r="M24">
        <f t="shared" si="38"/>
        <v>33.5</v>
      </c>
      <c r="O24" t="str">
        <f t="shared" si="0"/>
        <v/>
      </c>
      <c r="P24" t="str">
        <f t="shared" si="39"/>
        <v/>
      </c>
      <c r="V24">
        <f t="shared" si="1"/>
        <v>60.9</v>
      </c>
      <c r="W24">
        <f t="shared" si="2"/>
        <v>2.2226277372262775</v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 t="str">
        <f t="shared" si="45"/>
        <v/>
      </c>
      <c r="AY24" s="25" t="str">
        <f t="shared" si="3"/>
        <v/>
      </c>
      <c r="AZ24">
        <f t="shared" si="46"/>
        <v>49.7</v>
      </c>
      <c r="BA24" s="25">
        <f t="shared" si="4"/>
        <v>3</v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 t="str">
        <f t="shared" si="12"/>
        <v/>
      </c>
      <c r="DA24">
        <f t="shared" si="13"/>
        <v>0</v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 t="str">
        <f t="shared" si="24"/>
        <v/>
      </c>
      <c r="DN24">
        <f t="shared" si="25"/>
        <v>0</v>
      </c>
      <c r="DO24" t="str">
        <f t="shared" si="26"/>
        <v/>
      </c>
      <c r="DP24" t="str">
        <f t="shared" si="27"/>
        <v/>
      </c>
      <c r="DQ24" t="str">
        <f t="shared" si="28"/>
        <v/>
      </c>
      <c r="DR24" t="str">
        <f t="shared" si="29"/>
        <v/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3</v>
      </c>
      <c r="B25">
        <v>5</v>
      </c>
      <c r="C25">
        <v>66.3</v>
      </c>
      <c r="D25">
        <v>4</v>
      </c>
      <c r="E25">
        <v>5</v>
      </c>
      <c r="F25">
        <v>3479</v>
      </c>
      <c r="G25">
        <v>72.099999999999994</v>
      </c>
      <c r="H25">
        <v>34.5</v>
      </c>
      <c r="L25">
        <f t="shared" si="37"/>
        <v>1.9217391304347826</v>
      </c>
      <c r="M25">
        <f t="shared" si="38"/>
        <v>31.799999999999997</v>
      </c>
      <c r="O25">
        <f t="shared" si="0"/>
        <v>66.3</v>
      </c>
      <c r="P25">
        <f t="shared" si="39"/>
        <v>1.9217391304347826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 t="str">
        <f t="shared" si="44"/>
        <v/>
      </c>
      <c r="AW25" s="25" t="str">
        <f t="shared" si="43"/>
        <v/>
      </c>
      <c r="AX25">
        <f t="shared" si="45"/>
        <v>72.099999999999994</v>
      </c>
      <c r="AY25" s="25">
        <f t="shared" si="3"/>
        <v>5</v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 t="str">
        <f t="shared" si="11"/>
        <v/>
      </c>
      <c r="CZ25">
        <f t="shared" si="12"/>
        <v>0</v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5</v>
      </c>
      <c r="B26">
        <v>3</v>
      </c>
      <c r="C26">
        <v>72.099999999999994</v>
      </c>
      <c r="D26">
        <v>5</v>
      </c>
      <c r="E26">
        <v>4</v>
      </c>
      <c r="F26">
        <v>3197</v>
      </c>
      <c r="G26">
        <v>66.3</v>
      </c>
      <c r="H26">
        <v>34.5</v>
      </c>
      <c r="L26">
        <f t="shared" si="37"/>
        <v>2.0898550724637679</v>
      </c>
      <c r="M26">
        <f t="shared" si="38"/>
        <v>37.599999999999994</v>
      </c>
      <c r="O26" t="str">
        <f t="shared" si="0"/>
        <v/>
      </c>
      <c r="P26" t="str">
        <f t="shared" si="39"/>
        <v/>
      </c>
      <c r="V26">
        <f t="shared" si="1"/>
        <v>72.099999999999994</v>
      </c>
      <c r="W26">
        <f t="shared" si="2"/>
        <v>2.0898550724637679</v>
      </c>
      <c r="AR26" t="str">
        <f t="shared" si="40"/>
        <v/>
      </c>
      <c r="AS26" s="25" t="str">
        <f t="shared" si="41"/>
        <v/>
      </c>
      <c r="AT26" t="str">
        <f t="shared" si="42"/>
        <v/>
      </c>
      <c r="AU26" s="25" t="str">
        <f t="shared" si="43"/>
        <v/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>
        <f t="shared" si="46"/>
        <v>66.3</v>
      </c>
      <c r="BA26" s="25">
        <f t="shared" si="4"/>
        <v>4</v>
      </c>
      <c r="BB26" t="str">
        <f t="shared" si="47"/>
        <v/>
      </c>
      <c r="BC26" s="25" t="str">
        <f t="shared" si="48"/>
        <v/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 t="str">
        <f t="shared" si="10"/>
        <v/>
      </c>
      <c r="CY26" t="str">
        <f t="shared" si="11"/>
        <v/>
      </c>
      <c r="CZ26" t="str">
        <f t="shared" si="12"/>
        <v/>
      </c>
      <c r="DA26">
        <f t="shared" si="13"/>
        <v>0</v>
      </c>
      <c r="DB26" t="str">
        <f t="shared" si="14"/>
        <v/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 t="str">
        <f t="shared" si="24"/>
        <v/>
      </c>
      <c r="DN26" t="str">
        <f t="shared" si="25"/>
        <v/>
      </c>
      <c r="DO26">
        <f t="shared" si="26"/>
        <v>0</v>
      </c>
      <c r="DP26" t="str">
        <f t="shared" si="27"/>
        <v/>
      </c>
      <c r="DQ26" t="str">
        <f t="shared" si="28"/>
        <v/>
      </c>
      <c r="DR26" t="str">
        <f t="shared" si="29"/>
        <v/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7</v>
      </c>
      <c r="B27">
        <v>2</v>
      </c>
      <c r="C27">
        <v>95.2</v>
      </c>
      <c r="D27">
        <v>2</v>
      </c>
      <c r="E27">
        <v>6</v>
      </c>
      <c r="F27">
        <v>2422</v>
      </c>
      <c r="G27">
        <v>164.7</v>
      </c>
      <c r="H27">
        <v>60.3</v>
      </c>
      <c r="L27">
        <f t="shared" si="37"/>
        <v>1.5787728026533998</v>
      </c>
      <c r="M27">
        <f t="shared" si="38"/>
        <v>34.900000000000006</v>
      </c>
      <c r="O27">
        <f t="shared" si="0"/>
        <v>95.2</v>
      </c>
      <c r="P27">
        <f t="shared" si="39"/>
        <v>1.5787728026533998</v>
      </c>
      <c r="V27" t="str">
        <f t="shared" si="1"/>
        <v/>
      </c>
      <c r="W27" t="str">
        <f t="shared" si="2"/>
        <v/>
      </c>
      <c r="AR27" t="str">
        <f t="shared" si="40"/>
        <v/>
      </c>
      <c r="AS27" s="25" t="str">
        <f t="shared" si="41"/>
        <v/>
      </c>
      <c r="AT27">
        <f t="shared" si="42"/>
        <v>164.7</v>
      </c>
      <c r="AU27" s="25">
        <f t="shared" si="43"/>
        <v>6</v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 t="str">
        <f t="shared" si="46"/>
        <v/>
      </c>
      <c r="BA27" s="25" t="str">
        <f t="shared" si="4"/>
        <v/>
      </c>
      <c r="BB27" t="str">
        <f t="shared" si="47"/>
        <v/>
      </c>
      <c r="BC27" s="25" t="str">
        <f t="shared" si="48"/>
        <v/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 t="str">
        <f t="shared" si="9"/>
        <v/>
      </c>
      <c r="CX27">
        <f t="shared" si="10"/>
        <v>0</v>
      </c>
      <c r="CY27" t="str">
        <f t="shared" si="11"/>
        <v/>
      </c>
      <c r="CZ27" t="str">
        <f t="shared" si="12"/>
        <v/>
      </c>
      <c r="DA27" t="str">
        <f t="shared" si="13"/>
        <v/>
      </c>
      <c r="DB27" t="str">
        <f t="shared" si="14"/>
        <v/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 t="str">
        <f t="shared" si="25"/>
        <v/>
      </c>
      <c r="DO27" t="str">
        <f t="shared" si="26"/>
        <v/>
      </c>
      <c r="DP27" t="str">
        <f t="shared" si="27"/>
        <v/>
      </c>
      <c r="DQ27">
        <f t="shared" si="28"/>
        <v>0</v>
      </c>
      <c r="DR27" t="str">
        <f t="shared" si="29"/>
        <v/>
      </c>
      <c r="DS27" t="str">
        <f t="shared" si="30"/>
        <v/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2</v>
      </c>
      <c r="B28">
        <v>8</v>
      </c>
      <c r="C28">
        <v>98.2</v>
      </c>
      <c r="D28">
        <v>6</v>
      </c>
      <c r="E28">
        <v>1</v>
      </c>
      <c r="F28">
        <v>2350</v>
      </c>
      <c r="G28">
        <v>35.299999999999997</v>
      </c>
      <c r="H28">
        <v>26</v>
      </c>
      <c r="L28">
        <f t="shared" si="37"/>
        <v>3.7769230769230768</v>
      </c>
      <c r="M28">
        <f t="shared" si="38"/>
        <v>72.2</v>
      </c>
      <c r="O28" t="str">
        <f t="shared" si="0"/>
        <v/>
      </c>
      <c r="P28" t="str">
        <f t="shared" si="39"/>
        <v/>
      </c>
      <c r="V28">
        <f t="shared" si="1"/>
        <v>98.2</v>
      </c>
      <c r="W28">
        <f t="shared" si="2"/>
        <v>3.7769230769230768</v>
      </c>
      <c r="AR28" t="str">
        <f t="shared" si="40"/>
        <v/>
      </c>
      <c r="AS28" s="25" t="str">
        <f t="shared" si="41"/>
        <v/>
      </c>
      <c r="AT28" t="str">
        <f t="shared" si="42"/>
        <v/>
      </c>
      <c r="AU28" s="25" t="str">
        <f t="shared" si="43"/>
        <v/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>
        <f t="shared" si="47"/>
        <v>35.299999999999997</v>
      </c>
      <c r="BC28" s="25">
        <f t="shared" si="48"/>
        <v>1</v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 t="str">
        <f t="shared" si="9"/>
        <v/>
      </c>
      <c r="CX28" t="str">
        <f t="shared" si="10"/>
        <v/>
      </c>
      <c r="CY28" t="str">
        <f t="shared" si="11"/>
        <v/>
      </c>
      <c r="CZ28" t="str">
        <f t="shared" si="12"/>
        <v/>
      </c>
      <c r="DA28" t="str">
        <f t="shared" si="13"/>
        <v/>
      </c>
      <c r="DB28">
        <f t="shared" si="14"/>
        <v>0</v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>
        <f t="shared" si="23"/>
        <v>0</v>
      </c>
      <c r="DM28" t="str">
        <f t="shared" si="24"/>
        <v/>
      </c>
      <c r="DN28" t="str">
        <f t="shared" si="25"/>
        <v/>
      </c>
      <c r="DO28" t="str">
        <f t="shared" si="26"/>
        <v/>
      </c>
      <c r="DP28" t="str">
        <f t="shared" si="27"/>
        <v/>
      </c>
      <c r="DQ28" t="str">
        <f t="shared" si="28"/>
        <v/>
      </c>
      <c r="DR28" t="str">
        <f t="shared" si="29"/>
        <v/>
      </c>
      <c r="DS28" t="str">
        <f t="shared" si="30"/>
        <v/>
      </c>
      <c r="DT28" t="str">
        <f t="shared" si="31"/>
        <v/>
      </c>
      <c r="DU28" t="str">
        <f t="shared" si="32"/>
        <v/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8</v>
      </c>
      <c r="B29">
        <v>6</v>
      </c>
      <c r="C29">
        <v>121.9</v>
      </c>
      <c r="D29">
        <v>1</v>
      </c>
      <c r="E29">
        <v>8</v>
      </c>
      <c r="F29">
        <v>1893</v>
      </c>
      <c r="G29">
        <v>378.9</v>
      </c>
      <c r="H29">
        <v>92.2</v>
      </c>
      <c r="L29">
        <f t="shared" si="37"/>
        <v>1.3221258134490239</v>
      </c>
      <c r="M29">
        <f t="shared" si="38"/>
        <v>29.700000000000003</v>
      </c>
      <c r="O29">
        <f t="shared" si="0"/>
        <v>121.9</v>
      </c>
      <c r="P29">
        <f t="shared" si="39"/>
        <v>1.3221258134490239</v>
      </c>
      <c r="V29" t="str">
        <f t="shared" si="1"/>
        <v/>
      </c>
      <c r="W29" t="str">
        <f t="shared" si="2"/>
        <v/>
      </c>
      <c r="AR29">
        <f t="shared" si="40"/>
        <v>378.9</v>
      </c>
      <c r="AS29" s="25">
        <f t="shared" si="41"/>
        <v>8</v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 t="str">
        <f t="shared" si="45"/>
        <v/>
      </c>
      <c r="AY29" s="25" t="str">
        <f t="shared" si="3"/>
        <v/>
      </c>
      <c r="AZ29" t="str">
        <f t="shared" si="46"/>
        <v/>
      </c>
      <c r="BA29" s="25" t="str">
        <f t="shared" si="4"/>
        <v/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>
        <f t="shared" si="9"/>
        <v>0</v>
      </c>
      <c r="CX29" t="str">
        <f t="shared" si="10"/>
        <v/>
      </c>
      <c r="CY29" t="str">
        <f t="shared" si="11"/>
        <v/>
      </c>
      <c r="CZ29" t="str">
        <f t="shared" si="12"/>
        <v/>
      </c>
      <c r="DA29" t="str">
        <f t="shared" si="13"/>
        <v/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 t="str">
        <f t="shared" si="24"/>
        <v/>
      </c>
      <c r="DN29" t="str">
        <f t="shared" si="25"/>
        <v/>
      </c>
      <c r="DO29" t="str">
        <f t="shared" si="26"/>
        <v/>
      </c>
      <c r="DP29" t="str">
        <f t="shared" si="27"/>
        <v/>
      </c>
      <c r="DQ29" t="str">
        <f t="shared" si="28"/>
        <v/>
      </c>
      <c r="DR29" t="str">
        <f t="shared" si="29"/>
        <v/>
      </c>
      <c r="DS29">
        <f t="shared" si="30"/>
        <v>0</v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3</v>
      </c>
      <c r="B30">
        <v>2</v>
      </c>
      <c r="C30">
        <v>145</v>
      </c>
      <c r="D30">
        <v>4</v>
      </c>
      <c r="E30">
        <v>6</v>
      </c>
      <c r="F30">
        <v>1591</v>
      </c>
      <c r="G30">
        <v>188.2</v>
      </c>
      <c r="H30">
        <v>81.900000000000006</v>
      </c>
      <c r="L30">
        <f t="shared" si="37"/>
        <v>1.7704517704517704</v>
      </c>
      <c r="M30">
        <f t="shared" si="38"/>
        <v>63.099999999999994</v>
      </c>
      <c r="O30">
        <f t="shared" si="0"/>
        <v>145</v>
      </c>
      <c r="P30">
        <f t="shared" si="39"/>
        <v>1.7704517704517704</v>
      </c>
      <c r="V30" t="str">
        <f t="shared" si="1"/>
        <v/>
      </c>
      <c r="W30" t="str">
        <f t="shared" si="2"/>
        <v/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>
        <f t="shared" si="45"/>
        <v>188.2</v>
      </c>
      <c r="AY30" s="25">
        <f t="shared" si="3"/>
        <v>6</v>
      </c>
      <c r="AZ30" t="str">
        <f t="shared" si="46"/>
        <v/>
      </c>
      <c r="BA30" s="25" t="str">
        <f t="shared" si="4"/>
        <v/>
      </c>
      <c r="BB30" t="str">
        <f t="shared" si="47"/>
        <v/>
      </c>
      <c r="BC30" s="25" t="str">
        <f t="shared" si="48"/>
        <v/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>
        <f t="shared" si="12"/>
        <v>0</v>
      </c>
      <c r="DA30" t="str">
        <f t="shared" si="13"/>
        <v/>
      </c>
      <c r="DB30" t="str">
        <f t="shared" si="14"/>
        <v/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 t="str">
        <f t="shared" si="23"/>
        <v/>
      </c>
      <c r="DM30" t="str">
        <f t="shared" si="24"/>
        <v/>
      </c>
      <c r="DN30" t="str">
        <f t="shared" si="25"/>
        <v/>
      </c>
      <c r="DO30" t="str">
        <f t="shared" si="26"/>
        <v/>
      </c>
      <c r="DP30" t="str">
        <f t="shared" si="27"/>
        <v/>
      </c>
      <c r="DQ30">
        <f t="shared" si="28"/>
        <v>0</v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1</v>
      </c>
      <c r="B31">
        <v>2</v>
      </c>
      <c r="C31">
        <v>146.19999999999999</v>
      </c>
      <c r="D31">
        <v>3</v>
      </c>
      <c r="E31">
        <v>6</v>
      </c>
      <c r="F31">
        <v>1578</v>
      </c>
      <c r="G31">
        <v>203.3</v>
      </c>
      <c r="H31">
        <v>85</v>
      </c>
      <c r="L31">
        <f t="shared" si="37"/>
        <v>1.72</v>
      </c>
      <c r="M31">
        <f t="shared" si="38"/>
        <v>61.199999999999989</v>
      </c>
      <c r="AR31" t="str">
        <f t="shared" si="40"/>
        <v/>
      </c>
      <c r="AS31" s="25" t="str">
        <f t="shared" si="41"/>
        <v/>
      </c>
      <c r="AT31" t="str">
        <f t="shared" si="42"/>
        <v/>
      </c>
      <c r="AU31" s="25" t="str">
        <f t="shared" si="43"/>
        <v/>
      </c>
      <c r="AV31">
        <f t="shared" si="44"/>
        <v>203.3</v>
      </c>
      <c r="AW31" s="25">
        <f t="shared" si="43"/>
        <v>6</v>
      </c>
      <c r="AX31" t="str">
        <f t="shared" si="45"/>
        <v/>
      </c>
      <c r="AY31" s="25" t="str">
        <f t="shared" si="3"/>
        <v/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 t="str">
        <f t="shared" si="9"/>
        <v/>
      </c>
      <c r="CX31" t="str">
        <f t="shared" si="10"/>
        <v/>
      </c>
      <c r="CY31">
        <f t="shared" si="11"/>
        <v>0</v>
      </c>
      <c r="CZ31" t="str">
        <f t="shared" si="12"/>
        <v/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>
        <f t="shared" si="28"/>
        <v>0</v>
      </c>
      <c r="DR31" t="str">
        <f t="shared" si="29"/>
        <v/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2</v>
      </c>
      <c r="B32">
        <v>7</v>
      </c>
      <c r="C32">
        <v>164.7</v>
      </c>
      <c r="D32">
        <v>6</v>
      </c>
      <c r="E32">
        <v>2</v>
      </c>
      <c r="F32">
        <v>1401</v>
      </c>
      <c r="G32">
        <v>95.2</v>
      </c>
      <c r="H32">
        <v>60.3</v>
      </c>
      <c r="L32">
        <f t="shared" si="37"/>
        <v>2.7313432835820897</v>
      </c>
      <c r="AR32" t="str">
        <f t="shared" si="40"/>
        <v/>
      </c>
      <c r="AS32" s="25" t="str">
        <f t="shared" si="41"/>
        <v/>
      </c>
      <c r="AT32" t="str">
        <f t="shared" si="42"/>
        <v/>
      </c>
      <c r="AU32" s="25" t="str">
        <f t="shared" si="43"/>
        <v/>
      </c>
      <c r="AV32" t="str">
        <f t="shared" si="44"/>
        <v/>
      </c>
      <c r="AW32" s="25" t="str">
        <f t="shared" si="43"/>
        <v/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>
        <f t="shared" si="47"/>
        <v>95.2</v>
      </c>
      <c r="BC32" s="25">
        <f t="shared" si="48"/>
        <v>2</v>
      </c>
      <c r="BD32" t="str">
        <f t="shared" si="49"/>
        <v/>
      </c>
      <c r="BE32" s="25" t="str">
        <f t="shared" si="5"/>
        <v/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 t="str">
        <f t="shared" si="9"/>
        <v/>
      </c>
      <c r="CX32" t="str">
        <f t="shared" si="10"/>
        <v/>
      </c>
      <c r="CY32" t="str">
        <f t="shared" si="11"/>
        <v/>
      </c>
      <c r="CZ32" t="str">
        <f t="shared" si="12"/>
        <v/>
      </c>
      <c r="DA32" t="str">
        <f t="shared" si="13"/>
        <v/>
      </c>
      <c r="DB32">
        <f t="shared" si="14"/>
        <v>0</v>
      </c>
      <c r="DC32" t="str">
        <f t="shared" si="15"/>
        <v/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 t="str">
        <f t="shared" si="23"/>
        <v/>
      </c>
      <c r="DM32">
        <f t="shared" si="24"/>
        <v>0</v>
      </c>
      <c r="DN32" t="str">
        <f t="shared" si="25"/>
        <v/>
      </c>
      <c r="DO32" t="str">
        <f t="shared" si="26"/>
        <v/>
      </c>
      <c r="DP32" t="str">
        <f t="shared" si="27"/>
        <v/>
      </c>
      <c r="DQ32" t="str">
        <f t="shared" si="28"/>
        <v/>
      </c>
      <c r="DR32" t="str">
        <f t="shared" si="29"/>
        <v/>
      </c>
      <c r="DS32" t="str">
        <f t="shared" si="30"/>
        <v/>
      </c>
      <c r="DT32" t="str">
        <f t="shared" si="31"/>
        <v/>
      </c>
      <c r="DU32" t="str">
        <f t="shared" si="32"/>
        <v/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7</v>
      </c>
      <c r="B33">
        <v>9</v>
      </c>
      <c r="C33">
        <v>175.4</v>
      </c>
      <c r="D33">
        <v>2</v>
      </c>
      <c r="E33">
        <v>7</v>
      </c>
      <c r="F33">
        <v>1315</v>
      </c>
      <c r="G33">
        <v>352.8</v>
      </c>
      <c r="H33">
        <v>117.2</v>
      </c>
      <c r="L33" s="25"/>
      <c r="O33" s="25"/>
      <c r="AR33" t="str">
        <f t="shared" si="40"/>
        <v/>
      </c>
      <c r="AS33" s="25" t="str">
        <f t="shared" si="41"/>
        <v/>
      </c>
      <c r="AT33">
        <f t="shared" si="42"/>
        <v>352.8</v>
      </c>
      <c r="AU33" s="25">
        <f t="shared" si="43"/>
        <v>7</v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 t="str">
        <f t="shared" si="46"/>
        <v/>
      </c>
      <c r="BA33" s="25" t="str">
        <f t="shared" si="4"/>
        <v/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139</v>
      </c>
      <c r="EC33" t="s">
        <v>140</v>
      </c>
    </row>
    <row r="34" spans="1:134">
      <c r="A34">
        <v>9</v>
      </c>
      <c r="B34">
        <v>8</v>
      </c>
      <c r="C34">
        <v>179</v>
      </c>
      <c r="D34">
        <v>7</v>
      </c>
      <c r="E34">
        <v>1</v>
      </c>
      <c r="F34">
        <v>1289</v>
      </c>
      <c r="G34">
        <v>51.1</v>
      </c>
      <c r="H34">
        <v>39.799999999999997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 t="str">
        <f t="shared" si="46"/>
        <v/>
      </c>
      <c r="BA34" s="25" t="str">
        <f t="shared" si="4"/>
        <v/>
      </c>
      <c r="BB34" t="str">
        <f t="shared" si="47"/>
        <v/>
      </c>
      <c r="BC34" s="25" t="str">
        <f t="shared" si="48"/>
        <v/>
      </c>
      <c r="BD34">
        <f t="shared" si="49"/>
        <v>51.1</v>
      </c>
      <c r="BE34" s="25">
        <f t="shared" si="5"/>
        <v>1</v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116</v>
      </c>
      <c r="CW34">
        <f>IFERROR(SUM(CW5:CW32),0)</f>
        <v>0</v>
      </c>
      <c r="DK34" t="s">
        <v>116</v>
      </c>
      <c r="DL34">
        <f>IFERROR(SUM(DL5:DL32),0)</f>
        <v>0</v>
      </c>
      <c r="EA34" t="s">
        <v>116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8</v>
      </c>
      <c r="B35">
        <v>4</v>
      </c>
      <c r="C35">
        <v>183</v>
      </c>
      <c r="D35">
        <v>1</v>
      </c>
      <c r="E35">
        <v>9</v>
      </c>
      <c r="F35">
        <v>1261</v>
      </c>
      <c r="G35">
        <v>488.9</v>
      </c>
      <c r="H35">
        <v>133.19999999999999</v>
      </c>
      <c r="AR35">
        <f t="shared" si="40"/>
        <v>488.9</v>
      </c>
      <c r="AS35" s="25">
        <f t="shared" si="41"/>
        <v>9</v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 t="str">
        <f t="shared" si="45"/>
        <v/>
      </c>
      <c r="AY35" s="25" t="str">
        <f t="shared" si="3"/>
        <v/>
      </c>
      <c r="AZ35" t="str">
        <f t="shared" si="46"/>
        <v/>
      </c>
      <c r="BA35" s="25" t="str">
        <f t="shared" si="4"/>
        <v/>
      </c>
      <c r="BB35" t="str">
        <f t="shared" si="47"/>
        <v/>
      </c>
      <c r="BC35" s="25" t="str">
        <f t="shared" si="48"/>
        <v/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117</v>
      </c>
      <c r="CW35">
        <f>IFERROR(SUM(CX5:CX32),0)</f>
        <v>0</v>
      </c>
      <c r="DK35" t="s">
        <v>117</v>
      </c>
      <c r="DL35">
        <f>IFERROR(SUM(DM5:DM32),0)</f>
        <v>0</v>
      </c>
      <c r="EA35" t="s">
        <v>117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2</v>
      </c>
      <c r="B36">
        <v>3</v>
      </c>
      <c r="C36">
        <v>188.2</v>
      </c>
      <c r="D36">
        <v>6</v>
      </c>
      <c r="E36">
        <v>4</v>
      </c>
      <c r="F36">
        <v>1226</v>
      </c>
      <c r="G36">
        <v>145</v>
      </c>
      <c r="H36">
        <v>81.900000000000006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 t="str">
        <f t="shared" si="44"/>
        <v/>
      </c>
      <c r="AW36" s="25" t="str">
        <f t="shared" si="43"/>
        <v/>
      </c>
      <c r="AX36" t="str">
        <f t="shared" si="45"/>
        <v/>
      </c>
      <c r="AY36" s="25" t="str">
        <f t="shared" si="3"/>
        <v/>
      </c>
      <c r="AZ36" t="str">
        <f t="shared" si="46"/>
        <v/>
      </c>
      <c r="BA36" s="25" t="str">
        <f t="shared" si="4"/>
        <v/>
      </c>
      <c r="BB36">
        <f t="shared" si="47"/>
        <v>145</v>
      </c>
      <c r="BC36" s="25">
        <f t="shared" si="48"/>
        <v>4</v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118</v>
      </c>
      <c r="CW36">
        <f>IFERROR(SUM(CY5:CY32),0)</f>
        <v>0</v>
      </c>
      <c r="DK36" t="s">
        <v>118</v>
      </c>
      <c r="DL36">
        <f>IFERROR(SUM(DN5:DN32),0)</f>
        <v>0</v>
      </c>
      <c r="EA36" t="s">
        <v>118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5</v>
      </c>
      <c r="B37">
        <v>2</v>
      </c>
      <c r="C37">
        <v>195.7</v>
      </c>
      <c r="D37">
        <v>5</v>
      </c>
      <c r="E37">
        <v>6</v>
      </c>
      <c r="F37">
        <v>1179</v>
      </c>
      <c r="G37">
        <v>250.2</v>
      </c>
      <c r="H37">
        <v>109.8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 t="str">
        <f t="shared" si="45"/>
        <v/>
      </c>
      <c r="AY37" s="25" t="str">
        <f t="shared" si="3"/>
        <v/>
      </c>
      <c r="AZ37">
        <f t="shared" si="46"/>
        <v>250.2</v>
      </c>
      <c r="BA37" s="25">
        <f t="shared" si="4"/>
        <v>6</v>
      </c>
      <c r="BB37" t="str">
        <f t="shared" si="47"/>
        <v/>
      </c>
      <c r="BC37" s="25" t="str">
        <f t="shared" si="48"/>
        <v/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119</v>
      </c>
      <c r="CW37">
        <f>IFERROR(SUM(CZ5:CZ32),0)</f>
        <v>0</v>
      </c>
      <c r="DK37" t="s">
        <v>119</v>
      </c>
      <c r="DL37">
        <f>IFERROR(SUM(DO5:DO32),0)</f>
        <v>0</v>
      </c>
      <c r="EA37" t="s">
        <v>119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2</v>
      </c>
      <c r="B38">
        <v>1</v>
      </c>
      <c r="C38">
        <v>203.3</v>
      </c>
      <c r="D38">
        <v>6</v>
      </c>
      <c r="E38">
        <v>3</v>
      </c>
      <c r="F38">
        <v>1135</v>
      </c>
      <c r="G38">
        <v>146.19999999999999</v>
      </c>
      <c r="H38">
        <v>85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 t="str">
        <f t="shared" si="44"/>
        <v/>
      </c>
      <c r="AW38" s="25" t="str">
        <f t="shared" si="43"/>
        <v/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>
        <f t="shared" si="47"/>
        <v>146.19999999999999</v>
      </c>
      <c r="BC38" s="25">
        <f t="shared" si="48"/>
        <v>3</v>
      </c>
      <c r="BD38" t="str">
        <f t="shared" si="49"/>
        <v/>
      </c>
      <c r="BE38" s="25" t="str">
        <f t="shared" si="5"/>
        <v/>
      </c>
      <c r="BF38" t="str">
        <f t="shared" si="50"/>
        <v/>
      </c>
      <c r="BG38" s="25" t="str">
        <f t="shared" si="6"/>
        <v/>
      </c>
      <c r="BH38" t="str">
        <f t="shared" si="51"/>
        <v/>
      </c>
      <c r="BI38" s="25" t="str">
        <f t="shared" si="7"/>
        <v/>
      </c>
      <c r="BJ38" t="str">
        <f t="shared" si="52"/>
        <v/>
      </c>
      <c r="BK38" s="25" t="str">
        <f t="shared" si="8"/>
        <v/>
      </c>
      <c r="CV38" t="s">
        <v>120</v>
      </c>
      <c r="CW38">
        <f>IFERROR(SUM(DA5:DA32),0)</f>
        <v>0</v>
      </c>
      <c r="DK38" t="s">
        <v>120</v>
      </c>
      <c r="DL38">
        <f>IFERROR(SUM(DP5:DP32),0)</f>
        <v>0</v>
      </c>
      <c r="EA38" t="s">
        <v>120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1</v>
      </c>
      <c r="B39">
        <v>9</v>
      </c>
      <c r="C39">
        <v>248.4</v>
      </c>
      <c r="D39">
        <v>3</v>
      </c>
      <c r="E39">
        <v>7</v>
      </c>
      <c r="F39">
        <v>929</v>
      </c>
      <c r="G39">
        <v>419.5</v>
      </c>
      <c r="H39">
        <v>156</v>
      </c>
      <c r="AR39" t="str">
        <f t="shared" si="40"/>
        <v/>
      </c>
      <c r="AS39" s="25" t="str">
        <f t="shared" si="41"/>
        <v/>
      </c>
      <c r="AT39" t="str">
        <f t="shared" si="42"/>
        <v/>
      </c>
      <c r="AU39" s="25" t="str">
        <f t="shared" si="43"/>
        <v/>
      </c>
      <c r="AV39">
        <f t="shared" si="44"/>
        <v>419.5</v>
      </c>
      <c r="AW39" s="25">
        <f t="shared" si="43"/>
        <v>7</v>
      </c>
      <c r="AX39" t="str">
        <f t="shared" si="45"/>
        <v/>
      </c>
      <c r="AY39" s="25" t="str">
        <f t="shared" si="3"/>
        <v/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 t="str">
        <f t="shared" si="49"/>
        <v/>
      </c>
      <c r="BE39" s="25" t="str">
        <f t="shared" si="5"/>
        <v/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121</v>
      </c>
      <c r="CW39">
        <f>IFERROR(SUM(DB5:DB32),0)</f>
        <v>0</v>
      </c>
      <c r="DK39" t="s">
        <v>121</v>
      </c>
      <c r="DL39">
        <f>IFERROR(SUM(DQ5:DQ32),0)</f>
        <v>0</v>
      </c>
      <c r="EA39" t="s">
        <v>121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2</v>
      </c>
      <c r="B40">
        <v>5</v>
      </c>
      <c r="C40">
        <v>250.2</v>
      </c>
      <c r="D40">
        <v>6</v>
      </c>
      <c r="E40">
        <v>5</v>
      </c>
      <c r="F40">
        <v>922</v>
      </c>
      <c r="G40">
        <v>195.7</v>
      </c>
      <c r="H40">
        <v>109.8</v>
      </c>
      <c r="AR40" t="str">
        <f t="shared" si="40"/>
        <v/>
      </c>
      <c r="AS40" s="25" t="str">
        <f t="shared" si="41"/>
        <v/>
      </c>
      <c r="AT40" t="str">
        <f t="shared" si="42"/>
        <v/>
      </c>
      <c r="AU40" s="25" t="str">
        <f t="shared" si="43"/>
        <v/>
      </c>
      <c r="AV40" t="str">
        <f t="shared" si="44"/>
        <v/>
      </c>
      <c r="AW40" s="25" t="str">
        <f t="shared" si="43"/>
        <v/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>
        <f t="shared" si="47"/>
        <v>195.7</v>
      </c>
      <c r="BC40" s="25">
        <f t="shared" si="48"/>
        <v>5</v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122</v>
      </c>
      <c r="CW40">
        <f>IFERROR(SUM(DC5:DC32),0)</f>
        <v>0</v>
      </c>
      <c r="DK40" t="s">
        <v>122</v>
      </c>
      <c r="DL40">
        <f>IFERROR(SUM(DR5:DR32),0)</f>
        <v>0</v>
      </c>
      <c r="EA40" t="s">
        <v>122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3</v>
      </c>
      <c r="B41">
        <v>9</v>
      </c>
      <c r="C41">
        <v>277.3</v>
      </c>
      <c r="D41">
        <v>4</v>
      </c>
      <c r="E41">
        <v>7</v>
      </c>
      <c r="F41">
        <v>832</v>
      </c>
      <c r="G41">
        <v>418</v>
      </c>
      <c r="H41">
        <v>166.7</v>
      </c>
      <c r="AR41" t="str">
        <f t="shared" si="40"/>
        <v/>
      </c>
      <c r="AS41" s="25" t="str">
        <f t="shared" si="41"/>
        <v/>
      </c>
      <c r="AT41" t="str">
        <f t="shared" si="42"/>
        <v/>
      </c>
      <c r="AU41" s="25" t="str">
        <f t="shared" si="43"/>
        <v/>
      </c>
      <c r="AV41" t="str">
        <f t="shared" si="44"/>
        <v/>
      </c>
      <c r="AW41" s="25" t="str">
        <f t="shared" si="43"/>
        <v/>
      </c>
      <c r="AX41">
        <f t="shared" si="45"/>
        <v>418</v>
      </c>
      <c r="AY41" s="25">
        <f t="shared" si="3"/>
        <v>7</v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123</v>
      </c>
      <c r="CW41">
        <f>IFERROR(SUM(DD5:DD32),0)</f>
        <v>0</v>
      </c>
      <c r="DK41" t="s">
        <v>123</v>
      </c>
      <c r="DL41">
        <f>IFERROR(SUM(DS5:DS32),0)</f>
        <v>0</v>
      </c>
      <c r="EA41" t="s">
        <v>123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7</v>
      </c>
      <c r="B42">
        <v>6</v>
      </c>
      <c r="C42">
        <v>310.5</v>
      </c>
      <c r="D42">
        <v>2</v>
      </c>
      <c r="E42">
        <v>8</v>
      </c>
      <c r="F42">
        <v>743</v>
      </c>
      <c r="G42">
        <v>701.4</v>
      </c>
      <c r="H42">
        <v>215.2</v>
      </c>
      <c r="AR42" t="str">
        <f t="shared" si="40"/>
        <v/>
      </c>
      <c r="AS42" s="25" t="str">
        <f t="shared" si="41"/>
        <v/>
      </c>
      <c r="AT42">
        <f t="shared" si="42"/>
        <v>701.4</v>
      </c>
      <c r="AU42" s="25">
        <f t="shared" si="43"/>
        <v>8</v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 t="str">
        <f t="shared" si="46"/>
        <v/>
      </c>
      <c r="BA42" s="25" t="str">
        <f t="shared" si="4"/>
        <v/>
      </c>
      <c r="BB42" t="str">
        <f t="shared" si="47"/>
        <v/>
      </c>
      <c r="BC42" s="25" t="str">
        <f t="shared" si="48"/>
        <v/>
      </c>
      <c r="BD42" t="str">
        <f t="shared" si="49"/>
        <v/>
      </c>
      <c r="BE42" s="25" t="str">
        <f t="shared" si="5"/>
        <v/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124</v>
      </c>
      <c r="CW42">
        <f>IFERROR(SUM(DE5:DE32),0)</f>
        <v>0</v>
      </c>
      <c r="DK42" t="s">
        <v>124</v>
      </c>
      <c r="DL42">
        <f>IFERROR(SUM(DT5:DT32),0)</f>
        <v>0</v>
      </c>
      <c r="EA42" t="s">
        <v>124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9</v>
      </c>
      <c r="B43">
        <v>7</v>
      </c>
      <c r="C43">
        <v>352.8</v>
      </c>
      <c r="D43">
        <v>7</v>
      </c>
      <c r="E43">
        <v>2</v>
      </c>
      <c r="F43">
        <v>654</v>
      </c>
      <c r="G43">
        <v>175.4</v>
      </c>
      <c r="H43">
        <v>117.2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 t="str">
        <f t="shared" si="44"/>
        <v/>
      </c>
      <c r="AW43" s="25" t="str">
        <f t="shared" si="43"/>
        <v/>
      </c>
      <c r="AX43" t="str">
        <f t="shared" si="45"/>
        <v/>
      </c>
      <c r="AY43" s="25" t="str">
        <f t="shared" si="3"/>
        <v/>
      </c>
      <c r="AZ43" t="str">
        <f t="shared" si="46"/>
        <v/>
      </c>
      <c r="BA43" s="25" t="str">
        <f t="shared" si="4"/>
        <v/>
      </c>
      <c r="BB43" t="str">
        <f t="shared" si="47"/>
        <v/>
      </c>
      <c r="BC43" s="25" t="str">
        <f t="shared" si="48"/>
        <v/>
      </c>
      <c r="BD43">
        <f t="shared" si="49"/>
        <v>175.4</v>
      </c>
      <c r="BE43" s="25">
        <f t="shared" si="5"/>
        <v>2</v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125</v>
      </c>
      <c r="CW43">
        <f>IFERROR(SUM(DF5:DF32),0)</f>
        <v>0</v>
      </c>
      <c r="DK43" s="25" t="s">
        <v>125</v>
      </c>
      <c r="DL43">
        <f>IFERROR(SUM(DU5:DU32),0)</f>
        <v>0</v>
      </c>
      <c r="EA43" s="25" t="s">
        <v>125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6</v>
      </c>
      <c r="B44">
        <v>8</v>
      </c>
      <c r="C44">
        <v>378.9</v>
      </c>
      <c r="D44">
        <v>8</v>
      </c>
      <c r="E44">
        <v>1</v>
      </c>
      <c r="F44">
        <v>609</v>
      </c>
      <c r="G44">
        <v>121.9</v>
      </c>
      <c r="H44">
        <v>92.2</v>
      </c>
      <c r="AR44" t="str">
        <f t="shared" si="40"/>
        <v/>
      </c>
      <c r="AS44" s="25" t="str">
        <f t="shared" si="41"/>
        <v/>
      </c>
      <c r="AT44" t="str">
        <f t="shared" si="42"/>
        <v/>
      </c>
      <c r="AU44" s="25" t="str">
        <f t="shared" si="43"/>
        <v/>
      </c>
      <c r="AV44" t="str">
        <f t="shared" si="44"/>
        <v/>
      </c>
      <c r="AW44" s="25" t="str">
        <f t="shared" si="43"/>
        <v/>
      </c>
      <c r="AX44" t="str">
        <f t="shared" si="45"/>
        <v/>
      </c>
      <c r="AY44" s="25" t="str">
        <f t="shared" si="3"/>
        <v/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>
        <f t="shared" si="50"/>
        <v>121.9</v>
      </c>
      <c r="BG44" s="25">
        <f t="shared" si="6"/>
        <v>1</v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126</v>
      </c>
      <c r="CW44">
        <f>IFERROR(SUM(DG5:DG32),0)</f>
        <v>0</v>
      </c>
      <c r="DK44" s="25" t="s">
        <v>126</v>
      </c>
      <c r="DL44">
        <f>IFERROR(SUM(DV5:DV32),0)</f>
        <v>0</v>
      </c>
      <c r="EA44" s="25" t="s">
        <v>126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5</v>
      </c>
      <c r="B45">
        <v>9</v>
      </c>
      <c r="C45">
        <v>384.6</v>
      </c>
      <c r="D45">
        <v>5</v>
      </c>
      <c r="E45">
        <v>7</v>
      </c>
      <c r="F45">
        <v>600</v>
      </c>
      <c r="G45">
        <v>530.5</v>
      </c>
      <c r="H45">
        <v>223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 t="str">
        <f t="shared" si="45"/>
        <v/>
      </c>
      <c r="AY45" s="25" t="str">
        <f t="shared" si="3"/>
        <v/>
      </c>
      <c r="AZ45">
        <f t="shared" si="46"/>
        <v>530.5</v>
      </c>
      <c r="BA45" s="25">
        <f t="shared" si="4"/>
        <v>7</v>
      </c>
      <c r="BB45" t="str">
        <f t="shared" si="47"/>
        <v/>
      </c>
      <c r="BC45" s="25" t="str">
        <f t="shared" si="48"/>
        <v/>
      </c>
      <c r="BD45" t="str">
        <f t="shared" si="49"/>
        <v/>
      </c>
      <c r="BE45" s="25" t="str">
        <f t="shared" si="5"/>
        <v/>
      </c>
      <c r="BF45" t="str">
        <f t="shared" si="50"/>
        <v/>
      </c>
      <c r="BG45" s="25" t="str">
        <f t="shared" si="6"/>
        <v/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127</v>
      </c>
      <c r="CW45">
        <f>IFERROR(SUM(DH5:DH32),0)</f>
        <v>0</v>
      </c>
      <c r="DK45" s="25" t="s">
        <v>127</v>
      </c>
      <c r="DL45">
        <f>IFERROR(SUM(DW5:DW32),0)</f>
        <v>0</v>
      </c>
      <c r="EA45" s="25" t="s">
        <v>127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1</v>
      </c>
      <c r="B46">
        <v>6</v>
      </c>
      <c r="C46">
        <v>388.5</v>
      </c>
      <c r="D46">
        <v>3</v>
      </c>
      <c r="E46">
        <v>8</v>
      </c>
      <c r="F46">
        <v>594</v>
      </c>
      <c r="G46">
        <v>812.5</v>
      </c>
      <c r="H46">
        <v>262.8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>
        <f t="shared" si="44"/>
        <v>812.5</v>
      </c>
      <c r="AW46" s="25">
        <f t="shared" si="43"/>
        <v>8</v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 t="str">
        <f t="shared" si="49"/>
        <v/>
      </c>
      <c r="BE46" s="25" t="str">
        <f t="shared" si="5"/>
        <v/>
      </c>
      <c r="BF46" t="str">
        <f t="shared" si="50"/>
        <v/>
      </c>
      <c r="BG46" s="25" t="str">
        <f t="shared" si="6"/>
        <v/>
      </c>
      <c r="BH46" t="str">
        <f t="shared" si="51"/>
        <v/>
      </c>
      <c r="BI46" s="25" t="str">
        <f t="shared" si="7"/>
        <v/>
      </c>
      <c r="BJ46" t="str">
        <f t="shared" si="52"/>
        <v/>
      </c>
      <c r="BK46" s="25" t="str">
        <f t="shared" si="8"/>
        <v/>
      </c>
      <c r="CV46" s="25" t="s">
        <v>128</v>
      </c>
      <c r="CW46">
        <f>IFERROR(SUM(DI5:DI32),0)</f>
        <v>0</v>
      </c>
      <c r="DK46" s="25" t="s">
        <v>128</v>
      </c>
      <c r="DL46">
        <f>IFERROR(SUM(DX5:DX32),0)</f>
        <v>0</v>
      </c>
      <c r="EA46" s="25" t="s">
        <v>128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3</v>
      </c>
      <c r="B47">
        <v>6</v>
      </c>
      <c r="C47">
        <v>414.3</v>
      </c>
      <c r="D47">
        <v>4</v>
      </c>
      <c r="E47">
        <v>8</v>
      </c>
      <c r="F47">
        <v>557</v>
      </c>
      <c r="G47">
        <v>572.6</v>
      </c>
      <c r="H47">
        <v>240.4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>
        <f t="shared" si="45"/>
        <v>572.6</v>
      </c>
      <c r="AY47" s="25">
        <f t="shared" si="3"/>
        <v>8</v>
      </c>
      <c r="AZ47" t="str">
        <f t="shared" si="46"/>
        <v/>
      </c>
      <c r="BA47" s="25" t="str">
        <f t="shared" si="4"/>
        <v/>
      </c>
      <c r="BB47" t="str">
        <f t="shared" si="47"/>
        <v/>
      </c>
      <c r="BC47" s="25" t="str">
        <f t="shared" si="48"/>
        <v/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138</v>
      </c>
      <c r="CW47">
        <f>IFERROR(SUM(DJ5:DJ32),0)</f>
        <v>0</v>
      </c>
      <c r="DK47" s="25" t="s">
        <v>138</v>
      </c>
      <c r="DL47">
        <f>IFERROR(SUM(DY5:DY32),0)</f>
        <v>0</v>
      </c>
      <c r="EA47" s="25" t="s">
        <v>138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9</v>
      </c>
      <c r="B48">
        <v>3</v>
      </c>
      <c r="C48">
        <v>418</v>
      </c>
      <c r="D48">
        <v>7</v>
      </c>
      <c r="E48">
        <v>4</v>
      </c>
      <c r="F48">
        <v>552</v>
      </c>
      <c r="G48">
        <v>277.3</v>
      </c>
      <c r="H48">
        <v>166.7</v>
      </c>
      <c r="AR48" t="str">
        <f t="shared" si="40"/>
        <v/>
      </c>
      <c r="AS48" s="25" t="str">
        <f t="shared" si="41"/>
        <v/>
      </c>
      <c r="AT48" t="str">
        <f t="shared" si="42"/>
        <v/>
      </c>
      <c r="AU48" s="25" t="str">
        <f t="shared" si="43"/>
        <v/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>
        <f t="shared" si="49"/>
        <v>277.3</v>
      </c>
      <c r="BE48" s="25">
        <f t="shared" si="5"/>
        <v>4</v>
      </c>
      <c r="BF48" t="str">
        <f t="shared" si="50"/>
        <v/>
      </c>
      <c r="BG48" s="25" t="str">
        <f t="shared" si="6"/>
        <v/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9</v>
      </c>
      <c r="B49">
        <v>1</v>
      </c>
      <c r="C49">
        <v>419.5</v>
      </c>
      <c r="D49">
        <v>7</v>
      </c>
      <c r="E49">
        <v>3</v>
      </c>
      <c r="F49">
        <v>550</v>
      </c>
      <c r="G49">
        <v>248.4</v>
      </c>
      <c r="H49">
        <v>156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 t="str">
        <f t="shared" si="44"/>
        <v/>
      </c>
      <c r="AW49" s="25" t="str">
        <f t="shared" si="43"/>
        <v/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>
        <f t="shared" si="49"/>
        <v>248.4</v>
      </c>
      <c r="BE49" s="25">
        <f t="shared" si="5"/>
        <v>3</v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7</v>
      </c>
      <c r="B50">
        <v>4</v>
      </c>
      <c r="C50">
        <v>467.1</v>
      </c>
      <c r="D50">
        <v>2</v>
      </c>
      <c r="E50">
        <v>9</v>
      </c>
      <c r="F50">
        <v>494</v>
      </c>
      <c r="G50">
        <v>961.5</v>
      </c>
      <c r="H50">
        <v>314.39999999999998</v>
      </c>
      <c r="AR50" t="str">
        <f t="shared" ref="AR50:AR59" si="81">IF($D50=AR$4,$H50,"")</f>
        <v/>
      </c>
      <c r="AS50" s="25" t="str">
        <f t="shared" si="41"/>
        <v/>
      </c>
      <c r="AT50">
        <f t="shared" ref="AT50:AT59" si="82">IF($D50=AT$4,$H50,"")</f>
        <v>314.39999999999998</v>
      </c>
      <c r="AU50" s="25">
        <f t="shared" si="43"/>
        <v>9</v>
      </c>
      <c r="AV50" t="str">
        <f t="shared" ref="AV50:AV59" si="83">IF($D50=AV$4,$H50,"")</f>
        <v/>
      </c>
      <c r="AW50" s="25" t="str">
        <f t="shared" si="43"/>
        <v/>
      </c>
      <c r="AX50" t="str">
        <f t="shared" ref="AX50:AX59" si="84">IF($D50=AX$4,$H50,"")</f>
        <v/>
      </c>
      <c r="AY50" s="25" t="str">
        <f t="shared" si="3"/>
        <v/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4</v>
      </c>
      <c r="B51">
        <v>8</v>
      </c>
      <c r="C51">
        <v>488.9</v>
      </c>
      <c r="D51">
        <v>9</v>
      </c>
      <c r="E51">
        <v>1</v>
      </c>
      <c r="F51">
        <v>472</v>
      </c>
      <c r="G51">
        <v>183</v>
      </c>
      <c r="H51">
        <v>133.19999999999999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 t="str">
        <f t="shared" si="84"/>
        <v/>
      </c>
      <c r="AY51" s="25" t="str">
        <f t="shared" si="3"/>
        <v/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 t="str">
        <f t="shared" si="87"/>
        <v/>
      </c>
      <c r="BE51" s="25" t="str">
        <f t="shared" si="5"/>
        <v/>
      </c>
      <c r="BF51" t="str">
        <f t="shared" si="88"/>
        <v/>
      </c>
      <c r="BG51" s="25" t="str">
        <f t="shared" si="6"/>
        <v/>
      </c>
      <c r="BH51">
        <f t="shared" si="89"/>
        <v>133.19999999999999</v>
      </c>
      <c r="BI51" s="25">
        <f t="shared" si="7"/>
        <v>1</v>
      </c>
      <c r="BJ51" t="str">
        <f t="shared" si="90"/>
        <v/>
      </c>
      <c r="BK51" s="25" t="str">
        <f t="shared" si="8"/>
        <v/>
      </c>
    </row>
    <row r="52" spans="1:63">
      <c r="A52">
        <v>9</v>
      </c>
      <c r="B52">
        <v>5</v>
      </c>
      <c r="C52">
        <v>530.5</v>
      </c>
      <c r="D52">
        <v>7</v>
      </c>
      <c r="E52">
        <v>5</v>
      </c>
      <c r="F52">
        <v>435</v>
      </c>
      <c r="G52">
        <v>384.6</v>
      </c>
      <c r="H52">
        <v>223</v>
      </c>
      <c r="AR52" t="str">
        <f t="shared" si="81"/>
        <v/>
      </c>
      <c r="AS52" s="25" t="str">
        <f t="shared" si="41"/>
        <v/>
      </c>
      <c r="AT52" t="str">
        <f t="shared" si="82"/>
        <v/>
      </c>
      <c r="AU52" s="25" t="str">
        <f t="shared" si="43"/>
        <v/>
      </c>
      <c r="AV52" t="str">
        <f t="shared" si="83"/>
        <v/>
      </c>
      <c r="AW52" s="25" t="str">
        <f t="shared" si="43"/>
        <v/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>
        <f t="shared" si="87"/>
        <v>223</v>
      </c>
      <c r="BE52" s="25">
        <f t="shared" si="5"/>
        <v>5</v>
      </c>
      <c r="BF52" t="str">
        <f t="shared" si="88"/>
        <v/>
      </c>
      <c r="BG52" s="25" t="str">
        <f t="shared" si="6"/>
        <v/>
      </c>
      <c r="BH52" t="str">
        <f t="shared" si="89"/>
        <v/>
      </c>
      <c r="BI52" s="25" t="str">
        <f t="shared" si="7"/>
        <v/>
      </c>
      <c r="BJ52" t="str">
        <f t="shared" si="90"/>
        <v/>
      </c>
      <c r="BK52" s="25" t="str">
        <f t="shared" si="8"/>
        <v/>
      </c>
    </row>
    <row r="53" spans="1:63">
      <c r="A53">
        <v>6</v>
      </c>
      <c r="B53">
        <v>3</v>
      </c>
      <c r="C53">
        <v>572.6</v>
      </c>
      <c r="D53">
        <v>8</v>
      </c>
      <c r="E53">
        <v>4</v>
      </c>
      <c r="F53">
        <v>403</v>
      </c>
      <c r="G53">
        <v>414.3</v>
      </c>
      <c r="H53">
        <v>240.4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 t="str">
        <f t="shared" si="83"/>
        <v/>
      </c>
      <c r="AW53" s="25" t="str">
        <f t="shared" si="43"/>
        <v/>
      </c>
      <c r="AX53" t="str">
        <f t="shared" si="84"/>
        <v/>
      </c>
      <c r="AY53" s="25" t="str">
        <f t="shared" si="3"/>
        <v/>
      </c>
      <c r="AZ53" t="str">
        <f t="shared" si="85"/>
        <v/>
      </c>
      <c r="BA53" s="25" t="str">
        <f t="shared" si="4"/>
        <v/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>
        <f t="shared" si="88"/>
        <v>240.4</v>
      </c>
      <c r="BG53" s="25">
        <f t="shared" si="6"/>
        <v>4</v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3</v>
      </c>
      <c r="B54">
        <v>4</v>
      </c>
      <c r="C54">
        <v>576.9</v>
      </c>
      <c r="D54">
        <v>4</v>
      </c>
      <c r="E54">
        <v>9</v>
      </c>
      <c r="F54">
        <v>400</v>
      </c>
      <c r="G54">
        <v>851.5</v>
      </c>
      <c r="H54">
        <v>343.9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 t="str">
        <f t="shared" si="83"/>
        <v/>
      </c>
      <c r="AW54" s="25" t="str">
        <f t="shared" si="43"/>
        <v/>
      </c>
      <c r="AX54">
        <f t="shared" si="84"/>
        <v>343.9</v>
      </c>
      <c r="AY54" s="25">
        <f t="shared" si="3"/>
        <v>9</v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 t="str">
        <f t="shared" si="87"/>
        <v/>
      </c>
      <c r="BE54" s="25" t="str">
        <f t="shared" si="5"/>
        <v/>
      </c>
      <c r="BF54" t="str">
        <f t="shared" si="88"/>
        <v/>
      </c>
      <c r="BG54" s="25" t="str">
        <f t="shared" si="6"/>
        <v/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5</v>
      </c>
      <c r="B55">
        <v>6</v>
      </c>
      <c r="C55">
        <v>637.4</v>
      </c>
      <c r="D55">
        <v>5</v>
      </c>
      <c r="E55">
        <v>8</v>
      </c>
      <c r="F55">
        <v>362</v>
      </c>
      <c r="G55">
        <v>1274.9000000000001</v>
      </c>
      <c r="H55">
        <v>424.9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 t="str">
        <f t="shared" si="84"/>
        <v/>
      </c>
      <c r="AY55" s="25" t="str">
        <f t="shared" si="3"/>
        <v/>
      </c>
      <c r="AZ55">
        <f t="shared" si="85"/>
        <v>424.9</v>
      </c>
      <c r="BA55" s="25">
        <f t="shared" si="4"/>
        <v>8</v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 t="str">
        <f t="shared" si="88"/>
        <v/>
      </c>
      <c r="BG55" s="25" t="str">
        <f t="shared" si="6"/>
        <v/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6</v>
      </c>
      <c r="B56">
        <v>7</v>
      </c>
      <c r="C56">
        <v>701.4</v>
      </c>
      <c r="D56">
        <v>8</v>
      </c>
      <c r="E56">
        <v>2</v>
      </c>
      <c r="F56">
        <v>329</v>
      </c>
      <c r="G56">
        <v>310.5</v>
      </c>
      <c r="H56">
        <v>215.2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>
        <f t="shared" si="88"/>
        <v>215.2</v>
      </c>
      <c r="BG56" s="25">
        <f t="shared" si="6"/>
        <v>2</v>
      </c>
      <c r="BH56" t="str">
        <f t="shared" si="89"/>
        <v/>
      </c>
      <c r="BI56" s="25" t="str">
        <f t="shared" si="7"/>
        <v/>
      </c>
      <c r="BJ56" t="str">
        <f t="shared" si="90"/>
        <v/>
      </c>
      <c r="BK56" s="25" t="str">
        <f t="shared" si="8"/>
        <v/>
      </c>
    </row>
    <row r="57" spans="1:63">
      <c r="A57">
        <v>6</v>
      </c>
      <c r="B57">
        <v>1</v>
      </c>
      <c r="C57">
        <v>812.5</v>
      </c>
      <c r="D57">
        <v>8</v>
      </c>
      <c r="E57">
        <v>3</v>
      </c>
      <c r="F57">
        <v>284</v>
      </c>
      <c r="G57">
        <v>388.5</v>
      </c>
      <c r="H57">
        <v>262.8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 t="str">
        <f t="shared" si="85"/>
        <v/>
      </c>
      <c r="BA57" s="25" t="str">
        <f t="shared" si="4"/>
        <v/>
      </c>
      <c r="BB57" t="str">
        <f t="shared" si="86"/>
        <v/>
      </c>
      <c r="BC57" s="25" t="str">
        <f t="shared" si="48"/>
        <v/>
      </c>
      <c r="BD57" t="str">
        <f t="shared" si="87"/>
        <v/>
      </c>
      <c r="BE57" s="25" t="str">
        <f t="shared" si="5"/>
        <v/>
      </c>
      <c r="BF57">
        <f t="shared" si="88"/>
        <v>262.8</v>
      </c>
      <c r="BG57" s="25">
        <f t="shared" si="6"/>
        <v>3</v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4</v>
      </c>
      <c r="B58">
        <v>3</v>
      </c>
      <c r="C58">
        <v>851.5</v>
      </c>
      <c r="D58">
        <v>9</v>
      </c>
      <c r="E58">
        <v>4</v>
      </c>
      <c r="F58">
        <v>271</v>
      </c>
      <c r="G58">
        <v>576.9</v>
      </c>
      <c r="H58">
        <v>343.9</v>
      </c>
      <c r="AR58" t="str">
        <f t="shared" si="81"/>
        <v/>
      </c>
      <c r="AS58" s="25" t="str">
        <f t="shared" si="41"/>
        <v/>
      </c>
      <c r="AT58" t="str">
        <f t="shared" si="82"/>
        <v/>
      </c>
      <c r="AU58" s="25" t="str">
        <f t="shared" si="43"/>
        <v/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 t="str">
        <f t="shared" si="87"/>
        <v/>
      </c>
      <c r="BE58" s="25" t="str">
        <f t="shared" si="5"/>
        <v/>
      </c>
      <c r="BF58" t="str">
        <f t="shared" si="88"/>
        <v/>
      </c>
      <c r="BG58" s="25" t="str">
        <f t="shared" si="6"/>
        <v/>
      </c>
      <c r="BH58">
        <f t="shared" si="89"/>
        <v>343.9</v>
      </c>
      <c r="BI58" s="25">
        <f t="shared" si="7"/>
        <v>4</v>
      </c>
      <c r="BJ58" t="str">
        <f t="shared" si="90"/>
        <v/>
      </c>
      <c r="BK58" s="25" t="str">
        <f t="shared" si="8"/>
        <v/>
      </c>
    </row>
    <row r="59" spans="1:63">
      <c r="A59">
        <v>1</v>
      </c>
      <c r="B59">
        <v>4</v>
      </c>
      <c r="C59">
        <v>857.8</v>
      </c>
      <c r="D59">
        <v>3</v>
      </c>
      <c r="E59">
        <v>9</v>
      </c>
      <c r="F59">
        <v>269</v>
      </c>
      <c r="G59">
        <v>1748.2</v>
      </c>
      <c r="H59">
        <v>575.4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>
        <f t="shared" si="83"/>
        <v>575.4</v>
      </c>
      <c r="AW59" s="25">
        <f t="shared" si="43"/>
        <v>9</v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 t="str">
        <f t="shared" si="87"/>
        <v/>
      </c>
      <c r="BE59" s="25" t="str">
        <f t="shared" si="5"/>
        <v/>
      </c>
      <c r="BF59" t="str">
        <f t="shared" si="88"/>
        <v/>
      </c>
      <c r="BG59" s="25" t="str">
        <f t="shared" si="6"/>
        <v/>
      </c>
      <c r="BH59" t="str">
        <f t="shared" si="89"/>
        <v/>
      </c>
      <c r="BI59" s="25" t="str">
        <f t="shared" si="7"/>
        <v/>
      </c>
      <c r="BJ59" t="str">
        <f t="shared" si="90"/>
        <v/>
      </c>
      <c r="BK59" s="25" t="str">
        <f t="shared" si="8"/>
        <v/>
      </c>
    </row>
    <row r="60" spans="1:63">
      <c r="A60">
        <v>2</v>
      </c>
      <c r="B60">
        <v>9</v>
      </c>
      <c r="C60">
        <v>891</v>
      </c>
      <c r="D60">
        <v>6</v>
      </c>
      <c r="E60">
        <v>7</v>
      </c>
      <c r="F60">
        <v>259</v>
      </c>
      <c r="G60">
        <v>1021.1</v>
      </c>
      <c r="H60">
        <v>475.8</v>
      </c>
      <c r="AR60" t="str">
        <f t="shared" si="40"/>
        <v/>
      </c>
      <c r="AS60" s="25" t="str">
        <f t="shared" si="41"/>
        <v/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>
        <f t="shared" si="47"/>
        <v>1021.1</v>
      </c>
      <c r="BC60" s="25">
        <f t="shared" si="48"/>
        <v>7</v>
      </c>
      <c r="BD60" t="str">
        <f t="shared" si="49"/>
        <v/>
      </c>
      <c r="BE60" s="25" t="str">
        <f t="shared" si="5"/>
        <v/>
      </c>
      <c r="BF60" t="str">
        <f t="shared" si="50"/>
        <v/>
      </c>
      <c r="BG60" s="25" t="str">
        <f t="shared" si="6"/>
        <v/>
      </c>
      <c r="BH60" t="str">
        <f t="shared" si="51"/>
        <v/>
      </c>
      <c r="BI60" s="25" t="str">
        <f t="shared" si="7"/>
        <v/>
      </c>
      <c r="BJ60" t="str">
        <f t="shared" si="52"/>
        <v/>
      </c>
      <c r="BK60" s="25" t="str">
        <f t="shared" si="8"/>
        <v/>
      </c>
    </row>
    <row r="61" spans="1:63">
      <c r="A61">
        <v>4</v>
      </c>
      <c r="B61">
        <v>7</v>
      </c>
      <c r="C61">
        <v>961.5</v>
      </c>
      <c r="D61">
        <v>9</v>
      </c>
      <c r="E61">
        <v>2</v>
      </c>
      <c r="F61">
        <v>240</v>
      </c>
      <c r="G61">
        <v>467.1</v>
      </c>
      <c r="H61">
        <v>314.39999999999998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 t="str">
        <f t="shared" si="44"/>
        <v/>
      </c>
      <c r="AW61" s="25" t="str">
        <f t="shared" si="43"/>
        <v/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>
        <f t="shared" si="51"/>
        <v>467.1</v>
      </c>
      <c r="BI61" s="25">
        <f t="shared" si="7"/>
        <v>2</v>
      </c>
      <c r="BJ61" t="str">
        <f t="shared" si="52"/>
        <v/>
      </c>
      <c r="BK61" s="25" t="str">
        <f t="shared" si="8"/>
        <v/>
      </c>
    </row>
    <row r="62" spans="1:63">
      <c r="A62">
        <v>9</v>
      </c>
      <c r="B62">
        <v>2</v>
      </c>
      <c r="C62">
        <v>1021.1</v>
      </c>
      <c r="D62">
        <v>7</v>
      </c>
      <c r="E62">
        <v>6</v>
      </c>
      <c r="F62">
        <v>226</v>
      </c>
      <c r="G62">
        <v>891</v>
      </c>
      <c r="H62">
        <v>475.8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 t="str">
        <f t="shared" si="45"/>
        <v/>
      </c>
      <c r="AY62" s="25" t="str">
        <f t="shared" si="3"/>
        <v/>
      </c>
      <c r="AZ62" t="str">
        <f t="shared" si="46"/>
        <v/>
      </c>
      <c r="BA62" s="25" t="str">
        <f t="shared" si="4"/>
        <v/>
      </c>
      <c r="BB62" t="str">
        <f t="shared" si="47"/>
        <v/>
      </c>
      <c r="BC62" s="25" t="str">
        <f t="shared" si="48"/>
        <v/>
      </c>
      <c r="BD62">
        <f t="shared" si="49"/>
        <v>891</v>
      </c>
      <c r="BE62" s="25">
        <f t="shared" si="5"/>
        <v>6</v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2</v>
      </c>
      <c r="B63">
        <v>6</v>
      </c>
      <c r="C63">
        <v>1125.7</v>
      </c>
      <c r="D63">
        <v>6</v>
      </c>
      <c r="E63">
        <v>8</v>
      </c>
      <c r="F63">
        <v>205</v>
      </c>
      <c r="G63">
        <v>1488.8</v>
      </c>
      <c r="H63">
        <v>641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 t="str">
        <f t="shared" si="45"/>
        <v/>
      </c>
      <c r="AY63" s="25" t="str">
        <f t="shared" si="3"/>
        <v/>
      </c>
      <c r="AZ63" t="str">
        <f t="shared" si="46"/>
        <v/>
      </c>
      <c r="BA63" s="25" t="str">
        <f t="shared" si="4"/>
        <v/>
      </c>
      <c r="BB63">
        <f t="shared" si="47"/>
        <v>1488.8</v>
      </c>
      <c r="BC63" s="25">
        <f t="shared" si="48"/>
        <v>8</v>
      </c>
      <c r="BD63" t="str">
        <f t="shared" si="49"/>
        <v/>
      </c>
      <c r="BE63" s="25" t="str">
        <f t="shared" si="5"/>
        <v/>
      </c>
      <c r="BF63" t="str">
        <f t="shared" si="50"/>
        <v/>
      </c>
      <c r="BG63" s="25" t="str">
        <f t="shared" si="6"/>
        <v/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5</v>
      </c>
      <c r="B64">
        <v>4</v>
      </c>
      <c r="C64">
        <v>1254.0999999999999</v>
      </c>
      <c r="D64">
        <v>5</v>
      </c>
      <c r="E64">
        <v>9</v>
      </c>
      <c r="F64">
        <v>184</v>
      </c>
      <c r="G64">
        <v>2197.8000000000002</v>
      </c>
      <c r="H64">
        <v>798.5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 t="str">
        <f t="shared" si="45"/>
        <v/>
      </c>
      <c r="AY64" s="25" t="str">
        <f t="shared" si="3"/>
        <v/>
      </c>
      <c r="AZ64">
        <f t="shared" si="46"/>
        <v>2197.8000000000002</v>
      </c>
      <c r="BA64" s="25">
        <f t="shared" si="4"/>
        <v>9</v>
      </c>
      <c r="BB64" t="str">
        <f t="shared" si="47"/>
        <v/>
      </c>
      <c r="BC64" s="25" t="str">
        <f t="shared" si="48"/>
        <v/>
      </c>
      <c r="BD64" t="str">
        <f t="shared" si="49"/>
        <v/>
      </c>
      <c r="BE64" s="25" t="str">
        <f t="shared" si="5"/>
        <v/>
      </c>
      <c r="BF64" t="str">
        <f t="shared" si="50"/>
        <v/>
      </c>
      <c r="BG64" s="25" t="str">
        <f t="shared" si="6"/>
        <v/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6</v>
      </c>
      <c r="B65">
        <v>5</v>
      </c>
      <c r="C65">
        <v>1274.9000000000001</v>
      </c>
      <c r="D65">
        <v>8</v>
      </c>
      <c r="E65">
        <v>5</v>
      </c>
      <c r="F65">
        <v>181</v>
      </c>
      <c r="G65">
        <v>637.4</v>
      </c>
      <c r="H65">
        <v>424.9</v>
      </c>
      <c r="AR65" t="str">
        <f t="shared" si="40"/>
        <v/>
      </c>
      <c r="AS65" s="25" t="str">
        <f t="shared" si="41"/>
        <v/>
      </c>
      <c r="AT65" t="str">
        <f t="shared" si="42"/>
        <v/>
      </c>
      <c r="AU65" s="25" t="str">
        <f t="shared" si="43"/>
        <v/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 t="str">
        <f t="shared" si="46"/>
        <v/>
      </c>
      <c r="BA65" s="25" t="str">
        <f t="shared" si="4"/>
        <v/>
      </c>
      <c r="BB65" t="str">
        <f t="shared" si="47"/>
        <v/>
      </c>
      <c r="BC65" s="25" t="str">
        <f t="shared" si="48"/>
        <v/>
      </c>
      <c r="BD65" t="str">
        <f t="shared" si="49"/>
        <v/>
      </c>
      <c r="BE65" s="25" t="str">
        <f t="shared" si="5"/>
        <v/>
      </c>
      <c r="BF65">
        <f t="shared" si="50"/>
        <v>637.4</v>
      </c>
      <c r="BG65" s="25">
        <f t="shared" si="6"/>
        <v>5</v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6</v>
      </c>
      <c r="B66">
        <v>2</v>
      </c>
      <c r="C66">
        <v>1488.8</v>
      </c>
      <c r="D66">
        <v>8</v>
      </c>
      <c r="E66">
        <v>6</v>
      </c>
      <c r="F66">
        <v>155</v>
      </c>
      <c r="G66">
        <v>1125.7</v>
      </c>
      <c r="H66">
        <v>641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 t="str">
        <f t="shared" si="49"/>
        <v/>
      </c>
      <c r="BE66" s="25" t="str">
        <f t="shared" si="5"/>
        <v/>
      </c>
      <c r="BF66">
        <f t="shared" si="50"/>
        <v>1125.7</v>
      </c>
      <c r="BG66" s="25">
        <f t="shared" si="6"/>
        <v>6</v>
      </c>
      <c r="BH66" t="str">
        <f t="shared" si="51"/>
        <v/>
      </c>
      <c r="BI66" s="25" t="str">
        <f t="shared" si="7"/>
        <v/>
      </c>
      <c r="BJ66" t="str">
        <f t="shared" si="52"/>
        <v/>
      </c>
      <c r="BK66" s="25" t="str">
        <f t="shared" si="8"/>
        <v/>
      </c>
    </row>
    <row r="67" spans="1:63">
      <c r="A67">
        <v>4</v>
      </c>
      <c r="B67">
        <v>1</v>
      </c>
      <c r="C67">
        <v>1748.2</v>
      </c>
      <c r="D67">
        <v>9</v>
      </c>
      <c r="E67">
        <v>3</v>
      </c>
      <c r="F67">
        <v>132</v>
      </c>
      <c r="G67">
        <v>857.8</v>
      </c>
      <c r="H67">
        <v>575.4</v>
      </c>
      <c r="AR67" t="str">
        <f t="shared" si="40"/>
        <v/>
      </c>
      <c r="AS67" s="25" t="str">
        <f t="shared" si="41"/>
        <v/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 t="str">
        <f t="shared" si="45"/>
        <v/>
      </c>
      <c r="AY67" s="25" t="str">
        <f t="shared" si="3"/>
        <v/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>
        <f t="shared" si="51"/>
        <v>857.8</v>
      </c>
      <c r="BI67" s="25">
        <f t="shared" si="7"/>
        <v>3</v>
      </c>
      <c r="BJ67" t="str">
        <f t="shared" si="52"/>
        <v/>
      </c>
      <c r="BK67" s="25" t="str">
        <f t="shared" si="8"/>
        <v/>
      </c>
    </row>
    <row r="68" spans="1:63">
      <c r="A68">
        <v>9</v>
      </c>
      <c r="B68">
        <v>6</v>
      </c>
      <c r="C68">
        <v>2024.3</v>
      </c>
      <c r="D68">
        <v>7</v>
      </c>
      <c r="E68">
        <v>8</v>
      </c>
      <c r="F68">
        <v>114</v>
      </c>
      <c r="G68">
        <v>2592.9</v>
      </c>
      <c r="H68">
        <v>1136.8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 t="str">
        <f t="shared" si="45"/>
        <v/>
      </c>
      <c r="AY68" s="25" t="str">
        <f t="shared" si="3"/>
        <v/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>
        <f t="shared" si="49"/>
        <v>2592.9</v>
      </c>
      <c r="BE68" s="25">
        <f t="shared" si="5"/>
        <v>8</v>
      </c>
      <c r="BF68" t="str">
        <f t="shared" si="50"/>
        <v/>
      </c>
      <c r="BG68" s="25" t="str">
        <f t="shared" si="6"/>
        <v/>
      </c>
      <c r="BH68" t="str">
        <f t="shared" si="51"/>
        <v/>
      </c>
      <c r="BI68" s="25" t="str">
        <f t="shared" si="7"/>
        <v/>
      </c>
      <c r="BJ68" t="str">
        <f t="shared" si="52"/>
        <v/>
      </c>
      <c r="BK68" s="25" t="str">
        <f t="shared" si="8"/>
        <v/>
      </c>
    </row>
    <row r="69" spans="1:63">
      <c r="A69">
        <v>2</v>
      </c>
      <c r="B69">
        <v>4</v>
      </c>
      <c r="C69">
        <v>2117.1</v>
      </c>
      <c r="D69">
        <v>6</v>
      </c>
      <c r="E69">
        <v>9</v>
      </c>
      <c r="F69">
        <v>109</v>
      </c>
      <c r="G69">
        <v>3036.4</v>
      </c>
      <c r="H69">
        <v>1247.4000000000001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 t="str">
        <f t="shared" si="45"/>
        <v/>
      </c>
      <c r="AY69" s="25" t="str">
        <f t="shared" ref="AY69:AY132" si="91">IFERROR(IF(AX69="","",$E69),"")</f>
        <v/>
      </c>
      <c r="AZ69" t="str">
        <f t="shared" si="46"/>
        <v/>
      </c>
      <c r="BA69" s="25" t="str">
        <f t="shared" ref="BA69:BA132" si="92">IFERROR(IF(AZ69="","",$E69),"")</f>
        <v/>
      </c>
      <c r="BB69">
        <f t="shared" si="47"/>
        <v>3036.4</v>
      </c>
      <c r="BC69" s="25">
        <f t="shared" ref="BC69:BC132" si="93">IFERROR(IF(BB69="","",$E69),"")</f>
        <v>9</v>
      </c>
      <c r="BD69" t="str">
        <f t="shared" si="49"/>
        <v/>
      </c>
      <c r="BE69" s="25" t="str">
        <f t="shared" ref="BE69:BE132" si="94">IFERROR(IF(BD69="","",$E69),"")</f>
        <v/>
      </c>
      <c r="BF69" t="str">
        <f t="shared" si="50"/>
        <v/>
      </c>
      <c r="BG69" s="25" t="str">
        <f t="shared" ref="BG69:BG132" si="95">IFERROR(IF(BF69="","",$E69),"")</f>
        <v/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4</v>
      </c>
      <c r="B70">
        <v>5</v>
      </c>
      <c r="C70">
        <v>2197.8000000000002</v>
      </c>
      <c r="D70">
        <v>9</v>
      </c>
      <c r="E70">
        <v>5</v>
      </c>
      <c r="F70">
        <v>105</v>
      </c>
      <c r="G70">
        <v>1254.0999999999999</v>
      </c>
      <c r="H70">
        <v>798.5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 t="str">
        <f t="shared" ref="AZ70:AZ133" si="104">IF($D70=AZ$4,$G70,"")</f>
        <v/>
      </c>
      <c r="BA70" s="25" t="str">
        <f t="shared" si="92"/>
        <v/>
      </c>
      <c r="BB70" t="str">
        <f t="shared" ref="BB70:BB133" si="105">IF($D70=BB$4,$G70,"")</f>
        <v/>
      </c>
      <c r="BC70" s="25" t="str">
        <f t="shared" si="93"/>
        <v/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>
        <f t="shared" ref="BH70:BH133" si="108">IF($D70=BH$4,$G70,"")</f>
        <v>1254.0999999999999</v>
      </c>
      <c r="BI70" s="25">
        <f t="shared" si="96"/>
        <v>5</v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6</v>
      </c>
      <c r="B71">
        <v>9</v>
      </c>
      <c r="C71">
        <v>2592.9</v>
      </c>
      <c r="D71">
        <v>8</v>
      </c>
      <c r="E71">
        <v>7</v>
      </c>
      <c r="F71">
        <v>89</v>
      </c>
      <c r="G71">
        <v>2024.3</v>
      </c>
      <c r="H71">
        <v>1136.8</v>
      </c>
      <c r="AR71" t="str">
        <f t="shared" si="98"/>
        <v/>
      </c>
      <c r="AS71" s="25" t="str">
        <f t="shared" si="99"/>
        <v/>
      </c>
      <c r="AT71" t="str">
        <f t="shared" si="100"/>
        <v/>
      </c>
      <c r="AU71" s="25" t="str">
        <f t="shared" si="101"/>
        <v/>
      </c>
      <c r="AV71" t="str">
        <f t="shared" si="102"/>
        <v/>
      </c>
      <c r="AW71" s="25" t="str">
        <f t="shared" si="101"/>
        <v/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 t="str">
        <f t="shared" si="105"/>
        <v/>
      </c>
      <c r="BC71" s="25" t="str">
        <f t="shared" si="93"/>
        <v/>
      </c>
      <c r="BD71" t="str">
        <f t="shared" si="106"/>
        <v/>
      </c>
      <c r="BE71" s="25" t="str">
        <f t="shared" si="94"/>
        <v/>
      </c>
      <c r="BF71">
        <f t="shared" si="107"/>
        <v>2024.3</v>
      </c>
      <c r="BG71" s="25">
        <f t="shared" si="95"/>
        <v>7</v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4</v>
      </c>
      <c r="B72">
        <v>2</v>
      </c>
      <c r="C72">
        <v>3036.4</v>
      </c>
      <c r="D72">
        <v>9</v>
      </c>
      <c r="E72">
        <v>6</v>
      </c>
      <c r="F72">
        <v>76</v>
      </c>
      <c r="G72">
        <v>2117.1</v>
      </c>
      <c r="H72">
        <v>1247.4000000000001</v>
      </c>
      <c r="AR72" t="str">
        <f t="shared" si="98"/>
        <v/>
      </c>
      <c r="AS72" s="25" t="str">
        <f t="shared" si="99"/>
        <v/>
      </c>
      <c r="AT72" t="str">
        <f t="shared" si="100"/>
        <v/>
      </c>
      <c r="AU72" s="25" t="str">
        <f t="shared" si="101"/>
        <v/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 t="str">
        <f t="shared" si="105"/>
        <v/>
      </c>
      <c r="BC72" s="25" t="str">
        <f t="shared" si="93"/>
        <v/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>
        <f t="shared" si="108"/>
        <v>2117.1</v>
      </c>
      <c r="BI72" s="25">
        <f t="shared" si="96"/>
        <v>6</v>
      </c>
      <c r="BJ72" t="str">
        <f t="shared" si="109"/>
        <v/>
      </c>
      <c r="BK72" s="25" t="str">
        <f t="shared" si="97"/>
        <v/>
      </c>
    </row>
    <row r="73" spans="1:63">
      <c r="A73">
        <v>9</v>
      </c>
      <c r="B73">
        <v>4</v>
      </c>
      <c r="C73">
        <v>3076.9</v>
      </c>
      <c r="D73">
        <v>7</v>
      </c>
      <c r="E73">
        <v>9</v>
      </c>
      <c r="F73">
        <v>75</v>
      </c>
      <c r="G73">
        <v>3444.3</v>
      </c>
      <c r="H73">
        <v>1625.1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>
        <f t="shared" si="106"/>
        <v>3444.3</v>
      </c>
      <c r="BE73" s="25">
        <f t="shared" si="94"/>
        <v>9</v>
      </c>
      <c r="BF73" t="str">
        <f t="shared" si="107"/>
        <v/>
      </c>
      <c r="BG73" s="25" t="str">
        <f t="shared" si="95"/>
        <v/>
      </c>
      <c r="BH73" t="str">
        <f t="shared" si="108"/>
        <v/>
      </c>
      <c r="BI73" s="25" t="str">
        <f t="shared" si="96"/>
        <v/>
      </c>
      <c r="BJ73" t="str">
        <f t="shared" si="109"/>
        <v/>
      </c>
      <c r="BK73" s="25" t="str">
        <f t="shared" si="97"/>
        <v/>
      </c>
    </row>
    <row r="74" spans="1:63">
      <c r="A74">
        <v>4</v>
      </c>
      <c r="B74">
        <v>9</v>
      </c>
      <c r="C74">
        <v>3444.3</v>
      </c>
      <c r="D74">
        <v>9</v>
      </c>
      <c r="E74">
        <v>7</v>
      </c>
      <c r="F74">
        <v>67</v>
      </c>
      <c r="G74">
        <v>3076.9</v>
      </c>
      <c r="H74">
        <v>1625.1</v>
      </c>
      <c r="AR74" t="str">
        <f t="shared" si="98"/>
        <v/>
      </c>
      <c r="AS74" s="25" t="str">
        <f t="shared" si="99"/>
        <v/>
      </c>
      <c r="AT74" t="str">
        <f t="shared" si="100"/>
        <v/>
      </c>
      <c r="AU74" s="25" t="str">
        <f t="shared" si="101"/>
        <v/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 t="str">
        <f t="shared" si="107"/>
        <v/>
      </c>
      <c r="BG74" s="25" t="str">
        <f t="shared" si="95"/>
        <v/>
      </c>
      <c r="BH74">
        <f t="shared" si="108"/>
        <v>3076.9</v>
      </c>
      <c r="BI74" s="25">
        <f t="shared" si="96"/>
        <v>7</v>
      </c>
      <c r="BJ74" t="str">
        <f t="shared" si="109"/>
        <v/>
      </c>
      <c r="BK74" s="25" t="str">
        <f t="shared" si="97"/>
        <v/>
      </c>
    </row>
    <row r="75" spans="1:63">
      <c r="A75">
        <v>6</v>
      </c>
      <c r="B75">
        <v>4</v>
      </c>
      <c r="C75">
        <v>4615.3999999999996</v>
      </c>
      <c r="D75">
        <v>8</v>
      </c>
      <c r="E75">
        <v>9</v>
      </c>
      <c r="F75">
        <v>50</v>
      </c>
      <c r="G75">
        <v>5244.8</v>
      </c>
      <c r="H75">
        <v>2455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 t="str">
        <f t="shared" si="102"/>
        <v/>
      </c>
      <c r="AW75" s="25" t="str">
        <f t="shared" si="101"/>
        <v/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>
        <f t="shared" si="107"/>
        <v>5244.8</v>
      </c>
      <c r="BG75" s="25">
        <f t="shared" si="95"/>
        <v>9</v>
      </c>
      <c r="BH75" t="str">
        <f t="shared" si="108"/>
        <v/>
      </c>
      <c r="BI75" s="25" t="str">
        <f t="shared" si="96"/>
        <v/>
      </c>
      <c r="BJ75" t="str">
        <f t="shared" si="109"/>
        <v/>
      </c>
      <c r="BK75" s="25" t="str">
        <f t="shared" si="97"/>
        <v/>
      </c>
    </row>
    <row r="76" spans="1:63">
      <c r="A76">
        <v>4</v>
      </c>
      <c r="B76">
        <v>6</v>
      </c>
      <c r="C76">
        <v>5244.8</v>
      </c>
      <c r="D76">
        <v>9</v>
      </c>
      <c r="E76">
        <v>8</v>
      </c>
      <c r="F76">
        <v>44</v>
      </c>
      <c r="G76">
        <v>4615.3999999999996</v>
      </c>
      <c r="H76">
        <v>2455</v>
      </c>
      <c r="AR76" t="str">
        <f t="shared" si="98"/>
        <v/>
      </c>
      <c r="AS76" s="25" t="str">
        <f t="shared" si="99"/>
        <v/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 t="str">
        <f t="shared" si="106"/>
        <v/>
      </c>
      <c r="BE76" s="25" t="str">
        <f t="shared" si="94"/>
        <v/>
      </c>
      <c r="BF76" t="str">
        <f t="shared" si="107"/>
        <v/>
      </c>
      <c r="BG76" s="25" t="str">
        <f t="shared" si="95"/>
        <v/>
      </c>
      <c r="BH76">
        <f t="shared" si="108"/>
        <v>4615.3999999999996</v>
      </c>
      <c r="BI76" s="25">
        <f t="shared" si="96"/>
        <v>8</v>
      </c>
      <c r="BJ76" t="str">
        <f t="shared" si="109"/>
        <v/>
      </c>
      <c r="BK76" s="25" t="str">
        <f t="shared" si="97"/>
        <v/>
      </c>
    </row>
    <row r="77" spans="1:63"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 t="str">
        <f t="shared" si="104"/>
        <v/>
      </c>
      <c r="BA77" s="25" t="str">
        <f t="shared" si="92"/>
        <v/>
      </c>
      <c r="BB77" t="str">
        <f t="shared" si="105"/>
        <v/>
      </c>
      <c r="BC77" s="25" t="str">
        <f t="shared" si="93"/>
        <v/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 t="str">
        <f t="shared" si="108"/>
        <v/>
      </c>
      <c r="BI77" s="25" t="str">
        <f t="shared" si="96"/>
        <v/>
      </c>
      <c r="BJ77" t="str">
        <f t="shared" si="109"/>
        <v/>
      </c>
      <c r="BK77" s="25" t="str">
        <f t="shared" si="97"/>
        <v/>
      </c>
    </row>
    <row r="78" spans="1:63">
      <c r="AR78" t="str">
        <f t="shared" si="98"/>
        <v/>
      </c>
      <c r="AS78" s="25" t="str">
        <f t="shared" si="99"/>
        <v/>
      </c>
      <c r="AT78" t="str">
        <f t="shared" si="100"/>
        <v/>
      </c>
      <c r="AU78" s="25" t="str">
        <f t="shared" si="101"/>
        <v/>
      </c>
      <c r="AV78" t="str">
        <f t="shared" si="102"/>
        <v/>
      </c>
      <c r="AW78" s="25" t="str">
        <f t="shared" si="101"/>
        <v/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 t="str">
        <f t="shared" si="107"/>
        <v/>
      </c>
      <c r="BG78" s="25" t="str">
        <f t="shared" si="95"/>
        <v/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 t="str">
        <f t="shared" si="104"/>
        <v/>
      </c>
      <c r="BA79" s="25" t="str">
        <f t="shared" si="92"/>
        <v/>
      </c>
      <c r="BB79" t="str">
        <f t="shared" si="105"/>
        <v/>
      </c>
      <c r="BC79" s="25" t="str">
        <f t="shared" si="93"/>
        <v/>
      </c>
      <c r="BD79" t="str">
        <f t="shared" si="106"/>
        <v/>
      </c>
      <c r="BE79" s="25" t="str">
        <f t="shared" si="94"/>
        <v/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 t="str">
        <f t="shared" si="108"/>
        <v/>
      </c>
      <c r="BI80" s="25" t="str">
        <f t="shared" si="96"/>
        <v/>
      </c>
      <c r="BJ80" t="str">
        <f t="shared" si="109"/>
        <v/>
      </c>
      <c r="BK80" s="25" t="str">
        <f t="shared" si="97"/>
        <v/>
      </c>
    </row>
    <row r="81" spans="44:63">
      <c r="AR81" t="str">
        <f t="shared" si="98"/>
        <v/>
      </c>
      <c r="AS81" s="25" t="str">
        <f t="shared" si="99"/>
        <v/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 t="str">
        <f t="shared" si="103"/>
        <v/>
      </c>
      <c r="AY81" s="25" t="str">
        <f t="shared" si="91"/>
        <v/>
      </c>
      <c r="AZ81" t="str">
        <f t="shared" si="104"/>
        <v/>
      </c>
      <c r="BA81" s="25" t="str">
        <f t="shared" si="92"/>
        <v/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44:63">
      <c r="AR82" t="str">
        <f t="shared" si="98"/>
        <v/>
      </c>
      <c r="AS82" s="25" t="str">
        <f t="shared" si="99"/>
        <v/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44:63">
      <c r="AR83" t="str">
        <f t="shared" si="98"/>
        <v/>
      </c>
      <c r="AS83" s="25" t="str">
        <f t="shared" si="99"/>
        <v/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 t="str">
        <f t="shared" si="104"/>
        <v/>
      </c>
      <c r="BA83" s="25" t="str">
        <f t="shared" si="92"/>
        <v/>
      </c>
      <c r="BB83" t="str">
        <f t="shared" si="105"/>
        <v/>
      </c>
      <c r="BC83" s="25" t="str">
        <f t="shared" si="93"/>
        <v/>
      </c>
      <c r="BD83" t="str">
        <f t="shared" si="106"/>
        <v/>
      </c>
      <c r="BE83" s="25" t="str">
        <f t="shared" si="94"/>
        <v/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44:63"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 t="str">
        <f t="shared" si="104"/>
        <v/>
      </c>
      <c r="BA84" s="25" t="str">
        <f t="shared" si="92"/>
        <v/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 t="str">
        <f t="shared" si="107"/>
        <v/>
      </c>
      <c r="BG84" s="25" t="str">
        <f t="shared" si="95"/>
        <v/>
      </c>
      <c r="BH84" t="str">
        <f t="shared" si="108"/>
        <v/>
      </c>
      <c r="BI84" s="25" t="str">
        <f t="shared" si="96"/>
        <v/>
      </c>
      <c r="BJ84" t="str">
        <f t="shared" si="109"/>
        <v/>
      </c>
      <c r="BK84" s="25" t="str">
        <f t="shared" si="97"/>
        <v/>
      </c>
    </row>
    <row r="85" spans="44:63">
      <c r="AR85" t="str">
        <f t="shared" si="98"/>
        <v/>
      </c>
      <c r="AS85" s="25" t="str">
        <f t="shared" si="99"/>
        <v/>
      </c>
      <c r="AT85" t="str">
        <f t="shared" si="100"/>
        <v/>
      </c>
      <c r="AU85" s="25" t="str">
        <f t="shared" si="101"/>
        <v/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 t="str">
        <f t="shared" si="109"/>
        <v/>
      </c>
      <c r="BK85" s="25" t="str">
        <f t="shared" si="97"/>
        <v/>
      </c>
    </row>
    <row r="86" spans="44:63"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 t="str">
        <f t="shared" si="104"/>
        <v/>
      </c>
      <c r="BA86" s="25" t="str">
        <f t="shared" si="92"/>
        <v/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 t="str">
        <f t="shared" si="108"/>
        <v/>
      </c>
      <c r="BI86" s="25" t="str">
        <f t="shared" si="96"/>
        <v/>
      </c>
      <c r="BJ86" t="str">
        <f t="shared" si="109"/>
        <v/>
      </c>
      <c r="BK86" s="25" t="str">
        <f t="shared" si="97"/>
        <v/>
      </c>
    </row>
    <row r="87" spans="44:63">
      <c r="AR87" t="str">
        <f t="shared" si="98"/>
        <v/>
      </c>
      <c r="AS87" s="25" t="str">
        <f t="shared" si="99"/>
        <v/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 t="str">
        <f t="shared" si="104"/>
        <v/>
      </c>
      <c r="BA87" s="25" t="str">
        <f t="shared" si="92"/>
        <v/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 t="str">
        <f t="shared" si="107"/>
        <v/>
      </c>
      <c r="BG87" s="25" t="str">
        <f t="shared" si="95"/>
        <v/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44:63">
      <c r="AR88" t="str">
        <f t="shared" si="98"/>
        <v/>
      </c>
      <c r="AS88" s="25" t="str">
        <f t="shared" si="99"/>
        <v/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 t="str">
        <f t="shared" si="109"/>
        <v/>
      </c>
      <c r="BK88" s="25" t="str">
        <f t="shared" si="97"/>
        <v/>
      </c>
    </row>
    <row r="89" spans="44:63">
      <c r="AR89" t="str">
        <f t="shared" si="98"/>
        <v/>
      </c>
      <c r="AS89" s="25" t="str">
        <f t="shared" si="99"/>
        <v/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 t="str">
        <f t="shared" si="107"/>
        <v/>
      </c>
      <c r="BG89" s="25" t="str">
        <f t="shared" si="95"/>
        <v/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44:63"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 t="str">
        <f t="shared" si="107"/>
        <v/>
      </c>
      <c r="BG90" s="25" t="str">
        <f t="shared" si="95"/>
        <v/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44:63"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 t="str">
        <f t="shared" si="105"/>
        <v/>
      </c>
      <c r="BC91" s="25" t="str">
        <f t="shared" si="93"/>
        <v/>
      </c>
      <c r="BD91" t="str">
        <f t="shared" si="106"/>
        <v/>
      </c>
      <c r="BE91" s="25" t="str">
        <f t="shared" si="94"/>
        <v/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44:63"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 t="str">
        <f t="shared" si="103"/>
        <v/>
      </c>
      <c r="AY92" s="25" t="str">
        <f t="shared" si="91"/>
        <v/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 t="str">
        <f t="shared" si="106"/>
        <v/>
      </c>
      <c r="BE92" s="25" t="str">
        <f t="shared" si="94"/>
        <v/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 t="str">
        <f t="shared" si="109"/>
        <v/>
      </c>
      <c r="BK92" s="25" t="str">
        <f t="shared" si="97"/>
        <v/>
      </c>
    </row>
    <row r="93" spans="44:63">
      <c r="AR93" t="str">
        <f t="shared" si="98"/>
        <v/>
      </c>
      <c r="AS93" s="25" t="str">
        <f t="shared" si="99"/>
        <v/>
      </c>
      <c r="AT93" t="str">
        <f t="shared" si="100"/>
        <v/>
      </c>
      <c r="AU93" s="25" t="str">
        <f t="shared" si="101"/>
        <v/>
      </c>
      <c r="AV93" t="str">
        <f t="shared" si="102"/>
        <v/>
      </c>
      <c r="AW93" s="25" t="str">
        <f t="shared" si="101"/>
        <v/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 t="str">
        <f t="shared" si="105"/>
        <v/>
      </c>
      <c r="BC93" s="25" t="str">
        <f t="shared" si="93"/>
        <v/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44:63"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 t="str">
        <f t="shared" si="105"/>
        <v/>
      </c>
      <c r="BC94" s="25" t="str">
        <f t="shared" si="93"/>
        <v/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 t="str">
        <f t="shared" si="108"/>
        <v/>
      </c>
      <c r="BI94" s="25" t="str">
        <f t="shared" si="96"/>
        <v/>
      </c>
      <c r="BJ94" t="str">
        <f t="shared" si="109"/>
        <v/>
      </c>
      <c r="BK94" s="25" t="str">
        <f t="shared" si="97"/>
        <v/>
      </c>
    </row>
    <row r="95" spans="44:63"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 t="str">
        <f t="shared" si="105"/>
        <v/>
      </c>
      <c r="BC95" s="25" t="str">
        <f t="shared" si="93"/>
        <v/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 t="str">
        <f t="shared" si="108"/>
        <v/>
      </c>
      <c r="BI95" s="25" t="str">
        <f t="shared" si="96"/>
        <v/>
      </c>
      <c r="BJ95" t="str">
        <f t="shared" si="109"/>
        <v/>
      </c>
      <c r="BK95" s="25" t="str">
        <f t="shared" si="97"/>
        <v/>
      </c>
    </row>
    <row r="96" spans="44:63"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 t="str">
        <f t="shared" si="102"/>
        <v/>
      </c>
      <c r="AW96" s="25" t="str">
        <f t="shared" si="101"/>
        <v/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 t="str">
        <f t="shared" si="106"/>
        <v/>
      </c>
      <c r="BE96" s="25" t="str">
        <f t="shared" si="94"/>
        <v/>
      </c>
      <c r="BF96" t="str">
        <f t="shared" si="107"/>
        <v/>
      </c>
      <c r="BG96" s="25" t="str">
        <f t="shared" si="95"/>
        <v/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8:63">
      <c r="AR97" t="str">
        <f t="shared" si="98"/>
        <v/>
      </c>
      <c r="AS97" s="25" t="str">
        <f t="shared" si="99"/>
        <v/>
      </c>
      <c r="AT97" t="str">
        <f t="shared" si="100"/>
        <v/>
      </c>
      <c r="AU97" s="25" t="str">
        <f t="shared" si="101"/>
        <v/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8:63"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 t="str">
        <f t="shared" si="102"/>
        <v/>
      </c>
      <c r="AW98" s="25" t="str">
        <f t="shared" si="101"/>
        <v/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 t="str">
        <f t="shared" si="108"/>
        <v/>
      </c>
      <c r="BI98" s="25" t="str">
        <f t="shared" si="96"/>
        <v/>
      </c>
      <c r="BJ98" t="str">
        <f t="shared" si="109"/>
        <v/>
      </c>
      <c r="BK98" s="25" t="str">
        <f t="shared" si="97"/>
        <v/>
      </c>
    </row>
    <row r="99" spans="18:63"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 t="str">
        <f t="shared" si="102"/>
        <v/>
      </c>
      <c r="AW99" s="25" t="str">
        <f t="shared" si="101"/>
        <v/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 t="str">
        <f t="shared" si="105"/>
        <v/>
      </c>
      <c r="BC99" s="25" t="str">
        <f t="shared" si="93"/>
        <v/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8:63"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 t="str">
        <f t="shared" si="103"/>
        <v/>
      </c>
      <c r="AY100" s="25" t="str">
        <f t="shared" si="91"/>
        <v/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 t="str">
        <f t="shared" si="106"/>
        <v/>
      </c>
      <c r="BE100" s="25" t="str">
        <f t="shared" si="94"/>
        <v/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8:63">
      <c r="AR101" t="str">
        <f t="shared" si="98"/>
        <v/>
      </c>
      <c r="AS101" s="25" t="str">
        <f t="shared" si="99"/>
        <v/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 t="str">
        <f t="shared" si="109"/>
        <v/>
      </c>
    </row>
    <row r="102" spans="18:63"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 t="str">
        <f t="shared" si="103"/>
        <v/>
      </c>
      <c r="AY102" s="25" t="str">
        <f t="shared" si="91"/>
        <v/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 t="str">
        <f t="shared" si="107"/>
        <v/>
      </c>
      <c r="BG102" s="25" t="str">
        <f t="shared" si="95"/>
        <v/>
      </c>
      <c r="BH102" t="str">
        <f t="shared" si="108"/>
        <v/>
      </c>
      <c r="BI102" s="25" t="str">
        <f t="shared" si="96"/>
        <v/>
      </c>
      <c r="BJ102" t="str">
        <f t="shared" si="109"/>
        <v/>
      </c>
    </row>
    <row r="103" spans="18:63"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 t="str">
        <f t="shared" si="108"/>
        <v/>
      </c>
      <c r="BI103" s="25" t="str">
        <f t="shared" si="96"/>
        <v/>
      </c>
      <c r="BJ103" t="str">
        <f t="shared" si="109"/>
        <v/>
      </c>
    </row>
    <row r="104" spans="18:63"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 t="str">
        <f t="shared" si="108"/>
        <v/>
      </c>
      <c r="BI104" s="25" t="str">
        <f t="shared" si="96"/>
        <v/>
      </c>
      <c r="BJ104" t="str">
        <f t="shared" si="109"/>
        <v/>
      </c>
    </row>
    <row r="105" spans="18:63">
      <c r="AR105" t="str">
        <f t="shared" si="98"/>
        <v/>
      </c>
      <c r="AS105" s="25" t="str">
        <f t="shared" si="99"/>
        <v/>
      </c>
      <c r="AT105" t="str">
        <f t="shared" si="100"/>
        <v/>
      </c>
      <c r="AU105" s="25" t="str">
        <f t="shared" si="110"/>
        <v/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 t="str">
        <f t="shared" si="105"/>
        <v/>
      </c>
      <c r="BC105" s="25" t="str">
        <f t="shared" si="93"/>
        <v/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8:63"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 t="str">
        <f t="shared" si="104"/>
        <v/>
      </c>
      <c r="BA106" s="25" t="str">
        <f t="shared" si="92"/>
        <v/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 t="str">
        <f t="shared" si="109"/>
        <v/>
      </c>
    </row>
    <row r="107" spans="18:63"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 t="str">
        <f t="shared" si="103"/>
        <v/>
      </c>
      <c r="AY107" s="25" t="str">
        <f t="shared" si="91"/>
        <v/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 t="str">
        <f t="shared" si="106"/>
        <v/>
      </c>
      <c r="BE107" s="25" t="str">
        <f t="shared" si="94"/>
        <v/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8:63"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 t="str">
        <f t="shared" si="104"/>
        <v/>
      </c>
      <c r="BA108" s="25" t="str">
        <f t="shared" si="92"/>
        <v/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 t="str">
        <f t="shared" si="107"/>
        <v/>
      </c>
      <c r="BG108" s="25" t="str">
        <f t="shared" si="95"/>
        <v/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8:63"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 t="str">
        <f t="shared" si="103"/>
        <v/>
      </c>
      <c r="AY109" s="25" t="str">
        <f t="shared" si="91"/>
        <v/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 t="str">
        <f t="shared" si="107"/>
        <v/>
      </c>
      <c r="BG109" s="25" t="str">
        <f t="shared" si="95"/>
        <v/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8:63"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 t="str">
        <f t="shared" si="104"/>
        <v/>
      </c>
      <c r="BA110" s="25" t="str">
        <f t="shared" si="92"/>
        <v/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 t="str">
        <f t="shared" si="108"/>
        <v/>
      </c>
      <c r="BI110" s="25" t="str">
        <f t="shared" si="96"/>
        <v/>
      </c>
      <c r="BJ110" t="str">
        <f t="shared" si="109"/>
        <v/>
      </c>
    </row>
    <row r="111" spans="18:63"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 t="str">
        <f t="shared" si="102"/>
        <v/>
      </c>
      <c r="AW111" s="25" t="str">
        <f t="shared" si="111"/>
        <v/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 t="str">
        <f t="shared" si="107"/>
        <v/>
      </c>
      <c r="BG111" s="25" t="str">
        <f t="shared" si="95"/>
        <v/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8:63"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44:62"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 t="str">
        <f t="shared" si="108"/>
        <v/>
      </c>
      <c r="BI113" s="25" t="str">
        <f t="shared" si="96"/>
        <v/>
      </c>
      <c r="BJ113" t="str">
        <f t="shared" si="109"/>
        <v/>
      </c>
    </row>
    <row r="114" spans="44:62">
      <c r="AR114" t="str">
        <f t="shared" si="98"/>
        <v/>
      </c>
      <c r="AS114" s="25" t="str">
        <f t="shared" si="99"/>
        <v/>
      </c>
      <c r="AT114" t="str">
        <f t="shared" si="100"/>
        <v/>
      </c>
      <c r="AU114" s="25" t="str">
        <f t="shared" si="110"/>
        <v/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44:62"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 t="str">
        <f t="shared" si="102"/>
        <v/>
      </c>
      <c r="AW115" s="25" t="str">
        <f t="shared" si="111"/>
        <v/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 t="str">
        <f t="shared" si="106"/>
        <v/>
      </c>
      <c r="BE115" s="25" t="str">
        <f t="shared" si="94"/>
        <v/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 t="str">
        <f t="shared" si="109"/>
        <v/>
      </c>
    </row>
    <row r="116" spans="44:62">
      <c r="AR116" t="str">
        <f t="shared" si="98"/>
        <v/>
      </c>
      <c r="AS116" s="25" t="str">
        <f t="shared" si="99"/>
        <v/>
      </c>
      <c r="AT116" t="str">
        <f t="shared" si="100"/>
        <v/>
      </c>
      <c r="AU116" s="25" t="str">
        <f t="shared" si="110"/>
        <v/>
      </c>
      <c r="AV116" t="str">
        <f t="shared" si="102"/>
        <v/>
      </c>
      <c r="AW116" s="25" t="str">
        <f t="shared" si="111"/>
        <v/>
      </c>
      <c r="AX116" t="str">
        <f t="shared" si="103"/>
        <v/>
      </c>
      <c r="AY116" s="25" t="str">
        <f t="shared" si="91"/>
        <v/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44:62">
      <c r="AR117" t="str">
        <f t="shared" si="98"/>
        <v/>
      </c>
      <c r="AS117" s="25" t="str">
        <f t="shared" si="99"/>
        <v/>
      </c>
      <c r="AT117" t="str">
        <f t="shared" si="100"/>
        <v/>
      </c>
      <c r="AU117" s="25" t="str">
        <f t="shared" si="110"/>
        <v/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 t="str">
        <f t="shared" si="107"/>
        <v/>
      </c>
      <c r="BG117" s="25" t="str">
        <f t="shared" si="95"/>
        <v/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44:62"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 t="str">
        <f t="shared" si="103"/>
        <v/>
      </c>
      <c r="AY118" s="25" t="str">
        <f t="shared" si="91"/>
        <v/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 t="str">
        <f t="shared" si="108"/>
        <v/>
      </c>
      <c r="BI118" s="25" t="str">
        <f t="shared" si="96"/>
        <v/>
      </c>
      <c r="BJ118" t="str">
        <f t="shared" si="109"/>
        <v/>
      </c>
    </row>
    <row r="119" spans="44:62">
      <c r="AR119" t="str">
        <f t="shared" si="98"/>
        <v/>
      </c>
      <c r="AS119" s="25" t="str">
        <f t="shared" si="99"/>
        <v/>
      </c>
      <c r="AT119" t="str">
        <f t="shared" si="100"/>
        <v/>
      </c>
      <c r="AU119" s="25" t="str">
        <f t="shared" si="110"/>
        <v/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 t="str">
        <f t="shared" si="104"/>
        <v/>
      </c>
      <c r="BA119" s="25" t="str">
        <f t="shared" si="92"/>
        <v/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44:62"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 t="str">
        <f t="shared" si="102"/>
        <v/>
      </c>
      <c r="AW120" s="25" t="str">
        <f t="shared" si="111"/>
        <v/>
      </c>
      <c r="AX120" t="str">
        <f t="shared" si="103"/>
        <v/>
      </c>
      <c r="AY120" s="25" t="str">
        <f t="shared" si="91"/>
        <v/>
      </c>
      <c r="AZ120" t="str">
        <f t="shared" si="104"/>
        <v/>
      </c>
      <c r="BA120" s="25" t="str">
        <f t="shared" si="92"/>
        <v/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44:62"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 t="str">
        <f t="shared" si="102"/>
        <v/>
      </c>
      <c r="AW121" s="25" t="str">
        <f t="shared" si="111"/>
        <v/>
      </c>
      <c r="AX121" t="str">
        <f t="shared" si="103"/>
        <v/>
      </c>
      <c r="AY121" s="25" t="str">
        <f t="shared" si="91"/>
        <v/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44:62"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 t="str">
        <f t="shared" si="109"/>
        <v/>
      </c>
    </row>
    <row r="123" spans="44:62"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 t="str">
        <f t="shared" si="102"/>
        <v/>
      </c>
      <c r="AW123" s="25" t="str">
        <f t="shared" si="111"/>
        <v/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 t="str">
        <f t="shared" si="106"/>
        <v/>
      </c>
      <c r="BE123" s="25" t="str">
        <f t="shared" si="94"/>
        <v/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44:62"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 t="str">
        <f t="shared" si="103"/>
        <v/>
      </c>
      <c r="AY124" s="25" t="str">
        <f t="shared" si="91"/>
        <v/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44:62"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 t="str">
        <f t="shared" si="103"/>
        <v/>
      </c>
      <c r="AY125" s="25" t="str">
        <f t="shared" si="91"/>
        <v/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 t="str">
        <f t="shared" si="109"/>
        <v/>
      </c>
    </row>
    <row r="126" spans="44:62"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 t="str">
        <f t="shared" si="103"/>
        <v/>
      </c>
      <c r="AY126" s="25" t="str">
        <f t="shared" si="91"/>
        <v/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 t="str">
        <f t="shared" si="107"/>
        <v/>
      </c>
      <c r="BG126" s="25" t="str">
        <f t="shared" si="95"/>
        <v/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44:62"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 t="str">
        <f t="shared" si="104"/>
        <v/>
      </c>
      <c r="BA127" s="25" t="str">
        <f t="shared" si="92"/>
        <v/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 t="str">
        <f t="shared" si="108"/>
        <v/>
      </c>
      <c r="BI127" s="25" t="str">
        <f t="shared" si="96"/>
        <v/>
      </c>
      <c r="BJ127" t="str">
        <f t="shared" si="109"/>
        <v/>
      </c>
    </row>
    <row r="128" spans="44:62"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 t="str">
        <f t="shared" si="105"/>
        <v/>
      </c>
      <c r="BC128" s="25" t="str">
        <f t="shared" si="93"/>
        <v/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 t="str">
        <f t="shared" si="109"/>
        <v/>
      </c>
    </row>
    <row r="129" spans="44:62"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44:62"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 t="str">
        <f t="shared" si="106"/>
        <v/>
      </c>
      <c r="BE130" s="25" t="str">
        <f t="shared" si="94"/>
        <v/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44:62"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 t="str">
        <f t="shared" si="105"/>
        <v/>
      </c>
      <c r="BC131" s="25" t="str">
        <f t="shared" si="93"/>
        <v/>
      </c>
      <c r="BD131" t="str">
        <f t="shared" si="106"/>
        <v/>
      </c>
      <c r="BE131" s="25" t="str">
        <f t="shared" si="94"/>
        <v/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44:62"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 t="str">
        <f t="shared" si="105"/>
        <v/>
      </c>
      <c r="BC132" s="25" t="str">
        <f t="shared" si="93"/>
        <v/>
      </c>
      <c r="BD132" t="str">
        <f t="shared" si="106"/>
        <v/>
      </c>
      <c r="BE132" s="25" t="str">
        <f t="shared" si="94"/>
        <v/>
      </c>
      <c r="BF132" t="str">
        <f t="shared" si="107"/>
        <v/>
      </c>
      <c r="BG132" s="25" t="str">
        <f t="shared" si="95"/>
        <v/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44:62"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 t="str">
        <f t="shared" si="103"/>
        <v/>
      </c>
      <c r="AY133" s="25" t="str">
        <f t="shared" ref="AY133:AY150" si="112">IFERROR(IF(AX133="","",$E133),"")</f>
        <v/>
      </c>
      <c r="AZ133" t="str">
        <f t="shared" si="104"/>
        <v/>
      </c>
      <c r="BA133" s="25" t="str">
        <f t="shared" ref="BA133:BA150" si="113">IFERROR(IF(AZ133="","",$E133),"")</f>
        <v/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44:62"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 t="str">
        <f t="shared" ref="BJ134:BJ150" si="128">IF($D134=BJ$4,$G134,"")</f>
        <v/>
      </c>
    </row>
    <row r="135" spans="44:62"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 t="str">
        <f t="shared" si="123"/>
        <v/>
      </c>
      <c r="BA135" s="25" t="str">
        <f t="shared" si="113"/>
        <v/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 t="str">
        <f t="shared" si="128"/>
        <v/>
      </c>
    </row>
    <row r="136" spans="44:62"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 t="str">
        <f t="shared" si="124"/>
        <v/>
      </c>
      <c r="BC136" s="25" t="str">
        <f t="shared" si="114"/>
        <v/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44:62"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44:62"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 t="str">
        <f t="shared" si="123"/>
        <v/>
      </c>
      <c r="BA138" s="25" t="str">
        <f t="shared" si="113"/>
        <v/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44:62"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 t="str">
        <f t="shared" si="123"/>
        <v/>
      </c>
      <c r="BA139" s="25" t="str">
        <f t="shared" si="113"/>
        <v/>
      </c>
      <c r="BB139" t="str">
        <f t="shared" si="124"/>
        <v/>
      </c>
      <c r="BC139" s="25" t="str">
        <f t="shared" si="114"/>
        <v/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44:62"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 t="str">
        <f t="shared" si="126"/>
        <v/>
      </c>
      <c r="BG140" s="25" t="str">
        <f t="shared" si="116"/>
        <v/>
      </c>
      <c r="BH140" t="str">
        <f t="shared" si="127"/>
        <v/>
      </c>
      <c r="BI140" s="25" t="str">
        <f t="shared" si="117"/>
        <v/>
      </c>
      <c r="BJ140" t="str">
        <f t="shared" si="128"/>
        <v/>
      </c>
    </row>
    <row r="141" spans="44:62">
      <c r="AR141" t="str">
        <f t="shared" si="118"/>
        <v/>
      </c>
      <c r="AS141" s="25" t="str">
        <f t="shared" si="119"/>
        <v/>
      </c>
      <c r="AT141" t="str">
        <f t="shared" si="120"/>
        <v/>
      </c>
      <c r="AU141" s="25" t="str">
        <f t="shared" si="110"/>
        <v/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 t="str">
        <f t="shared" si="123"/>
        <v/>
      </c>
      <c r="BA141" s="25" t="str">
        <f t="shared" si="113"/>
        <v/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44:62"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 t="str">
        <f t="shared" si="126"/>
        <v/>
      </c>
      <c r="BG142" s="25" t="str">
        <f t="shared" si="116"/>
        <v/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44:62"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44:62"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 t="str">
        <f t="shared" si="124"/>
        <v/>
      </c>
      <c r="BC144" s="25" t="str">
        <f t="shared" si="114"/>
        <v/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44:62"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 t="str">
        <f t="shared" si="124"/>
        <v/>
      </c>
      <c r="BC145" s="25" t="str">
        <f t="shared" si="114"/>
        <v/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44:62"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 t="str">
        <f t="shared" si="128"/>
        <v/>
      </c>
    </row>
    <row r="147" spans="44:62"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 t="str">
        <f t="shared" si="127"/>
        <v/>
      </c>
      <c r="BI147" s="25" t="str">
        <f t="shared" si="117"/>
        <v/>
      </c>
      <c r="BJ147" t="str">
        <f t="shared" si="128"/>
        <v/>
      </c>
    </row>
    <row r="148" spans="44:62"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 t="str">
        <f t="shared" si="123"/>
        <v/>
      </c>
      <c r="BA148" s="25" t="str">
        <f t="shared" si="113"/>
        <v/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44:62"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 t="str">
        <f t="shared" si="125"/>
        <v/>
      </c>
      <c r="BE149" s="25" t="str">
        <f t="shared" si="115"/>
        <v/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 t="str">
        <f t="shared" si="128"/>
        <v/>
      </c>
    </row>
    <row r="150" spans="44:62"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</sheetData>
  <sortState xmlns:xlrd2="http://schemas.microsoft.com/office/spreadsheetml/2017/richdata2"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/>
  </sheetViews>
  <sheetFormatPr defaultRowHeight="18.75"/>
  <sheetData/>
  <sortState xmlns:xlrd2="http://schemas.microsoft.com/office/spreadsheetml/2017/richdata2" ref="A2:I73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xmlns:xlrd2="http://schemas.microsoft.com/office/spreadsheetml/2017/richdata2"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D516"/>
  <sheetViews>
    <sheetView topLeftCell="A245" workbookViewId="0">
      <selection activeCell="D378" sqref="D378"/>
    </sheetView>
  </sheetViews>
  <sheetFormatPr defaultRowHeight="18.75"/>
  <cols>
    <col min="1" max="1" width="9.5" bestFit="1" customWidth="1"/>
  </cols>
  <sheetData>
    <row r="1" spans="1:4">
      <c r="A1">
        <v>20160105</v>
      </c>
      <c r="B1" t="s">
        <v>129</v>
      </c>
      <c r="C1" t="s">
        <v>101</v>
      </c>
    </row>
    <row r="2" spans="1:4">
      <c r="A2">
        <v>20160109</v>
      </c>
      <c r="B2" t="s">
        <v>129</v>
      </c>
      <c r="C2" t="s">
        <v>101</v>
      </c>
    </row>
    <row r="3" spans="1:4">
      <c r="A3">
        <v>20160110</v>
      </c>
      <c r="B3" t="s">
        <v>129</v>
      </c>
      <c r="C3" t="s">
        <v>101</v>
      </c>
    </row>
    <row r="4" spans="1:4">
      <c r="A4">
        <v>20160111</v>
      </c>
      <c r="B4" t="s">
        <v>129</v>
      </c>
      <c r="C4" t="s">
        <v>101</v>
      </c>
    </row>
    <row r="5" spans="1:4">
      <c r="A5">
        <v>20160116</v>
      </c>
      <c r="B5" t="s">
        <v>129</v>
      </c>
      <c r="C5" t="s">
        <v>130</v>
      </c>
      <c r="D5" t="s">
        <v>101</v>
      </c>
    </row>
    <row r="6" spans="1:4">
      <c r="A6">
        <v>20160117</v>
      </c>
      <c r="B6" t="s">
        <v>129</v>
      </c>
      <c r="C6" t="s">
        <v>130</v>
      </c>
      <c r="D6" t="s">
        <v>101</v>
      </c>
    </row>
    <row r="7" spans="1:4">
      <c r="A7">
        <v>20160123</v>
      </c>
      <c r="B7" t="s">
        <v>129</v>
      </c>
      <c r="C7" t="s">
        <v>130</v>
      </c>
      <c r="D7" t="s">
        <v>101</v>
      </c>
    </row>
    <row r="8" spans="1:4">
      <c r="A8">
        <v>20160124</v>
      </c>
      <c r="B8" t="s">
        <v>129</v>
      </c>
      <c r="C8" t="s">
        <v>130</v>
      </c>
      <c r="D8" t="s">
        <v>101</v>
      </c>
    </row>
    <row r="9" spans="1:4">
      <c r="A9">
        <v>20160130</v>
      </c>
      <c r="B9" t="s">
        <v>131</v>
      </c>
      <c r="C9" t="s">
        <v>130</v>
      </c>
      <c r="D9" t="s">
        <v>101</v>
      </c>
    </row>
    <row r="10" spans="1:4">
      <c r="A10">
        <v>20160131</v>
      </c>
      <c r="B10" t="s">
        <v>131</v>
      </c>
      <c r="C10" t="s">
        <v>130</v>
      </c>
      <c r="D10" t="s">
        <v>101</v>
      </c>
    </row>
    <row r="11" spans="1:4">
      <c r="A11">
        <v>20160206</v>
      </c>
      <c r="B11" t="s">
        <v>131</v>
      </c>
      <c r="C11" t="s">
        <v>101</v>
      </c>
    </row>
    <row r="12" spans="1:4">
      <c r="A12">
        <v>20160207</v>
      </c>
      <c r="B12" t="s">
        <v>131</v>
      </c>
      <c r="C12" t="s">
        <v>101</v>
      </c>
    </row>
    <row r="13" spans="1:4">
      <c r="A13">
        <v>20160213</v>
      </c>
      <c r="B13" t="s">
        <v>131</v>
      </c>
      <c r="C13" t="s">
        <v>101</v>
      </c>
      <c r="D13" t="s">
        <v>132</v>
      </c>
    </row>
    <row r="14" spans="1:4">
      <c r="A14">
        <v>20160214</v>
      </c>
      <c r="B14" t="s">
        <v>131</v>
      </c>
      <c r="C14" t="s">
        <v>101</v>
      </c>
      <c r="D14" t="s">
        <v>132</v>
      </c>
    </row>
    <row r="15" spans="1:4">
      <c r="A15">
        <v>20160220</v>
      </c>
      <c r="B15" t="s">
        <v>131</v>
      </c>
      <c r="C15" t="s">
        <v>101</v>
      </c>
      <c r="D15" t="s">
        <v>132</v>
      </c>
    </row>
    <row r="16" spans="1:4">
      <c r="A16">
        <v>20160221</v>
      </c>
      <c r="B16" t="s">
        <v>131</v>
      </c>
      <c r="C16" t="s">
        <v>101</v>
      </c>
      <c r="D16" t="s">
        <v>132</v>
      </c>
    </row>
    <row r="17" spans="1:4">
      <c r="A17">
        <v>20160227</v>
      </c>
      <c r="B17" t="s">
        <v>129</v>
      </c>
      <c r="C17" t="s">
        <v>133</v>
      </c>
      <c r="D17" t="s">
        <v>132</v>
      </c>
    </row>
    <row r="18" spans="1:4">
      <c r="A18">
        <v>20160228</v>
      </c>
      <c r="B18" t="s">
        <v>129</v>
      </c>
      <c r="C18" t="s">
        <v>133</v>
      </c>
      <c r="D18" t="s">
        <v>132</v>
      </c>
    </row>
    <row r="19" spans="1:4">
      <c r="A19">
        <v>20160305</v>
      </c>
      <c r="B19" t="s">
        <v>129</v>
      </c>
      <c r="C19" t="s">
        <v>133</v>
      </c>
      <c r="D19" t="s">
        <v>132</v>
      </c>
    </row>
    <row r="20" spans="1:4">
      <c r="A20">
        <v>20160306</v>
      </c>
      <c r="B20" t="s">
        <v>129</v>
      </c>
      <c r="C20" t="s">
        <v>133</v>
      </c>
      <c r="D20" t="s">
        <v>132</v>
      </c>
    </row>
    <row r="21" spans="1:4">
      <c r="A21">
        <v>20160312</v>
      </c>
      <c r="B21" t="s">
        <v>129</v>
      </c>
      <c r="C21" t="s">
        <v>130</v>
      </c>
      <c r="D21" t="s">
        <v>133</v>
      </c>
    </row>
    <row r="22" spans="1:4">
      <c r="A22">
        <v>20160313</v>
      </c>
      <c r="B22" t="s">
        <v>129</v>
      </c>
      <c r="C22" t="s">
        <v>130</v>
      </c>
      <c r="D22" t="s">
        <v>133</v>
      </c>
    </row>
    <row r="23" spans="1:4">
      <c r="A23">
        <v>20160319</v>
      </c>
      <c r="B23" t="s">
        <v>130</v>
      </c>
      <c r="C23" t="s">
        <v>133</v>
      </c>
    </row>
    <row r="24" spans="1:4">
      <c r="A24">
        <v>20160320</v>
      </c>
      <c r="B24" t="s">
        <v>129</v>
      </c>
      <c r="C24" t="s">
        <v>133</v>
      </c>
    </row>
    <row r="25" spans="1:4">
      <c r="A25">
        <v>20160321</v>
      </c>
      <c r="B25" t="s">
        <v>129</v>
      </c>
      <c r="C25" t="s">
        <v>130</v>
      </c>
    </row>
    <row r="26" spans="1:4">
      <c r="A26">
        <v>20160326</v>
      </c>
      <c r="B26" t="s">
        <v>129</v>
      </c>
      <c r="C26" t="s">
        <v>130</v>
      </c>
      <c r="D26" t="s">
        <v>133</v>
      </c>
    </row>
    <row r="27" spans="1:4">
      <c r="A27">
        <v>20160327</v>
      </c>
      <c r="B27" t="s">
        <v>129</v>
      </c>
      <c r="C27" t="s">
        <v>130</v>
      </c>
      <c r="D27" t="s">
        <v>133</v>
      </c>
    </row>
    <row r="28" spans="1:4">
      <c r="A28">
        <v>20160402</v>
      </c>
      <c r="B28" t="s">
        <v>129</v>
      </c>
      <c r="C28" t="s">
        <v>133</v>
      </c>
    </row>
    <row r="29" spans="1:4">
      <c r="A29">
        <v>20160403</v>
      </c>
      <c r="B29" t="s">
        <v>129</v>
      </c>
      <c r="C29" t="s">
        <v>133</v>
      </c>
    </row>
    <row r="30" spans="1:4">
      <c r="A30">
        <v>20160409</v>
      </c>
      <c r="B30" t="s">
        <v>134</v>
      </c>
      <c r="C30" t="s">
        <v>129</v>
      </c>
      <c r="D30" t="s">
        <v>133</v>
      </c>
    </row>
    <row r="31" spans="1:4">
      <c r="A31">
        <v>20160410</v>
      </c>
      <c r="B31" t="s">
        <v>134</v>
      </c>
      <c r="C31" t="s">
        <v>129</v>
      </c>
      <c r="D31" t="s">
        <v>133</v>
      </c>
    </row>
    <row r="32" spans="1:4">
      <c r="A32">
        <v>20160416</v>
      </c>
      <c r="B32" t="s">
        <v>134</v>
      </c>
      <c r="C32" t="s">
        <v>129</v>
      </c>
      <c r="D32" t="s">
        <v>133</v>
      </c>
    </row>
    <row r="33" spans="1:4">
      <c r="A33">
        <v>20160417</v>
      </c>
      <c r="B33" t="s">
        <v>134</v>
      </c>
      <c r="C33" t="s">
        <v>129</v>
      </c>
      <c r="D33" t="s">
        <v>133</v>
      </c>
    </row>
    <row r="34" spans="1:4">
      <c r="A34">
        <v>20160423</v>
      </c>
      <c r="B34" t="s">
        <v>134</v>
      </c>
      <c r="C34" t="s">
        <v>131</v>
      </c>
      <c r="D34" t="s">
        <v>101</v>
      </c>
    </row>
    <row r="35" spans="1:4">
      <c r="A35">
        <v>20160424</v>
      </c>
      <c r="B35" t="s">
        <v>134</v>
      </c>
      <c r="C35" t="s">
        <v>131</v>
      </c>
      <c r="D35" t="s">
        <v>101</v>
      </c>
    </row>
    <row r="36" spans="1:4">
      <c r="A36">
        <v>20160430</v>
      </c>
      <c r="B36" t="s">
        <v>135</v>
      </c>
      <c r="C36" t="s">
        <v>131</v>
      </c>
      <c r="D36" t="s">
        <v>101</v>
      </c>
    </row>
    <row r="37" spans="1:4">
      <c r="A37">
        <v>20160501</v>
      </c>
      <c r="B37" t="s">
        <v>135</v>
      </c>
      <c r="C37" t="s">
        <v>131</v>
      </c>
      <c r="D37" t="s">
        <v>101</v>
      </c>
    </row>
    <row r="38" spans="1:4">
      <c r="A38">
        <v>20160507</v>
      </c>
      <c r="B38" t="s">
        <v>135</v>
      </c>
      <c r="C38" t="s">
        <v>131</v>
      </c>
      <c r="D38" t="s">
        <v>101</v>
      </c>
    </row>
    <row r="39" spans="1:4">
      <c r="A39">
        <v>20160508</v>
      </c>
      <c r="B39" t="s">
        <v>135</v>
      </c>
      <c r="C39" t="s">
        <v>131</v>
      </c>
      <c r="D39" t="s">
        <v>101</v>
      </c>
    </row>
    <row r="40" spans="1:4">
      <c r="A40">
        <v>20160514</v>
      </c>
      <c r="B40" t="s">
        <v>135</v>
      </c>
      <c r="C40" t="s">
        <v>131</v>
      </c>
      <c r="D40" t="s">
        <v>101</v>
      </c>
    </row>
    <row r="41" spans="1:4">
      <c r="A41">
        <v>20160515</v>
      </c>
      <c r="B41" t="s">
        <v>135</v>
      </c>
      <c r="C41" t="s">
        <v>131</v>
      </c>
      <c r="D41" t="s">
        <v>101</v>
      </c>
    </row>
    <row r="42" spans="1:4">
      <c r="A42">
        <v>20160521</v>
      </c>
      <c r="B42" t="s">
        <v>135</v>
      </c>
      <c r="C42" t="s">
        <v>131</v>
      </c>
      <c r="D42" t="s">
        <v>101</v>
      </c>
    </row>
    <row r="43" spans="1:4">
      <c r="A43">
        <v>20160522</v>
      </c>
      <c r="B43" t="s">
        <v>135</v>
      </c>
      <c r="C43" t="s">
        <v>131</v>
      </c>
      <c r="D43" t="s">
        <v>101</v>
      </c>
    </row>
    <row r="44" spans="1:4">
      <c r="A44">
        <v>20160528</v>
      </c>
      <c r="B44" t="s">
        <v>131</v>
      </c>
      <c r="C44" t="s">
        <v>101</v>
      </c>
    </row>
    <row r="45" spans="1:4">
      <c r="A45">
        <v>20160529</v>
      </c>
      <c r="B45" t="s">
        <v>131</v>
      </c>
      <c r="C45" t="s">
        <v>101</v>
      </c>
    </row>
    <row r="46" spans="1:4">
      <c r="A46">
        <v>20160604</v>
      </c>
      <c r="B46" t="s">
        <v>131</v>
      </c>
      <c r="C46" t="s">
        <v>133</v>
      </c>
    </row>
    <row r="47" spans="1:4">
      <c r="A47">
        <v>20160605</v>
      </c>
      <c r="B47" t="s">
        <v>131</v>
      </c>
      <c r="C47" t="s">
        <v>133</v>
      </c>
    </row>
    <row r="48" spans="1:4">
      <c r="A48">
        <v>20160611</v>
      </c>
      <c r="B48" t="s">
        <v>131</v>
      </c>
      <c r="C48" t="s">
        <v>133</v>
      </c>
    </row>
    <row r="49" spans="1:4">
      <c r="A49">
        <v>20160612</v>
      </c>
      <c r="B49" t="s">
        <v>131</v>
      </c>
      <c r="C49" t="s">
        <v>133</v>
      </c>
    </row>
    <row r="50" spans="1:4">
      <c r="A50">
        <v>20160618</v>
      </c>
      <c r="B50" t="s">
        <v>136</v>
      </c>
      <c r="C50" t="s">
        <v>131</v>
      </c>
      <c r="D50" t="s">
        <v>133</v>
      </c>
    </row>
    <row r="51" spans="1:4">
      <c r="A51">
        <v>20160619</v>
      </c>
      <c r="B51" t="s">
        <v>136</v>
      </c>
      <c r="C51" t="s">
        <v>131</v>
      </c>
      <c r="D51" t="s">
        <v>133</v>
      </c>
    </row>
    <row r="52" spans="1:4">
      <c r="A52">
        <v>20160625</v>
      </c>
      <c r="B52" t="s">
        <v>136</v>
      </c>
      <c r="C52" t="s">
        <v>131</v>
      </c>
      <c r="D52" t="s">
        <v>133</v>
      </c>
    </row>
    <row r="53" spans="1:4">
      <c r="A53">
        <v>20160626</v>
      </c>
      <c r="B53" t="s">
        <v>136</v>
      </c>
      <c r="C53" t="s">
        <v>131</v>
      </c>
      <c r="D53" t="s">
        <v>133</v>
      </c>
    </row>
    <row r="54" spans="1:4">
      <c r="A54">
        <v>20160702</v>
      </c>
      <c r="B54" t="s">
        <v>136</v>
      </c>
      <c r="C54" t="s">
        <v>134</v>
      </c>
      <c r="D54" t="s">
        <v>130</v>
      </c>
    </row>
    <row r="55" spans="1:4">
      <c r="A55">
        <v>20160703</v>
      </c>
      <c r="B55" t="s">
        <v>136</v>
      </c>
      <c r="C55" t="s">
        <v>134</v>
      </c>
      <c r="D55" t="s">
        <v>130</v>
      </c>
    </row>
    <row r="56" spans="1:4">
      <c r="A56">
        <v>20160709</v>
      </c>
      <c r="B56" t="s">
        <v>136</v>
      </c>
      <c r="C56" t="s">
        <v>134</v>
      </c>
      <c r="D56" t="s">
        <v>130</v>
      </c>
    </row>
    <row r="57" spans="1:4">
      <c r="A57">
        <v>20160710</v>
      </c>
      <c r="B57" t="s">
        <v>136</v>
      </c>
      <c r="C57" t="s">
        <v>134</v>
      </c>
      <c r="D57" t="s">
        <v>130</v>
      </c>
    </row>
    <row r="58" spans="1:4">
      <c r="A58">
        <v>20160716</v>
      </c>
      <c r="B58" t="s">
        <v>136</v>
      </c>
      <c r="C58" t="s">
        <v>134</v>
      </c>
      <c r="D58" t="s">
        <v>130</v>
      </c>
    </row>
    <row r="59" spans="1:4">
      <c r="A59">
        <v>20160717</v>
      </c>
      <c r="B59" t="s">
        <v>136</v>
      </c>
      <c r="C59" t="s">
        <v>134</v>
      </c>
      <c r="D59" t="s">
        <v>130</v>
      </c>
    </row>
    <row r="60" spans="1:4">
      <c r="A60">
        <v>20160723</v>
      </c>
      <c r="B60" t="s">
        <v>136</v>
      </c>
      <c r="C60" t="s">
        <v>134</v>
      </c>
      <c r="D60" t="s">
        <v>130</v>
      </c>
    </row>
    <row r="61" spans="1:4">
      <c r="A61">
        <v>20160724</v>
      </c>
      <c r="B61" t="s">
        <v>136</v>
      </c>
      <c r="C61" t="s">
        <v>134</v>
      </c>
      <c r="D61" t="s">
        <v>130</v>
      </c>
    </row>
    <row r="62" spans="1:4">
      <c r="A62">
        <v>20160730</v>
      </c>
      <c r="B62" t="s">
        <v>137</v>
      </c>
      <c r="C62" t="s">
        <v>135</v>
      </c>
      <c r="D62" t="s">
        <v>132</v>
      </c>
    </row>
    <row r="63" spans="1:4">
      <c r="A63">
        <v>20160731</v>
      </c>
      <c r="B63" t="s">
        <v>137</v>
      </c>
      <c r="C63" t="s">
        <v>135</v>
      </c>
      <c r="D63" t="s">
        <v>132</v>
      </c>
    </row>
    <row r="64" spans="1:4">
      <c r="A64">
        <v>20160806</v>
      </c>
      <c r="B64" t="s">
        <v>137</v>
      </c>
      <c r="C64" t="s">
        <v>135</v>
      </c>
      <c r="D64" t="s">
        <v>132</v>
      </c>
    </row>
    <row r="65" spans="1:4">
      <c r="A65">
        <v>20160807</v>
      </c>
      <c r="B65" t="s">
        <v>137</v>
      </c>
      <c r="C65" t="s">
        <v>135</v>
      </c>
      <c r="D65" t="s">
        <v>132</v>
      </c>
    </row>
    <row r="66" spans="1:4">
      <c r="A66">
        <v>20160813</v>
      </c>
      <c r="B66" t="s">
        <v>137</v>
      </c>
      <c r="C66" t="s">
        <v>135</v>
      </c>
      <c r="D66" t="s">
        <v>132</v>
      </c>
    </row>
    <row r="67" spans="1:4">
      <c r="A67">
        <v>20160814</v>
      </c>
      <c r="B67" t="s">
        <v>137</v>
      </c>
      <c r="C67" t="s">
        <v>135</v>
      </c>
      <c r="D67" t="s">
        <v>132</v>
      </c>
    </row>
    <row r="68" spans="1:4">
      <c r="A68">
        <v>20160820</v>
      </c>
      <c r="B68" t="s">
        <v>137</v>
      </c>
      <c r="C68" t="s">
        <v>135</v>
      </c>
      <c r="D68" t="s">
        <v>132</v>
      </c>
    </row>
    <row r="69" spans="1:4">
      <c r="A69">
        <v>20160821</v>
      </c>
      <c r="B69" t="s">
        <v>137</v>
      </c>
      <c r="C69" t="s">
        <v>135</v>
      </c>
      <c r="D69" t="s">
        <v>132</v>
      </c>
    </row>
    <row r="70" spans="1:4">
      <c r="A70">
        <v>20160827</v>
      </c>
      <c r="B70" t="s">
        <v>137</v>
      </c>
      <c r="C70" t="s">
        <v>135</v>
      </c>
      <c r="D70" t="s">
        <v>132</v>
      </c>
    </row>
    <row r="71" spans="1:4">
      <c r="A71">
        <v>20160828</v>
      </c>
      <c r="B71" t="s">
        <v>137</v>
      </c>
      <c r="C71" t="s">
        <v>135</v>
      </c>
      <c r="D71" t="s">
        <v>132</v>
      </c>
    </row>
    <row r="72" spans="1:4">
      <c r="A72">
        <v>20160903</v>
      </c>
      <c r="B72" t="s">
        <v>137</v>
      </c>
      <c r="C72" t="s">
        <v>135</v>
      </c>
      <c r="D72" t="s">
        <v>132</v>
      </c>
    </row>
    <row r="73" spans="1:4">
      <c r="A73">
        <v>20160904</v>
      </c>
      <c r="B73" t="s">
        <v>137</v>
      </c>
      <c r="C73" t="s">
        <v>135</v>
      </c>
      <c r="D73" t="s">
        <v>132</v>
      </c>
    </row>
    <row r="74" spans="1:4">
      <c r="A74">
        <v>20160910</v>
      </c>
      <c r="B74" t="s">
        <v>129</v>
      </c>
      <c r="C74" t="s">
        <v>133</v>
      </c>
    </row>
    <row r="75" spans="1:4">
      <c r="A75">
        <v>20160911</v>
      </c>
      <c r="B75" t="s">
        <v>129</v>
      </c>
      <c r="C75" t="s">
        <v>133</v>
      </c>
    </row>
    <row r="76" spans="1:4">
      <c r="A76">
        <v>20160917</v>
      </c>
      <c r="B76" t="s">
        <v>129</v>
      </c>
      <c r="C76" t="s">
        <v>133</v>
      </c>
    </row>
    <row r="77" spans="1:4">
      <c r="A77">
        <v>20160918</v>
      </c>
      <c r="B77" t="s">
        <v>129</v>
      </c>
      <c r="C77" t="s">
        <v>133</v>
      </c>
    </row>
    <row r="78" spans="1:4">
      <c r="A78">
        <v>20160924</v>
      </c>
      <c r="B78" t="s">
        <v>129</v>
      </c>
      <c r="C78" t="s">
        <v>133</v>
      </c>
    </row>
    <row r="79" spans="1:4">
      <c r="A79">
        <v>20160925</v>
      </c>
      <c r="B79" t="s">
        <v>129</v>
      </c>
      <c r="C79" t="s">
        <v>133</v>
      </c>
    </row>
    <row r="80" spans="1:4">
      <c r="A80">
        <v>20161001</v>
      </c>
      <c r="B80" t="s">
        <v>129</v>
      </c>
      <c r="C80" t="s">
        <v>133</v>
      </c>
    </row>
    <row r="81" spans="1:4">
      <c r="A81">
        <v>20161002</v>
      </c>
      <c r="B81" t="s">
        <v>129</v>
      </c>
      <c r="C81" t="s">
        <v>133</v>
      </c>
    </row>
    <row r="82" spans="1:4">
      <c r="A82">
        <v>20161008</v>
      </c>
      <c r="B82" t="s">
        <v>131</v>
      </c>
      <c r="C82" t="s">
        <v>101</v>
      </c>
    </row>
    <row r="83" spans="1:4">
      <c r="A83">
        <v>20161009</v>
      </c>
      <c r="B83" t="s">
        <v>131</v>
      </c>
      <c r="C83" t="s">
        <v>101</v>
      </c>
    </row>
    <row r="84" spans="1:4">
      <c r="A84">
        <v>20161010</v>
      </c>
      <c r="B84" t="s">
        <v>131</v>
      </c>
      <c r="C84" t="s">
        <v>101</v>
      </c>
    </row>
    <row r="85" spans="1:4">
      <c r="A85">
        <v>20161015</v>
      </c>
      <c r="B85" t="s">
        <v>135</v>
      </c>
      <c r="C85" t="s">
        <v>131</v>
      </c>
      <c r="D85" t="s">
        <v>101</v>
      </c>
    </row>
    <row r="86" spans="1:4">
      <c r="A86">
        <v>20161016</v>
      </c>
      <c r="B86" t="s">
        <v>135</v>
      </c>
      <c r="C86" t="s">
        <v>131</v>
      </c>
      <c r="D86" t="s">
        <v>101</v>
      </c>
    </row>
    <row r="87" spans="1:4">
      <c r="A87">
        <v>20161022</v>
      </c>
      <c r="B87" t="s">
        <v>135</v>
      </c>
      <c r="C87" t="s">
        <v>131</v>
      </c>
      <c r="D87" t="s">
        <v>101</v>
      </c>
    </row>
    <row r="88" spans="1:4">
      <c r="A88">
        <v>20161023</v>
      </c>
      <c r="B88" t="s">
        <v>135</v>
      </c>
      <c r="C88" t="s">
        <v>131</v>
      </c>
      <c r="D88" t="s">
        <v>101</v>
      </c>
    </row>
    <row r="89" spans="1:4">
      <c r="A89">
        <v>20161029</v>
      </c>
      <c r="B89" t="s">
        <v>135</v>
      </c>
      <c r="C89" t="s">
        <v>131</v>
      </c>
      <c r="D89" t="s">
        <v>101</v>
      </c>
    </row>
    <row r="90" spans="1:4">
      <c r="A90">
        <v>20161030</v>
      </c>
      <c r="B90" t="s">
        <v>135</v>
      </c>
      <c r="C90" t="s">
        <v>131</v>
      </c>
      <c r="D90" t="s">
        <v>101</v>
      </c>
    </row>
    <row r="91" spans="1:4">
      <c r="A91">
        <v>20161105</v>
      </c>
      <c r="B91" t="s">
        <v>134</v>
      </c>
      <c r="C91" t="s">
        <v>131</v>
      </c>
      <c r="D91" t="s">
        <v>101</v>
      </c>
    </row>
    <row r="92" spans="1:4">
      <c r="A92">
        <v>20161106</v>
      </c>
      <c r="B92" t="s">
        <v>134</v>
      </c>
      <c r="C92" t="s">
        <v>131</v>
      </c>
      <c r="D92" t="s">
        <v>101</v>
      </c>
    </row>
    <row r="93" spans="1:4">
      <c r="A93">
        <v>20161112</v>
      </c>
      <c r="B93" t="s">
        <v>134</v>
      </c>
      <c r="C93" t="s">
        <v>131</v>
      </c>
      <c r="D93" t="s">
        <v>101</v>
      </c>
    </row>
    <row r="94" spans="1:4">
      <c r="A94">
        <v>20161113</v>
      </c>
      <c r="B94" t="s">
        <v>134</v>
      </c>
      <c r="C94" t="s">
        <v>131</v>
      </c>
      <c r="D94" t="s">
        <v>101</v>
      </c>
    </row>
    <row r="95" spans="1:4">
      <c r="A95">
        <v>20161119</v>
      </c>
      <c r="B95" t="s">
        <v>134</v>
      </c>
      <c r="C95" t="s">
        <v>131</v>
      </c>
      <c r="D95" t="s">
        <v>101</v>
      </c>
    </row>
    <row r="96" spans="1:4">
      <c r="A96">
        <v>20161120</v>
      </c>
      <c r="B96" t="s">
        <v>134</v>
      </c>
      <c r="C96" t="s">
        <v>131</v>
      </c>
      <c r="D96" t="s">
        <v>101</v>
      </c>
    </row>
    <row r="97" spans="1:4">
      <c r="A97">
        <v>20161126</v>
      </c>
      <c r="B97" t="s">
        <v>131</v>
      </c>
      <c r="C97" t="s">
        <v>101</v>
      </c>
    </row>
    <row r="98" spans="1:4">
      <c r="A98">
        <v>20161127</v>
      </c>
      <c r="B98" t="s">
        <v>131</v>
      </c>
      <c r="C98" t="s">
        <v>101</v>
      </c>
    </row>
    <row r="99" spans="1:4">
      <c r="A99">
        <v>20161203</v>
      </c>
      <c r="B99" t="s">
        <v>129</v>
      </c>
      <c r="C99" t="s">
        <v>130</v>
      </c>
      <c r="D99" t="s">
        <v>133</v>
      </c>
    </row>
    <row r="100" spans="1:4">
      <c r="A100">
        <v>20161204</v>
      </c>
      <c r="B100" t="s">
        <v>129</v>
      </c>
      <c r="C100" t="s">
        <v>130</v>
      </c>
      <c r="D100" t="s">
        <v>133</v>
      </c>
    </row>
    <row r="101" spans="1:4">
      <c r="A101">
        <v>20161210</v>
      </c>
      <c r="B101" t="s">
        <v>129</v>
      </c>
      <c r="C101" t="s">
        <v>130</v>
      </c>
      <c r="D101" t="s">
        <v>133</v>
      </c>
    </row>
    <row r="102" spans="1:4">
      <c r="A102">
        <v>20161211</v>
      </c>
      <c r="B102" t="s">
        <v>129</v>
      </c>
      <c r="C102" t="s">
        <v>130</v>
      </c>
      <c r="D102" t="s">
        <v>133</v>
      </c>
    </row>
    <row r="103" spans="1:4">
      <c r="A103">
        <v>20161217</v>
      </c>
      <c r="B103" t="s">
        <v>129</v>
      </c>
      <c r="C103" t="s">
        <v>130</v>
      </c>
      <c r="D103" t="s">
        <v>133</v>
      </c>
    </row>
    <row r="104" spans="1:4">
      <c r="A104">
        <v>20161218</v>
      </c>
      <c r="B104" t="s">
        <v>129</v>
      </c>
      <c r="C104" t="s">
        <v>130</v>
      </c>
      <c r="D104" t="s">
        <v>133</v>
      </c>
    </row>
    <row r="105" spans="1:4">
      <c r="A105">
        <v>20161223</v>
      </c>
      <c r="B105" t="s">
        <v>129</v>
      </c>
      <c r="C105" t="s">
        <v>133</v>
      </c>
    </row>
    <row r="106" spans="1:4">
      <c r="A106">
        <v>20161224</v>
      </c>
      <c r="B106" t="s">
        <v>129</v>
      </c>
      <c r="C106" t="s">
        <v>133</v>
      </c>
    </row>
    <row r="107" spans="1:4">
      <c r="A107">
        <v>20161225</v>
      </c>
      <c r="B107" t="s">
        <v>129</v>
      </c>
      <c r="C107" t="s">
        <v>133</v>
      </c>
    </row>
    <row r="108" spans="1:4">
      <c r="A108">
        <v>20170105</v>
      </c>
      <c r="B108" t="s">
        <v>129</v>
      </c>
      <c r="C108" t="s">
        <v>101</v>
      </c>
    </row>
    <row r="109" spans="1:4">
      <c r="A109">
        <v>20170107</v>
      </c>
      <c r="B109" t="s">
        <v>129</v>
      </c>
      <c r="C109" t="s">
        <v>101</v>
      </c>
    </row>
    <row r="110" spans="1:4">
      <c r="A110">
        <v>20170108</v>
      </c>
      <c r="B110" t="s">
        <v>129</v>
      </c>
      <c r="C110" t="s">
        <v>101</v>
      </c>
    </row>
    <row r="111" spans="1:4">
      <c r="A111">
        <v>20170114</v>
      </c>
      <c r="B111" t="s">
        <v>129</v>
      </c>
      <c r="C111" t="s">
        <v>130</v>
      </c>
      <c r="D111" t="s">
        <v>101</v>
      </c>
    </row>
    <row r="112" spans="1:4">
      <c r="A112">
        <v>20170115</v>
      </c>
      <c r="B112" t="s">
        <v>129</v>
      </c>
      <c r="C112" t="s">
        <v>130</v>
      </c>
      <c r="D112" t="s">
        <v>101</v>
      </c>
    </row>
    <row r="113" spans="1:4">
      <c r="A113">
        <v>20170116</v>
      </c>
      <c r="B113" t="s">
        <v>130</v>
      </c>
    </row>
    <row r="114" spans="1:4">
      <c r="A114">
        <v>20170117</v>
      </c>
      <c r="B114" t="s">
        <v>101</v>
      </c>
    </row>
    <row r="115" spans="1:4">
      <c r="A115">
        <v>20170121</v>
      </c>
      <c r="B115" t="s">
        <v>129</v>
      </c>
      <c r="C115" t="s">
        <v>130</v>
      </c>
      <c r="D115" t="s">
        <v>101</v>
      </c>
    </row>
    <row r="116" spans="1:4">
      <c r="A116">
        <v>20170122</v>
      </c>
      <c r="B116" t="s">
        <v>129</v>
      </c>
      <c r="C116" t="s">
        <v>130</v>
      </c>
      <c r="D116" t="s">
        <v>101</v>
      </c>
    </row>
    <row r="117" spans="1:4">
      <c r="A117">
        <v>20170128</v>
      </c>
      <c r="B117" t="s">
        <v>131</v>
      </c>
      <c r="C117" t="s">
        <v>130</v>
      </c>
      <c r="D117" t="s">
        <v>101</v>
      </c>
    </row>
    <row r="118" spans="1:4">
      <c r="A118">
        <v>20170129</v>
      </c>
      <c r="B118" t="s">
        <v>131</v>
      </c>
      <c r="C118" t="s">
        <v>130</v>
      </c>
      <c r="D118" t="s">
        <v>101</v>
      </c>
    </row>
    <row r="119" spans="1:4">
      <c r="A119">
        <v>20170204</v>
      </c>
      <c r="B119" t="s">
        <v>131</v>
      </c>
      <c r="C119" t="s">
        <v>101</v>
      </c>
    </row>
    <row r="120" spans="1:4">
      <c r="A120">
        <v>20170205</v>
      </c>
      <c r="B120" t="s">
        <v>131</v>
      </c>
      <c r="C120" t="s">
        <v>101</v>
      </c>
    </row>
    <row r="121" spans="1:4">
      <c r="A121">
        <v>20170211</v>
      </c>
      <c r="B121" t="s">
        <v>131</v>
      </c>
      <c r="C121" t="s">
        <v>101</v>
      </c>
      <c r="D121" t="s">
        <v>132</v>
      </c>
    </row>
    <row r="122" spans="1:4">
      <c r="A122">
        <v>20170212</v>
      </c>
      <c r="B122" t="s">
        <v>131</v>
      </c>
      <c r="C122" t="s">
        <v>101</v>
      </c>
      <c r="D122" t="s">
        <v>132</v>
      </c>
    </row>
    <row r="123" spans="1:4">
      <c r="A123">
        <v>20170213</v>
      </c>
      <c r="B123" t="s">
        <v>132</v>
      </c>
    </row>
    <row r="124" spans="1:4">
      <c r="A124">
        <v>20170218</v>
      </c>
      <c r="B124" t="s">
        <v>131</v>
      </c>
      <c r="C124" t="s">
        <v>101</v>
      </c>
      <c r="D124" t="s">
        <v>132</v>
      </c>
    </row>
    <row r="125" spans="1:4">
      <c r="A125">
        <v>20170219</v>
      </c>
      <c r="B125" t="s">
        <v>131</v>
      </c>
      <c r="C125" t="s">
        <v>101</v>
      </c>
      <c r="D125" t="s">
        <v>132</v>
      </c>
    </row>
    <row r="126" spans="1:4">
      <c r="A126">
        <v>20170225</v>
      </c>
      <c r="B126" t="s">
        <v>129</v>
      </c>
      <c r="C126" t="s">
        <v>133</v>
      </c>
      <c r="D126" t="s">
        <v>132</v>
      </c>
    </row>
    <row r="127" spans="1:4">
      <c r="A127">
        <v>20170226</v>
      </c>
      <c r="B127" t="s">
        <v>129</v>
      </c>
      <c r="C127" t="s">
        <v>133</v>
      </c>
      <c r="D127" t="s">
        <v>132</v>
      </c>
    </row>
    <row r="128" spans="1:4">
      <c r="A128">
        <v>20170304</v>
      </c>
      <c r="B128" t="s">
        <v>129</v>
      </c>
      <c r="C128" t="s">
        <v>133</v>
      </c>
      <c r="D128" t="s">
        <v>132</v>
      </c>
    </row>
    <row r="129" spans="1:4">
      <c r="A129">
        <v>20170305</v>
      </c>
      <c r="B129" t="s">
        <v>129</v>
      </c>
      <c r="C129" t="s">
        <v>133</v>
      </c>
      <c r="D129" t="s">
        <v>132</v>
      </c>
    </row>
    <row r="130" spans="1:4">
      <c r="A130">
        <v>20170311</v>
      </c>
      <c r="B130" t="s">
        <v>129</v>
      </c>
      <c r="C130" t="s">
        <v>130</v>
      </c>
      <c r="D130" t="s">
        <v>133</v>
      </c>
    </row>
    <row r="131" spans="1:4">
      <c r="A131">
        <v>20170312</v>
      </c>
      <c r="B131" t="s">
        <v>129</v>
      </c>
      <c r="C131" t="s">
        <v>130</v>
      </c>
      <c r="D131" t="s">
        <v>133</v>
      </c>
    </row>
    <row r="132" spans="1:4">
      <c r="A132">
        <v>20170318</v>
      </c>
      <c r="B132" t="s">
        <v>130</v>
      </c>
      <c r="C132" t="s">
        <v>133</v>
      </c>
    </row>
    <row r="133" spans="1:4">
      <c r="A133">
        <v>20170319</v>
      </c>
      <c r="B133" t="s">
        <v>129</v>
      </c>
      <c r="C133" t="s">
        <v>133</v>
      </c>
    </row>
    <row r="134" spans="1:4">
      <c r="A134">
        <v>20170320</v>
      </c>
      <c r="B134" t="s">
        <v>129</v>
      </c>
      <c r="C134" t="s">
        <v>130</v>
      </c>
    </row>
    <row r="135" spans="1:4">
      <c r="A135">
        <v>20170325</v>
      </c>
      <c r="B135" t="s">
        <v>129</v>
      </c>
      <c r="C135" t="s">
        <v>130</v>
      </c>
      <c r="D135" t="s">
        <v>133</v>
      </c>
    </row>
    <row r="136" spans="1:4">
      <c r="A136">
        <v>20170326</v>
      </c>
      <c r="B136" t="s">
        <v>129</v>
      </c>
      <c r="C136" t="s">
        <v>130</v>
      </c>
      <c r="D136" t="s">
        <v>133</v>
      </c>
    </row>
    <row r="137" spans="1:4">
      <c r="A137">
        <v>20170401</v>
      </c>
      <c r="B137" t="s">
        <v>129</v>
      </c>
      <c r="C137" t="s">
        <v>133</v>
      </c>
    </row>
    <row r="138" spans="1:4">
      <c r="A138">
        <v>20170402</v>
      </c>
      <c r="B138" t="s">
        <v>129</v>
      </c>
      <c r="C138" t="s">
        <v>133</v>
      </c>
    </row>
    <row r="139" spans="1:4">
      <c r="A139">
        <v>20170408</v>
      </c>
      <c r="B139" t="s">
        <v>134</v>
      </c>
      <c r="C139" t="s">
        <v>129</v>
      </c>
      <c r="D139" t="s">
        <v>133</v>
      </c>
    </row>
    <row r="140" spans="1:4">
      <c r="A140">
        <v>20170409</v>
      </c>
      <c r="B140" t="s">
        <v>134</v>
      </c>
      <c r="C140" t="s">
        <v>129</v>
      </c>
      <c r="D140" t="s">
        <v>133</v>
      </c>
    </row>
    <row r="141" spans="1:4">
      <c r="A141">
        <v>20170415</v>
      </c>
      <c r="B141" t="s">
        <v>134</v>
      </c>
      <c r="C141" t="s">
        <v>129</v>
      </c>
      <c r="D141" t="s">
        <v>133</v>
      </c>
    </row>
    <row r="142" spans="1:4">
      <c r="A142">
        <v>20170416</v>
      </c>
      <c r="B142" t="s">
        <v>134</v>
      </c>
      <c r="C142" t="s">
        <v>129</v>
      </c>
      <c r="D142" t="s">
        <v>133</v>
      </c>
    </row>
    <row r="143" spans="1:4">
      <c r="A143">
        <v>20170422</v>
      </c>
      <c r="B143" t="s">
        <v>134</v>
      </c>
      <c r="C143" t="s">
        <v>131</v>
      </c>
      <c r="D143" t="s">
        <v>101</v>
      </c>
    </row>
    <row r="144" spans="1:4">
      <c r="A144">
        <v>20170423</v>
      </c>
      <c r="B144" t="s">
        <v>134</v>
      </c>
      <c r="C144" t="s">
        <v>131</v>
      </c>
      <c r="D144" t="s">
        <v>101</v>
      </c>
    </row>
    <row r="145" spans="1:4">
      <c r="A145">
        <v>20170429</v>
      </c>
      <c r="B145" t="s">
        <v>135</v>
      </c>
      <c r="C145" t="s">
        <v>131</v>
      </c>
      <c r="D145" t="s">
        <v>101</v>
      </c>
    </row>
    <row r="146" spans="1:4">
      <c r="A146">
        <v>20170430</v>
      </c>
      <c r="B146" t="s">
        <v>135</v>
      </c>
      <c r="C146" t="s">
        <v>131</v>
      </c>
      <c r="D146" t="s">
        <v>101</v>
      </c>
    </row>
    <row r="147" spans="1:4">
      <c r="A147">
        <v>20170506</v>
      </c>
      <c r="B147" t="s">
        <v>135</v>
      </c>
      <c r="C147" t="s">
        <v>131</v>
      </c>
      <c r="D147" t="s">
        <v>101</v>
      </c>
    </row>
    <row r="148" spans="1:4">
      <c r="A148">
        <v>20170507</v>
      </c>
      <c r="B148" t="s">
        <v>135</v>
      </c>
      <c r="C148" t="s">
        <v>131</v>
      </c>
      <c r="D148" t="s">
        <v>101</v>
      </c>
    </row>
    <row r="149" spans="1:4">
      <c r="A149">
        <v>20170513</v>
      </c>
      <c r="B149" t="s">
        <v>135</v>
      </c>
      <c r="C149" t="s">
        <v>131</v>
      </c>
      <c r="D149" t="s">
        <v>101</v>
      </c>
    </row>
    <row r="150" spans="1:4">
      <c r="A150">
        <v>20170514</v>
      </c>
      <c r="B150" t="s">
        <v>135</v>
      </c>
      <c r="C150" t="s">
        <v>131</v>
      </c>
      <c r="D150" t="s">
        <v>101</v>
      </c>
    </row>
    <row r="151" spans="1:4">
      <c r="A151">
        <v>20170520</v>
      </c>
      <c r="B151" t="s">
        <v>135</v>
      </c>
      <c r="C151" t="s">
        <v>131</v>
      </c>
      <c r="D151" t="s">
        <v>101</v>
      </c>
    </row>
    <row r="152" spans="1:4">
      <c r="A152">
        <v>20170521</v>
      </c>
      <c r="B152" t="s">
        <v>135</v>
      </c>
      <c r="C152" t="s">
        <v>131</v>
      </c>
      <c r="D152" t="s">
        <v>101</v>
      </c>
    </row>
    <row r="153" spans="1:4">
      <c r="A153">
        <v>20170527</v>
      </c>
      <c r="B153" t="s">
        <v>131</v>
      </c>
      <c r="C153" t="s">
        <v>101</v>
      </c>
    </row>
    <row r="154" spans="1:4">
      <c r="A154">
        <v>20170528</v>
      </c>
      <c r="B154" t="s">
        <v>131</v>
      </c>
      <c r="C154" t="s">
        <v>101</v>
      </c>
    </row>
    <row r="155" spans="1:4">
      <c r="A155">
        <v>20170603</v>
      </c>
      <c r="B155" t="s">
        <v>131</v>
      </c>
      <c r="C155" t="s">
        <v>133</v>
      </c>
    </row>
    <row r="156" spans="1:4">
      <c r="A156">
        <v>20170604</v>
      </c>
      <c r="B156" t="s">
        <v>131</v>
      </c>
      <c r="C156" t="s">
        <v>133</v>
      </c>
    </row>
    <row r="157" spans="1:4">
      <c r="A157">
        <v>20170610</v>
      </c>
      <c r="B157" t="s">
        <v>131</v>
      </c>
      <c r="C157" t="s">
        <v>133</v>
      </c>
    </row>
    <row r="158" spans="1:4">
      <c r="A158">
        <v>20170611</v>
      </c>
      <c r="B158" t="s">
        <v>131</v>
      </c>
      <c r="C158" t="s">
        <v>133</v>
      </c>
    </row>
    <row r="159" spans="1:4">
      <c r="A159">
        <v>20170617</v>
      </c>
      <c r="B159" t="s">
        <v>136</v>
      </c>
      <c r="C159" t="s">
        <v>131</v>
      </c>
      <c r="D159" t="s">
        <v>133</v>
      </c>
    </row>
    <row r="160" spans="1:4">
      <c r="A160">
        <v>20170618</v>
      </c>
      <c r="B160" t="s">
        <v>136</v>
      </c>
      <c r="C160" t="s">
        <v>131</v>
      </c>
      <c r="D160" t="s">
        <v>133</v>
      </c>
    </row>
    <row r="161" spans="1:4">
      <c r="A161">
        <v>20170624</v>
      </c>
      <c r="B161" t="s">
        <v>136</v>
      </c>
      <c r="C161" t="s">
        <v>131</v>
      </c>
      <c r="D161" t="s">
        <v>133</v>
      </c>
    </row>
    <row r="162" spans="1:4">
      <c r="A162">
        <v>20170625</v>
      </c>
      <c r="B162" t="s">
        <v>136</v>
      </c>
      <c r="C162" t="s">
        <v>131</v>
      </c>
      <c r="D162" t="s">
        <v>133</v>
      </c>
    </row>
    <row r="163" spans="1:4">
      <c r="A163">
        <v>20170701</v>
      </c>
      <c r="B163" t="s">
        <v>136</v>
      </c>
      <c r="C163" t="s">
        <v>134</v>
      </c>
      <c r="D163" t="s">
        <v>130</v>
      </c>
    </row>
    <row r="164" spans="1:4">
      <c r="A164">
        <v>20170702</v>
      </c>
      <c r="B164" t="s">
        <v>136</v>
      </c>
      <c r="C164" t="s">
        <v>134</v>
      </c>
      <c r="D164" t="s">
        <v>130</v>
      </c>
    </row>
    <row r="165" spans="1:4">
      <c r="A165">
        <v>20170708</v>
      </c>
      <c r="B165" t="s">
        <v>136</v>
      </c>
      <c r="C165" t="s">
        <v>134</v>
      </c>
      <c r="D165" t="s">
        <v>130</v>
      </c>
    </row>
    <row r="166" spans="1:4">
      <c r="A166">
        <v>20170709</v>
      </c>
      <c r="B166" t="s">
        <v>136</v>
      </c>
      <c r="C166" t="s">
        <v>134</v>
      </c>
      <c r="D166" t="s">
        <v>130</v>
      </c>
    </row>
    <row r="167" spans="1:4">
      <c r="A167">
        <v>20170715</v>
      </c>
      <c r="B167" t="s">
        <v>136</v>
      </c>
      <c r="C167" t="s">
        <v>134</v>
      </c>
      <c r="D167" t="s">
        <v>130</v>
      </c>
    </row>
    <row r="168" spans="1:4">
      <c r="A168">
        <v>20170716</v>
      </c>
      <c r="B168" t="s">
        <v>136</v>
      </c>
      <c r="C168" t="s">
        <v>134</v>
      </c>
      <c r="D168" t="s">
        <v>130</v>
      </c>
    </row>
    <row r="169" spans="1:4">
      <c r="A169">
        <v>20170722</v>
      </c>
      <c r="B169" t="s">
        <v>136</v>
      </c>
      <c r="C169" t="s">
        <v>134</v>
      </c>
      <c r="D169" t="s">
        <v>130</v>
      </c>
    </row>
    <row r="170" spans="1:4">
      <c r="A170">
        <v>20170723</v>
      </c>
      <c r="B170" t="s">
        <v>136</v>
      </c>
      <c r="C170" t="s">
        <v>134</v>
      </c>
      <c r="D170" t="s">
        <v>130</v>
      </c>
    </row>
    <row r="171" spans="1:4">
      <c r="A171">
        <v>20170729</v>
      </c>
      <c r="B171" t="s">
        <v>137</v>
      </c>
      <c r="C171" t="s">
        <v>135</v>
      </c>
      <c r="D171" t="s">
        <v>132</v>
      </c>
    </row>
    <row r="172" spans="1:4">
      <c r="A172">
        <v>20170730</v>
      </c>
      <c r="B172" t="s">
        <v>137</v>
      </c>
      <c r="C172" t="s">
        <v>135</v>
      </c>
      <c r="D172" t="s">
        <v>132</v>
      </c>
    </row>
    <row r="173" spans="1:4">
      <c r="A173">
        <v>20170805</v>
      </c>
      <c r="B173" t="s">
        <v>137</v>
      </c>
      <c r="C173" t="s">
        <v>135</v>
      </c>
      <c r="D173" t="s">
        <v>132</v>
      </c>
    </row>
    <row r="174" spans="1:4">
      <c r="A174">
        <v>20170806</v>
      </c>
      <c r="B174" t="s">
        <v>137</v>
      </c>
      <c r="C174" t="s">
        <v>135</v>
      </c>
      <c r="D174" t="s">
        <v>132</v>
      </c>
    </row>
    <row r="175" spans="1:4">
      <c r="A175">
        <v>20170812</v>
      </c>
      <c r="B175" t="s">
        <v>137</v>
      </c>
      <c r="C175" t="s">
        <v>135</v>
      </c>
      <c r="D175" t="s">
        <v>132</v>
      </c>
    </row>
    <row r="176" spans="1:4">
      <c r="A176">
        <v>20170813</v>
      </c>
      <c r="B176" t="s">
        <v>137</v>
      </c>
      <c r="C176" t="s">
        <v>135</v>
      </c>
      <c r="D176" t="s">
        <v>132</v>
      </c>
    </row>
    <row r="177" spans="1:4">
      <c r="A177">
        <v>20170819</v>
      </c>
      <c r="B177" t="s">
        <v>137</v>
      </c>
      <c r="C177" t="s">
        <v>135</v>
      </c>
      <c r="D177" t="s">
        <v>132</v>
      </c>
    </row>
    <row r="178" spans="1:4">
      <c r="A178">
        <v>20170820</v>
      </c>
      <c r="B178" t="s">
        <v>137</v>
      </c>
      <c r="C178" t="s">
        <v>135</v>
      </c>
      <c r="D178" t="s">
        <v>132</v>
      </c>
    </row>
    <row r="179" spans="1:4">
      <c r="A179">
        <v>20170826</v>
      </c>
      <c r="B179" t="s">
        <v>137</v>
      </c>
      <c r="C179" t="s">
        <v>135</v>
      </c>
      <c r="D179" t="s">
        <v>132</v>
      </c>
    </row>
    <row r="180" spans="1:4">
      <c r="A180">
        <v>20170827</v>
      </c>
      <c r="B180" t="s">
        <v>137</v>
      </c>
      <c r="C180" t="s">
        <v>135</v>
      </c>
      <c r="D180" t="s">
        <v>132</v>
      </c>
    </row>
    <row r="181" spans="1:4">
      <c r="A181">
        <v>20170902</v>
      </c>
      <c r="B181" t="s">
        <v>137</v>
      </c>
      <c r="C181" t="s">
        <v>135</v>
      </c>
      <c r="D181" t="s">
        <v>132</v>
      </c>
    </row>
    <row r="182" spans="1:4">
      <c r="A182">
        <v>20170903</v>
      </c>
      <c r="B182" t="s">
        <v>137</v>
      </c>
      <c r="C182" t="s">
        <v>135</v>
      </c>
      <c r="D182" t="s">
        <v>132</v>
      </c>
    </row>
    <row r="183" spans="1:4">
      <c r="A183">
        <v>20170909</v>
      </c>
      <c r="B183" t="s">
        <v>129</v>
      </c>
      <c r="C183" t="s">
        <v>133</v>
      </c>
    </row>
    <row r="184" spans="1:4">
      <c r="A184">
        <v>20170910</v>
      </c>
      <c r="B184" t="s">
        <v>129</v>
      </c>
      <c r="C184" t="s">
        <v>133</v>
      </c>
    </row>
    <row r="185" spans="1:4">
      <c r="A185">
        <v>20170916</v>
      </c>
      <c r="B185" t="s">
        <v>129</v>
      </c>
      <c r="C185" t="s">
        <v>133</v>
      </c>
    </row>
    <row r="186" spans="1:4">
      <c r="A186">
        <v>20170917</v>
      </c>
      <c r="B186" t="s">
        <v>129</v>
      </c>
      <c r="C186" t="s">
        <v>133</v>
      </c>
    </row>
    <row r="187" spans="1:4">
      <c r="A187">
        <v>20170918</v>
      </c>
      <c r="B187" t="s">
        <v>129</v>
      </c>
      <c r="C187" t="s">
        <v>133</v>
      </c>
    </row>
    <row r="188" spans="1:4">
      <c r="A188">
        <v>20170923</v>
      </c>
      <c r="B188" t="s">
        <v>129</v>
      </c>
      <c r="C188" t="s">
        <v>133</v>
      </c>
    </row>
    <row r="189" spans="1:4">
      <c r="A189">
        <v>20170924</v>
      </c>
      <c r="B189" t="s">
        <v>129</v>
      </c>
      <c r="C189" t="s">
        <v>133</v>
      </c>
    </row>
    <row r="190" spans="1:4">
      <c r="A190">
        <v>20170930</v>
      </c>
      <c r="B190" t="s">
        <v>129</v>
      </c>
      <c r="C190" t="s">
        <v>133</v>
      </c>
    </row>
    <row r="191" spans="1:4">
      <c r="A191">
        <v>20171001</v>
      </c>
      <c r="B191" t="s">
        <v>129</v>
      </c>
      <c r="C191" t="s">
        <v>133</v>
      </c>
    </row>
    <row r="192" spans="1:4">
      <c r="A192">
        <v>20171007</v>
      </c>
      <c r="B192" t="s">
        <v>131</v>
      </c>
      <c r="C192" t="s">
        <v>101</v>
      </c>
    </row>
    <row r="193" spans="1:4">
      <c r="A193">
        <v>20171008</v>
      </c>
      <c r="B193" t="s">
        <v>131</v>
      </c>
      <c r="C193" t="s">
        <v>101</v>
      </c>
    </row>
    <row r="194" spans="1:4">
      <c r="A194">
        <v>20171009</v>
      </c>
      <c r="B194" t="s">
        <v>131</v>
      </c>
      <c r="C194" t="s">
        <v>101</v>
      </c>
    </row>
    <row r="195" spans="1:4">
      <c r="A195">
        <v>20171014</v>
      </c>
      <c r="B195" t="s">
        <v>135</v>
      </c>
      <c r="C195" t="s">
        <v>131</v>
      </c>
      <c r="D195" t="s">
        <v>101</v>
      </c>
    </row>
    <row r="196" spans="1:4">
      <c r="A196">
        <v>20171015</v>
      </c>
      <c r="B196" t="s">
        <v>135</v>
      </c>
      <c r="C196" t="s">
        <v>131</v>
      </c>
      <c r="D196" t="s">
        <v>101</v>
      </c>
    </row>
    <row r="197" spans="1:4">
      <c r="A197">
        <v>20171021</v>
      </c>
      <c r="B197" t="s">
        <v>135</v>
      </c>
      <c r="C197" t="s">
        <v>131</v>
      </c>
      <c r="D197" t="s">
        <v>101</v>
      </c>
    </row>
    <row r="198" spans="1:4">
      <c r="A198">
        <v>20171022</v>
      </c>
      <c r="B198" t="s">
        <v>135</v>
      </c>
      <c r="C198" t="s">
        <v>131</v>
      </c>
      <c r="D198" t="s">
        <v>101</v>
      </c>
    </row>
    <row r="199" spans="1:4">
      <c r="A199">
        <v>20171028</v>
      </c>
      <c r="B199" t="s">
        <v>135</v>
      </c>
      <c r="C199" t="s">
        <v>131</v>
      </c>
      <c r="D199" t="s">
        <v>101</v>
      </c>
    </row>
    <row r="200" spans="1:4">
      <c r="A200">
        <v>20171029</v>
      </c>
      <c r="B200" t="s">
        <v>135</v>
      </c>
      <c r="C200" t="s">
        <v>131</v>
      </c>
      <c r="D200" t="s">
        <v>101</v>
      </c>
    </row>
    <row r="201" spans="1:4">
      <c r="A201">
        <v>20171103</v>
      </c>
      <c r="B201" t="s">
        <v>134</v>
      </c>
      <c r="C201" t="s">
        <v>101</v>
      </c>
    </row>
    <row r="202" spans="1:4">
      <c r="A202">
        <v>20171104</v>
      </c>
      <c r="B202" t="s">
        <v>134</v>
      </c>
      <c r="C202" t="s">
        <v>131</v>
      </c>
    </row>
    <row r="203" spans="1:4">
      <c r="A203">
        <v>20171105</v>
      </c>
      <c r="B203" t="s">
        <v>131</v>
      </c>
      <c r="C203" t="s">
        <v>101</v>
      </c>
    </row>
    <row r="204" spans="1:4">
      <c r="A204">
        <v>20171111</v>
      </c>
      <c r="B204" t="s">
        <v>134</v>
      </c>
      <c r="C204" t="s">
        <v>131</v>
      </c>
      <c r="D204" t="s">
        <v>101</v>
      </c>
    </row>
    <row r="205" spans="1:4">
      <c r="A205">
        <v>20171112</v>
      </c>
      <c r="B205" t="s">
        <v>134</v>
      </c>
      <c r="C205" t="s">
        <v>131</v>
      </c>
      <c r="D205" t="s">
        <v>101</v>
      </c>
    </row>
    <row r="206" spans="1:4">
      <c r="A206">
        <v>20171118</v>
      </c>
      <c r="B206" t="s">
        <v>134</v>
      </c>
      <c r="C206" t="s">
        <v>131</v>
      </c>
      <c r="D206" t="s">
        <v>101</v>
      </c>
    </row>
    <row r="207" spans="1:4">
      <c r="A207">
        <v>20171119</v>
      </c>
      <c r="B207" t="s">
        <v>134</v>
      </c>
      <c r="C207" t="s">
        <v>131</v>
      </c>
      <c r="D207" t="s">
        <v>101</v>
      </c>
    </row>
    <row r="208" spans="1:4">
      <c r="A208">
        <v>20171125</v>
      </c>
      <c r="B208" t="s">
        <v>131</v>
      </c>
      <c r="C208" t="s">
        <v>101</v>
      </c>
    </row>
    <row r="209" spans="1:4">
      <c r="A209">
        <v>20171126</v>
      </c>
      <c r="B209" t="s">
        <v>131</v>
      </c>
      <c r="C209" t="s">
        <v>101</v>
      </c>
    </row>
    <row r="210" spans="1:4">
      <c r="A210">
        <v>20171202</v>
      </c>
      <c r="B210" t="s">
        <v>129</v>
      </c>
      <c r="C210" t="s">
        <v>130</v>
      </c>
      <c r="D210" t="s">
        <v>133</v>
      </c>
    </row>
    <row r="211" spans="1:4">
      <c r="A211">
        <v>20171203</v>
      </c>
      <c r="B211" t="s">
        <v>129</v>
      </c>
      <c r="C211" t="s">
        <v>130</v>
      </c>
      <c r="D211" t="s">
        <v>133</v>
      </c>
    </row>
    <row r="212" spans="1:4">
      <c r="A212">
        <v>20171209</v>
      </c>
      <c r="B212" t="s">
        <v>129</v>
      </c>
      <c r="C212" t="s">
        <v>130</v>
      </c>
      <c r="D212" t="s">
        <v>133</v>
      </c>
    </row>
    <row r="213" spans="1:4">
      <c r="A213">
        <v>20171210</v>
      </c>
      <c r="B213" t="s">
        <v>129</v>
      </c>
      <c r="C213" t="s">
        <v>130</v>
      </c>
      <c r="D213" t="s">
        <v>133</v>
      </c>
    </row>
    <row r="214" spans="1:4">
      <c r="A214">
        <v>20171216</v>
      </c>
      <c r="B214" t="s">
        <v>129</v>
      </c>
      <c r="C214" t="s">
        <v>130</v>
      </c>
      <c r="D214" t="s">
        <v>133</v>
      </c>
    </row>
    <row r="215" spans="1:4">
      <c r="A215">
        <v>20171217</v>
      </c>
      <c r="B215" t="s">
        <v>129</v>
      </c>
      <c r="C215" t="s">
        <v>130</v>
      </c>
      <c r="D215" t="s">
        <v>133</v>
      </c>
    </row>
    <row r="216" spans="1:4">
      <c r="A216">
        <v>20171223</v>
      </c>
      <c r="B216" t="s">
        <v>129</v>
      </c>
      <c r="C216" t="s">
        <v>133</v>
      </c>
    </row>
    <row r="217" spans="1:4">
      <c r="A217">
        <v>20171224</v>
      </c>
      <c r="B217" t="s">
        <v>129</v>
      </c>
      <c r="C217" t="s">
        <v>133</v>
      </c>
    </row>
    <row r="218" spans="1:4">
      <c r="A218">
        <v>20171228</v>
      </c>
      <c r="B218" t="s">
        <v>129</v>
      </c>
      <c r="C218" t="s">
        <v>133</v>
      </c>
    </row>
    <row r="219" spans="1:4">
      <c r="A219">
        <v>20180106</v>
      </c>
      <c r="B219" t="s">
        <v>129</v>
      </c>
      <c r="C219" t="s">
        <v>101</v>
      </c>
    </row>
    <row r="220" spans="1:4">
      <c r="A220">
        <v>20180107</v>
      </c>
      <c r="B220" t="s">
        <v>129</v>
      </c>
      <c r="C220" t="s">
        <v>101</v>
      </c>
    </row>
    <row r="221" spans="1:4">
      <c r="A221">
        <v>20180108</v>
      </c>
      <c r="B221" t="s">
        <v>129</v>
      </c>
      <c r="C221" t="s">
        <v>101</v>
      </c>
    </row>
    <row r="222" spans="1:4">
      <c r="A222">
        <v>20180113</v>
      </c>
      <c r="B222" t="s">
        <v>129</v>
      </c>
      <c r="C222" t="s">
        <v>130</v>
      </c>
      <c r="D222" t="s">
        <v>101</v>
      </c>
    </row>
    <row r="223" spans="1:4">
      <c r="A223">
        <v>20180114</v>
      </c>
      <c r="B223" t="s">
        <v>129</v>
      </c>
      <c r="C223" t="s">
        <v>130</v>
      </c>
      <c r="D223" t="s">
        <v>101</v>
      </c>
    </row>
    <row r="224" spans="1:4">
      <c r="A224">
        <v>20180120</v>
      </c>
      <c r="B224" t="s">
        <v>129</v>
      </c>
      <c r="C224" t="s">
        <v>130</v>
      </c>
      <c r="D224" t="s">
        <v>101</v>
      </c>
    </row>
    <row r="225" spans="1:4">
      <c r="A225">
        <v>20180121</v>
      </c>
      <c r="B225" t="s">
        <v>129</v>
      </c>
      <c r="C225" t="s">
        <v>130</v>
      </c>
      <c r="D225" t="s">
        <v>101</v>
      </c>
    </row>
    <row r="226" spans="1:4">
      <c r="A226">
        <v>20180127</v>
      </c>
      <c r="B226" t="s">
        <v>131</v>
      </c>
      <c r="C226" t="s">
        <v>130</v>
      </c>
      <c r="D226" t="s">
        <v>101</v>
      </c>
    </row>
    <row r="227" spans="1:4">
      <c r="A227">
        <v>20180128</v>
      </c>
      <c r="B227" t="s">
        <v>131</v>
      </c>
      <c r="C227" t="s">
        <v>130</v>
      </c>
      <c r="D227" t="s">
        <v>101</v>
      </c>
    </row>
    <row r="228" spans="1:4">
      <c r="A228">
        <v>20180203</v>
      </c>
      <c r="B228" t="s">
        <v>131</v>
      </c>
      <c r="C228" t="s">
        <v>101</v>
      </c>
    </row>
    <row r="229" spans="1:4">
      <c r="A229">
        <v>20180204</v>
      </c>
      <c r="B229" t="s">
        <v>131</v>
      </c>
      <c r="C229" t="s">
        <v>101</v>
      </c>
    </row>
    <row r="230" spans="1:4">
      <c r="A230">
        <v>20180210</v>
      </c>
      <c r="B230" t="s">
        <v>101</v>
      </c>
      <c r="C230" t="s">
        <v>132</v>
      </c>
    </row>
    <row r="231" spans="1:4">
      <c r="A231">
        <v>20180211</v>
      </c>
      <c r="B231" t="s">
        <v>131</v>
      </c>
      <c r="C231" t="s">
        <v>101</v>
      </c>
    </row>
    <row r="232" spans="1:4">
      <c r="A232">
        <v>20180212</v>
      </c>
      <c r="B232" t="s">
        <v>131</v>
      </c>
      <c r="C232" t="s">
        <v>132</v>
      </c>
    </row>
    <row r="233" spans="1:4">
      <c r="A233">
        <v>20180213</v>
      </c>
      <c r="B233" t="s">
        <v>132</v>
      </c>
    </row>
    <row r="234" spans="1:4">
      <c r="A234">
        <v>20180217</v>
      </c>
      <c r="B234" t="s">
        <v>131</v>
      </c>
      <c r="C234" t="s">
        <v>101</v>
      </c>
      <c r="D234" t="s">
        <v>132</v>
      </c>
    </row>
    <row r="235" spans="1:4">
      <c r="A235">
        <v>20180218</v>
      </c>
      <c r="B235" t="s">
        <v>131</v>
      </c>
      <c r="C235" t="s">
        <v>101</v>
      </c>
      <c r="D235" t="s">
        <v>132</v>
      </c>
    </row>
    <row r="236" spans="1:4">
      <c r="A236">
        <v>20180224</v>
      </c>
      <c r="B236" t="s">
        <v>129</v>
      </c>
      <c r="C236" t="s">
        <v>133</v>
      </c>
      <c r="D236" t="s">
        <v>132</v>
      </c>
    </row>
    <row r="237" spans="1:4">
      <c r="A237">
        <v>20180225</v>
      </c>
      <c r="B237" t="s">
        <v>129</v>
      </c>
      <c r="C237" t="s">
        <v>133</v>
      </c>
      <c r="D237" t="s">
        <v>132</v>
      </c>
    </row>
    <row r="238" spans="1:4">
      <c r="A238">
        <v>20180303</v>
      </c>
      <c r="B238" t="s">
        <v>129</v>
      </c>
      <c r="C238" t="s">
        <v>133</v>
      </c>
      <c r="D238" t="s">
        <v>132</v>
      </c>
    </row>
    <row r="239" spans="1:4">
      <c r="A239">
        <v>20180304</v>
      </c>
      <c r="B239" t="s">
        <v>129</v>
      </c>
      <c r="C239" t="s">
        <v>133</v>
      </c>
      <c r="D239" t="s">
        <v>132</v>
      </c>
    </row>
    <row r="240" spans="1:4">
      <c r="A240">
        <v>20180310</v>
      </c>
      <c r="B240" t="s">
        <v>129</v>
      </c>
      <c r="C240" t="s">
        <v>130</v>
      </c>
      <c r="D240" t="s">
        <v>133</v>
      </c>
    </row>
    <row r="241" spans="1:4">
      <c r="A241">
        <v>20180311</v>
      </c>
      <c r="B241" t="s">
        <v>129</v>
      </c>
      <c r="C241" t="s">
        <v>130</v>
      </c>
      <c r="D241" t="s">
        <v>133</v>
      </c>
    </row>
    <row r="242" spans="1:4">
      <c r="A242">
        <v>20180317</v>
      </c>
      <c r="B242" t="s">
        <v>129</v>
      </c>
      <c r="C242" t="s">
        <v>130</v>
      </c>
      <c r="D242" t="s">
        <v>133</v>
      </c>
    </row>
    <row r="243" spans="1:4">
      <c r="A243">
        <v>20180318</v>
      </c>
      <c r="B243" t="s">
        <v>129</v>
      </c>
      <c r="C243" t="s">
        <v>130</v>
      </c>
      <c r="D243" t="s">
        <v>133</v>
      </c>
    </row>
    <row r="244" spans="1:4">
      <c r="A244">
        <v>20180324</v>
      </c>
      <c r="B244" t="s">
        <v>129</v>
      </c>
      <c r="C244" t="s">
        <v>130</v>
      </c>
      <c r="D244" t="s">
        <v>133</v>
      </c>
    </row>
    <row r="245" spans="1:4">
      <c r="A245">
        <v>20180325</v>
      </c>
      <c r="B245" t="s">
        <v>129</v>
      </c>
      <c r="C245" t="s">
        <v>130</v>
      </c>
      <c r="D245" t="s">
        <v>133</v>
      </c>
    </row>
    <row r="246" spans="1:4">
      <c r="A246">
        <v>20180331</v>
      </c>
      <c r="B246" t="s">
        <v>129</v>
      </c>
      <c r="C246" t="s">
        <v>133</v>
      </c>
    </row>
    <row r="247" spans="1:4">
      <c r="A247">
        <v>20180401</v>
      </c>
      <c r="B247" t="s">
        <v>129</v>
      </c>
      <c r="C247" t="s">
        <v>133</v>
      </c>
    </row>
    <row r="248" spans="1:4">
      <c r="A248">
        <v>20180407</v>
      </c>
      <c r="B248" t="s">
        <v>134</v>
      </c>
      <c r="C248" t="s">
        <v>129</v>
      </c>
      <c r="D248" t="s">
        <v>133</v>
      </c>
    </row>
    <row r="249" spans="1:4">
      <c r="A249">
        <v>20180408</v>
      </c>
      <c r="B249" t="s">
        <v>134</v>
      </c>
      <c r="C249" t="s">
        <v>129</v>
      </c>
      <c r="D249" t="s">
        <v>133</v>
      </c>
    </row>
    <row r="250" spans="1:4">
      <c r="A250">
        <v>20180414</v>
      </c>
      <c r="B250" t="s">
        <v>134</v>
      </c>
      <c r="C250" t="s">
        <v>129</v>
      </c>
      <c r="D250" t="s">
        <v>133</v>
      </c>
    </row>
    <row r="251" spans="1:4">
      <c r="A251">
        <v>20180415</v>
      </c>
      <c r="B251" t="s">
        <v>134</v>
      </c>
      <c r="C251" t="s">
        <v>129</v>
      </c>
      <c r="D251" t="s">
        <v>133</v>
      </c>
    </row>
    <row r="252" spans="1:4">
      <c r="A252">
        <v>20180421</v>
      </c>
      <c r="B252" t="s">
        <v>134</v>
      </c>
      <c r="C252" t="s">
        <v>131</v>
      </c>
      <c r="D252" t="s">
        <v>101</v>
      </c>
    </row>
    <row r="253" spans="1:4">
      <c r="A253">
        <v>20180422</v>
      </c>
      <c r="B253" t="s">
        <v>134</v>
      </c>
      <c r="C253" t="s">
        <v>131</v>
      </c>
      <c r="D253" t="s">
        <v>101</v>
      </c>
    </row>
    <row r="254" spans="1:4">
      <c r="A254">
        <v>20180428</v>
      </c>
      <c r="B254" t="s">
        <v>135</v>
      </c>
      <c r="C254" t="s">
        <v>131</v>
      </c>
      <c r="D254" t="s">
        <v>101</v>
      </c>
    </row>
    <row r="255" spans="1:4">
      <c r="A255">
        <v>20180429</v>
      </c>
      <c r="B255" t="s">
        <v>135</v>
      </c>
      <c r="C255" t="s">
        <v>131</v>
      </c>
      <c r="D255" t="s">
        <v>101</v>
      </c>
    </row>
    <row r="256" spans="1:4">
      <c r="A256">
        <v>20180505</v>
      </c>
      <c r="B256" t="s">
        <v>135</v>
      </c>
      <c r="C256" t="s">
        <v>131</v>
      </c>
      <c r="D256" t="s">
        <v>101</v>
      </c>
    </row>
    <row r="257" spans="1:4">
      <c r="A257">
        <v>20180506</v>
      </c>
      <c r="B257" t="s">
        <v>135</v>
      </c>
      <c r="C257" t="s">
        <v>131</v>
      </c>
      <c r="D257" t="s">
        <v>101</v>
      </c>
    </row>
    <row r="258" spans="1:4">
      <c r="A258">
        <v>20180512</v>
      </c>
      <c r="B258" t="s">
        <v>135</v>
      </c>
      <c r="C258" t="s">
        <v>131</v>
      </c>
      <c r="D258" t="s">
        <v>101</v>
      </c>
    </row>
    <row r="259" spans="1:4">
      <c r="A259">
        <v>20180513</v>
      </c>
      <c r="B259" t="s">
        <v>135</v>
      </c>
      <c r="C259" t="s">
        <v>131</v>
      </c>
      <c r="D259" t="s">
        <v>101</v>
      </c>
    </row>
    <row r="260" spans="1:4">
      <c r="A260">
        <v>20180519</v>
      </c>
      <c r="B260" t="s">
        <v>135</v>
      </c>
      <c r="C260" t="s">
        <v>131</v>
      </c>
      <c r="D260" t="s">
        <v>101</v>
      </c>
    </row>
    <row r="261" spans="1:4">
      <c r="A261">
        <v>20180520</v>
      </c>
      <c r="B261" t="s">
        <v>135</v>
      </c>
      <c r="C261" t="s">
        <v>131</v>
      </c>
      <c r="D261" t="s">
        <v>101</v>
      </c>
    </row>
    <row r="262" spans="1:4">
      <c r="A262">
        <v>20180526</v>
      </c>
      <c r="B262" t="s">
        <v>131</v>
      </c>
      <c r="C262" t="s">
        <v>101</v>
      </c>
    </row>
    <row r="263" spans="1:4">
      <c r="A263">
        <v>20180527</v>
      </c>
      <c r="B263" t="s">
        <v>131</v>
      </c>
      <c r="C263" t="s">
        <v>101</v>
      </c>
    </row>
    <row r="264" spans="1:4">
      <c r="A264">
        <v>20180602</v>
      </c>
      <c r="B264" t="s">
        <v>131</v>
      </c>
      <c r="C264" t="s">
        <v>133</v>
      </c>
    </row>
    <row r="265" spans="1:4">
      <c r="A265">
        <v>20180603</v>
      </c>
      <c r="B265" t="s">
        <v>131</v>
      </c>
      <c r="C265" t="s">
        <v>133</v>
      </c>
    </row>
    <row r="266" spans="1:4">
      <c r="A266">
        <v>20180609</v>
      </c>
      <c r="B266" t="s">
        <v>131</v>
      </c>
      <c r="C266" t="s">
        <v>133</v>
      </c>
    </row>
    <row r="267" spans="1:4">
      <c r="A267">
        <v>20180610</v>
      </c>
      <c r="B267" t="s">
        <v>131</v>
      </c>
      <c r="C267" t="s">
        <v>133</v>
      </c>
    </row>
    <row r="268" spans="1:4">
      <c r="A268">
        <v>20180616</v>
      </c>
      <c r="B268" t="s">
        <v>136</v>
      </c>
      <c r="C268" t="s">
        <v>131</v>
      </c>
      <c r="D268" t="s">
        <v>133</v>
      </c>
    </row>
    <row r="269" spans="1:4">
      <c r="A269">
        <v>20180617</v>
      </c>
      <c r="B269" t="s">
        <v>136</v>
      </c>
      <c r="C269" t="s">
        <v>131</v>
      </c>
      <c r="D269" t="s">
        <v>133</v>
      </c>
    </row>
    <row r="270" spans="1:4">
      <c r="A270">
        <v>20180623</v>
      </c>
      <c r="B270" t="s">
        <v>136</v>
      </c>
      <c r="C270" t="s">
        <v>131</v>
      </c>
      <c r="D270" t="s">
        <v>133</v>
      </c>
    </row>
    <row r="271" spans="1:4">
      <c r="A271">
        <v>20180624</v>
      </c>
      <c r="B271" t="s">
        <v>136</v>
      </c>
      <c r="C271" t="s">
        <v>131</v>
      </c>
      <c r="D271" t="s">
        <v>133</v>
      </c>
    </row>
    <row r="272" spans="1:4">
      <c r="A272">
        <v>20180630</v>
      </c>
      <c r="B272" t="s">
        <v>136</v>
      </c>
      <c r="C272" t="s">
        <v>134</v>
      </c>
      <c r="D272" t="s">
        <v>130</v>
      </c>
    </row>
    <row r="273" spans="1:4">
      <c r="A273">
        <v>20180701</v>
      </c>
      <c r="B273" t="s">
        <v>136</v>
      </c>
      <c r="C273" t="s">
        <v>134</v>
      </c>
      <c r="D273" t="s">
        <v>130</v>
      </c>
    </row>
    <row r="274" spans="1:4">
      <c r="A274">
        <v>20180707</v>
      </c>
      <c r="B274" t="s">
        <v>136</v>
      </c>
      <c r="C274" t="s">
        <v>134</v>
      </c>
      <c r="D274" t="s">
        <v>130</v>
      </c>
    </row>
    <row r="275" spans="1:4">
      <c r="A275">
        <v>20180708</v>
      </c>
      <c r="B275" t="s">
        <v>136</v>
      </c>
      <c r="C275" t="s">
        <v>134</v>
      </c>
      <c r="D275" t="s">
        <v>130</v>
      </c>
    </row>
    <row r="276" spans="1:4">
      <c r="A276">
        <v>20180714</v>
      </c>
      <c r="B276" t="s">
        <v>136</v>
      </c>
      <c r="C276" t="s">
        <v>134</v>
      </c>
      <c r="D276" t="s">
        <v>130</v>
      </c>
    </row>
    <row r="277" spans="1:4">
      <c r="A277">
        <v>20180715</v>
      </c>
      <c r="B277" t="s">
        <v>136</v>
      </c>
      <c r="C277" t="s">
        <v>134</v>
      </c>
      <c r="D277" t="s">
        <v>130</v>
      </c>
    </row>
    <row r="278" spans="1:4">
      <c r="A278">
        <v>20180721</v>
      </c>
      <c r="B278" t="s">
        <v>136</v>
      </c>
      <c r="C278" t="s">
        <v>134</v>
      </c>
      <c r="D278" t="s">
        <v>130</v>
      </c>
    </row>
    <row r="279" spans="1:4">
      <c r="A279">
        <v>20180722</v>
      </c>
      <c r="B279" t="s">
        <v>136</v>
      </c>
      <c r="C279" t="s">
        <v>134</v>
      </c>
      <c r="D279" t="s">
        <v>130</v>
      </c>
    </row>
    <row r="280" spans="1:4">
      <c r="A280">
        <v>20180728</v>
      </c>
      <c r="B280" t="s">
        <v>137</v>
      </c>
      <c r="C280" t="s">
        <v>135</v>
      </c>
      <c r="D280" t="s">
        <v>132</v>
      </c>
    </row>
    <row r="281" spans="1:4">
      <c r="A281">
        <v>20180729</v>
      </c>
      <c r="B281" t="s">
        <v>137</v>
      </c>
      <c r="C281" t="s">
        <v>135</v>
      </c>
      <c r="D281" t="s">
        <v>132</v>
      </c>
    </row>
    <row r="282" spans="1:4">
      <c r="A282">
        <v>20180804</v>
      </c>
      <c r="B282" t="s">
        <v>137</v>
      </c>
      <c r="C282" t="s">
        <v>135</v>
      </c>
      <c r="D282" t="s">
        <v>132</v>
      </c>
    </row>
    <row r="283" spans="1:4">
      <c r="A283">
        <v>20180805</v>
      </c>
      <c r="B283" t="s">
        <v>137</v>
      </c>
      <c r="C283" t="s">
        <v>135</v>
      </c>
      <c r="D283" t="s">
        <v>132</v>
      </c>
    </row>
    <row r="284" spans="1:4">
      <c r="A284">
        <v>20180811</v>
      </c>
      <c r="B284" t="s">
        <v>137</v>
      </c>
      <c r="C284" t="s">
        <v>135</v>
      </c>
      <c r="D284" t="s">
        <v>132</v>
      </c>
    </row>
    <row r="285" spans="1:4">
      <c r="A285">
        <v>20180812</v>
      </c>
      <c r="B285" t="s">
        <v>137</v>
      </c>
      <c r="C285" t="s">
        <v>135</v>
      </c>
      <c r="D285" t="s">
        <v>132</v>
      </c>
    </row>
    <row r="286" spans="1:4">
      <c r="A286">
        <v>20180818</v>
      </c>
      <c r="B286" t="s">
        <v>137</v>
      </c>
      <c r="C286" t="s">
        <v>135</v>
      </c>
      <c r="D286" t="s">
        <v>132</v>
      </c>
    </row>
    <row r="287" spans="1:4">
      <c r="A287">
        <v>20180819</v>
      </c>
      <c r="B287" t="s">
        <v>137</v>
      </c>
      <c r="C287" t="s">
        <v>135</v>
      </c>
      <c r="D287" t="s">
        <v>132</v>
      </c>
    </row>
    <row r="288" spans="1:4">
      <c r="A288">
        <v>20180825</v>
      </c>
      <c r="B288" t="s">
        <v>137</v>
      </c>
      <c r="C288" t="s">
        <v>135</v>
      </c>
      <c r="D288" t="s">
        <v>132</v>
      </c>
    </row>
    <row r="289" spans="1:4">
      <c r="A289">
        <v>20180826</v>
      </c>
      <c r="B289" t="s">
        <v>137</v>
      </c>
      <c r="C289" t="s">
        <v>135</v>
      </c>
      <c r="D289" t="s">
        <v>132</v>
      </c>
    </row>
    <row r="290" spans="1:4">
      <c r="A290">
        <v>20180901</v>
      </c>
      <c r="B290" t="s">
        <v>137</v>
      </c>
      <c r="C290" t="s">
        <v>135</v>
      </c>
      <c r="D290" t="s">
        <v>132</v>
      </c>
    </row>
    <row r="291" spans="1:4">
      <c r="A291">
        <v>20180902</v>
      </c>
      <c r="B291" t="s">
        <v>137</v>
      </c>
      <c r="C291" t="s">
        <v>135</v>
      </c>
      <c r="D291" t="s">
        <v>132</v>
      </c>
    </row>
    <row r="292" spans="1:4">
      <c r="A292">
        <v>20180908</v>
      </c>
      <c r="B292" t="s">
        <v>129</v>
      </c>
      <c r="C292" t="s">
        <v>133</v>
      </c>
    </row>
    <row r="293" spans="1:4">
      <c r="A293">
        <v>20180909</v>
      </c>
      <c r="B293" t="s">
        <v>129</v>
      </c>
      <c r="C293" t="s">
        <v>133</v>
      </c>
    </row>
    <row r="294" spans="1:4">
      <c r="A294">
        <v>20180915</v>
      </c>
      <c r="B294" t="s">
        <v>129</v>
      </c>
      <c r="C294" t="s">
        <v>133</v>
      </c>
    </row>
    <row r="295" spans="1:4">
      <c r="A295">
        <v>20180916</v>
      </c>
      <c r="B295" t="s">
        <v>129</v>
      </c>
      <c r="C295" t="s">
        <v>133</v>
      </c>
    </row>
    <row r="296" spans="1:4">
      <c r="A296">
        <v>20180917</v>
      </c>
      <c r="B296" t="s">
        <v>129</v>
      </c>
      <c r="C296" t="s">
        <v>133</v>
      </c>
    </row>
    <row r="297" spans="1:4">
      <c r="A297">
        <v>20180922</v>
      </c>
      <c r="B297" t="s">
        <v>129</v>
      </c>
      <c r="C297" t="s">
        <v>133</v>
      </c>
    </row>
    <row r="298" spans="1:4">
      <c r="A298">
        <v>20180923</v>
      </c>
      <c r="B298" t="s">
        <v>129</v>
      </c>
      <c r="C298" t="s">
        <v>133</v>
      </c>
    </row>
    <row r="299" spans="1:4">
      <c r="A299">
        <v>20180929</v>
      </c>
      <c r="B299" t="s">
        <v>129</v>
      </c>
      <c r="C299" t="s">
        <v>133</v>
      </c>
    </row>
    <row r="300" spans="1:4">
      <c r="A300">
        <v>20180930</v>
      </c>
      <c r="B300" t="s">
        <v>129</v>
      </c>
      <c r="C300" t="s">
        <v>133</v>
      </c>
    </row>
    <row r="301" spans="1:4">
      <c r="A301">
        <v>20181001</v>
      </c>
      <c r="B301" t="s">
        <v>133</v>
      </c>
    </row>
    <row r="302" spans="1:4">
      <c r="A302">
        <v>20181002</v>
      </c>
      <c r="B302" t="s">
        <v>133</v>
      </c>
    </row>
    <row r="303" spans="1:4">
      <c r="A303">
        <v>20181006</v>
      </c>
      <c r="B303" t="s">
        <v>131</v>
      </c>
      <c r="C303" t="s">
        <v>101</v>
      </c>
    </row>
    <row r="304" spans="1:4">
      <c r="A304">
        <v>20181007</v>
      </c>
      <c r="B304" t="s">
        <v>131</v>
      </c>
      <c r="C304" t="s">
        <v>101</v>
      </c>
    </row>
    <row r="305" spans="1:4">
      <c r="A305">
        <v>20181008</v>
      </c>
      <c r="B305" t="s">
        <v>131</v>
      </c>
      <c r="C305" t="s">
        <v>101</v>
      </c>
    </row>
    <row r="306" spans="1:4">
      <c r="A306">
        <v>20181013</v>
      </c>
      <c r="B306" t="s">
        <v>135</v>
      </c>
      <c r="C306" t="s">
        <v>131</v>
      </c>
      <c r="D306" t="s">
        <v>101</v>
      </c>
    </row>
    <row r="307" spans="1:4">
      <c r="A307">
        <v>20181014</v>
      </c>
      <c r="B307" t="s">
        <v>135</v>
      </c>
      <c r="C307" t="s">
        <v>131</v>
      </c>
      <c r="D307" t="s">
        <v>101</v>
      </c>
    </row>
    <row r="308" spans="1:4">
      <c r="A308">
        <v>20181020</v>
      </c>
      <c r="B308" t="s">
        <v>135</v>
      </c>
      <c r="C308" t="s">
        <v>131</v>
      </c>
      <c r="D308" t="s">
        <v>101</v>
      </c>
    </row>
    <row r="309" spans="1:4">
      <c r="A309">
        <v>20181021</v>
      </c>
      <c r="B309" t="s">
        <v>135</v>
      </c>
      <c r="C309" t="s">
        <v>131</v>
      </c>
      <c r="D309" t="s">
        <v>101</v>
      </c>
    </row>
    <row r="310" spans="1:4">
      <c r="A310">
        <v>20181027</v>
      </c>
      <c r="B310" t="s">
        <v>135</v>
      </c>
      <c r="C310" t="s">
        <v>131</v>
      </c>
      <c r="D310" t="s">
        <v>101</v>
      </c>
    </row>
    <row r="311" spans="1:4">
      <c r="A311">
        <v>20181028</v>
      </c>
      <c r="B311" t="s">
        <v>135</v>
      </c>
      <c r="C311" t="s">
        <v>131</v>
      </c>
      <c r="D311" t="s">
        <v>101</v>
      </c>
    </row>
    <row r="312" spans="1:4">
      <c r="A312">
        <v>20181103</v>
      </c>
      <c r="B312" t="s">
        <v>134</v>
      </c>
      <c r="C312" t="s">
        <v>131</v>
      </c>
      <c r="D312" t="s">
        <v>101</v>
      </c>
    </row>
    <row r="313" spans="1:4">
      <c r="A313">
        <v>20181104</v>
      </c>
      <c r="B313" t="s">
        <v>134</v>
      </c>
      <c r="C313" t="s">
        <v>131</v>
      </c>
      <c r="D313" t="s">
        <v>101</v>
      </c>
    </row>
    <row r="314" spans="1:4">
      <c r="A314">
        <v>20181110</v>
      </c>
      <c r="B314" t="s">
        <v>134</v>
      </c>
      <c r="C314" t="s">
        <v>131</v>
      </c>
      <c r="D314" t="s">
        <v>101</v>
      </c>
    </row>
    <row r="315" spans="1:4">
      <c r="A315">
        <v>20181111</v>
      </c>
      <c r="B315" t="s">
        <v>134</v>
      </c>
      <c r="C315" t="s">
        <v>131</v>
      </c>
      <c r="D315" t="s">
        <v>101</v>
      </c>
    </row>
    <row r="316" spans="1:4">
      <c r="A316">
        <v>20181117</v>
      </c>
      <c r="B316" t="s">
        <v>134</v>
      </c>
      <c r="C316" t="s">
        <v>131</v>
      </c>
      <c r="D316" t="s">
        <v>101</v>
      </c>
    </row>
    <row r="317" spans="1:4">
      <c r="A317">
        <v>20181118</v>
      </c>
      <c r="B317" t="s">
        <v>134</v>
      </c>
      <c r="C317" t="s">
        <v>131</v>
      </c>
      <c r="D317" t="s">
        <v>101</v>
      </c>
    </row>
    <row r="318" spans="1:4">
      <c r="A318">
        <v>20181124</v>
      </c>
      <c r="B318" t="s">
        <v>131</v>
      </c>
      <c r="C318" t="s">
        <v>101</v>
      </c>
    </row>
    <row r="319" spans="1:4">
      <c r="A319">
        <v>20181125</v>
      </c>
      <c r="B319" t="s">
        <v>131</v>
      </c>
      <c r="C319" t="s">
        <v>101</v>
      </c>
    </row>
    <row r="320" spans="1:4">
      <c r="A320">
        <v>20181201</v>
      </c>
      <c r="B320" t="s">
        <v>129</v>
      </c>
      <c r="C320" t="s">
        <v>130</v>
      </c>
      <c r="D320" t="s">
        <v>133</v>
      </c>
    </row>
    <row r="321" spans="1:4">
      <c r="A321">
        <v>20181202</v>
      </c>
      <c r="B321" t="s">
        <v>129</v>
      </c>
      <c r="C321" t="s">
        <v>130</v>
      </c>
      <c r="D321" t="s">
        <v>133</v>
      </c>
    </row>
    <row r="322" spans="1:4">
      <c r="A322">
        <v>20181208</v>
      </c>
      <c r="B322" t="s">
        <v>129</v>
      </c>
      <c r="C322" t="s">
        <v>130</v>
      </c>
      <c r="D322" t="s">
        <v>133</v>
      </c>
    </row>
    <row r="323" spans="1:4">
      <c r="A323">
        <v>20181209</v>
      </c>
      <c r="B323" t="s">
        <v>129</v>
      </c>
      <c r="C323" t="s">
        <v>130</v>
      </c>
      <c r="D323" t="s">
        <v>133</v>
      </c>
    </row>
    <row r="324" spans="1:4">
      <c r="A324">
        <v>20181215</v>
      </c>
      <c r="B324" t="s">
        <v>129</v>
      </c>
      <c r="C324" t="s">
        <v>130</v>
      </c>
      <c r="D324" t="s">
        <v>133</v>
      </c>
    </row>
    <row r="325" spans="1:4">
      <c r="A325">
        <v>20181216</v>
      </c>
      <c r="B325" t="s">
        <v>129</v>
      </c>
      <c r="C325" t="s">
        <v>130</v>
      </c>
      <c r="D325" t="s">
        <v>133</v>
      </c>
    </row>
    <row r="326" spans="1:4">
      <c r="A326">
        <v>20181222</v>
      </c>
      <c r="B326" t="s">
        <v>129</v>
      </c>
      <c r="C326" t="s">
        <v>133</v>
      </c>
    </row>
    <row r="327" spans="1:4">
      <c r="A327">
        <v>20181223</v>
      </c>
      <c r="B327" t="s">
        <v>129</v>
      </c>
      <c r="C327" t="s">
        <v>133</v>
      </c>
    </row>
    <row r="328" spans="1:4">
      <c r="A328">
        <v>20181228</v>
      </c>
      <c r="B328" t="s">
        <v>129</v>
      </c>
      <c r="C328" t="s">
        <v>133</v>
      </c>
    </row>
    <row r="329" spans="1:4">
      <c r="A329">
        <v>20190105</v>
      </c>
      <c r="B329" t="s">
        <v>129</v>
      </c>
      <c r="C329" t="s">
        <v>101</v>
      </c>
    </row>
    <row r="330" spans="1:4">
      <c r="A330">
        <v>20190106</v>
      </c>
      <c r="B330" t="s">
        <v>129</v>
      </c>
      <c r="C330" t="s">
        <v>101</v>
      </c>
    </row>
    <row r="331" spans="1:4">
      <c r="A331">
        <v>20190112</v>
      </c>
      <c r="B331" t="s">
        <v>129</v>
      </c>
      <c r="C331" t="s">
        <v>101</v>
      </c>
    </row>
    <row r="332" spans="1:4">
      <c r="A332">
        <v>20190113</v>
      </c>
      <c r="B332" t="s">
        <v>129</v>
      </c>
      <c r="C332" t="s">
        <v>101</v>
      </c>
    </row>
    <row r="333" spans="1:4">
      <c r="A333">
        <v>20190114</v>
      </c>
      <c r="B333" t="s">
        <v>129</v>
      </c>
      <c r="C333" t="s">
        <v>101</v>
      </c>
    </row>
    <row r="334" spans="1:4">
      <c r="A334">
        <v>20190119</v>
      </c>
      <c r="B334" t="s">
        <v>129</v>
      </c>
      <c r="C334" t="s">
        <v>130</v>
      </c>
      <c r="D334" t="s">
        <v>101</v>
      </c>
    </row>
    <row r="335" spans="1:4">
      <c r="A335">
        <v>20190120</v>
      </c>
      <c r="B335" t="s">
        <v>129</v>
      </c>
      <c r="C335" t="s">
        <v>130</v>
      </c>
      <c r="D335" t="s">
        <v>101</v>
      </c>
    </row>
    <row r="336" spans="1:4">
      <c r="A336">
        <v>20190126</v>
      </c>
      <c r="B336" t="s">
        <v>131</v>
      </c>
      <c r="C336" t="s">
        <v>130</v>
      </c>
      <c r="D336" t="s">
        <v>101</v>
      </c>
    </row>
    <row r="337" spans="1:4">
      <c r="A337">
        <v>20190127</v>
      </c>
      <c r="B337" t="s">
        <v>131</v>
      </c>
      <c r="C337" t="s">
        <v>130</v>
      </c>
      <c r="D337" t="s">
        <v>101</v>
      </c>
    </row>
    <row r="338" spans="1:4">
      <c r="A338">
        <v>20190202</v>
      </c>
      <c r="B338" t="s">
        <v>131</v>
      </c>
      <c r="C338" t="s">
        <v>130</v>
      </c>
      <c r="D338" t="s">
        <v>101</v>
      </c>
    </row>
    <row r="339" spans="1:4">
      <c r="A339">
        <v>20190203</v>
      </c>
      <c r="B339" t="s">
        <v>131</v>
      </c>
      <c r="C339" t="s">
        <v>130</v>
      </c>
      <c r="D339" t="s">
        <v>101</v>
      </c>
    </row>
    <row r="340" spans="1:4">
      <c r="A340">
        <v>20190209</v>
      </c>
      <c r="B340" t="s">
        <v>131</v>
      </c>
      <c r="C340" t="s">
        <v>101</v>
      </c>
      <c r="D340" t="s">
        <v>132</v>
      </c>
    </row>
    <row r="341" spans="1:4">
      <c r="A341">
        <v>20190210</v>
      </c>
      <c r="B341" t="s">
        <v>131</v>
      </c>
      <c r="C341" t="s">
        <v>101</v>
      </c>
      <c r="D341" t="s">
        <v>132</v>
      </c>
    </row>
    <row r="342" spans="1:4">
      <c r="A342">
        <v>20190211</v>
      </c>
      <c r="B342" t="s">
        <v>131</v>
      </c>
    </row>
    <row r="343" spans="1:4">
      <c r="A343">
        <v>20190216</v>
      </c>
      <c r="B343" t="s">
        <v>131</v>
      </c>
      <c r="C343" t="s">
        <v>101</v>
      </c>
      <c r="D343" t="s">
        <v>132</v>
      </c>
    </row>
    <row r="344" spans="1:4">
      <c r="A344">
        <v>20190217</v>
      </c>
      <c r="B344" t="s">
        <v>131</v>
      </c>
      <c r="C344" t="s">
        <v>101</v>
      </c>
      <c r="D344" t="s">
        <v>132</v>
      </c>
    </row>
    <row r="345" spans="1:4">
      <c r="A345">
        <v>20190223</v>
      </c>
      <c r="B345" t="s">
        <v>129</v>
      </c>
      <c r="C345" t="s">
        <v>133</v>
      </c>
      <c r="D345" t="s">
        <v>132</v>
      </c>
    </row>
    <row r="346" spans="1:4">
      <c r="A346">
        <v>20190224</v>
      </c>
      <c r="B346" t="s">
        <v>129</v>
      </c>
      <c r="C346" t="s">
        <v>133</v>
      </c>
      <c r="D346" t="s">
        <v>132</v>
      </c>
    </row>
    <row r="347" spans="1:4">
      <c r="A347">
        <v>20190302</v>
      </c>
      <c r="B347" t="s">
        <v>129</v>
      </c>
      <c r="C347" t="s">
        <v>133</v>
      </c>
      <c r="D347" t="s">
        <v>132</v>
      </c>
    </row>
    <row r="348" spans="1:4">
      <c r="A348">
        <v>20190303</v>
      </c>
      <c r="B348" t="s">
        <v>129</v>
      </c>
      <c r="C348" t="s">
        <v>133</v>
      </c>
      <c r="D348" t="s">
        <v>132</v>
      </c>
    </row>
    <row r="349" spans="1:4">
      <c r="A349">
        <v>20190309</v>
      </c>
      <c r="B349" t="s">
        <v>129</v>
      </c>
      <c r="C349" t="s">
        <v>130</v>
      </c>
      <c r="D349" t="s">
        <v>133</v>
      </c>
    </row>
    <row r="350" spans="1:4">
      <c r="A350">
        <v>20190310</v>
      </c>
      <c r="B350" t="s">
        <v>129</v>
      </c>
      <c r="C350" t="s">
        <v>130</v>
      </c>
      <c r="D350" t="s">
        <v>133</v>
      </c>
    </row>
    <row r="351" spans="1:4">
      <c r="A351">
        <v>20190316</v>
      </c>
      <c r="B351" t="s">
        <v>129</v>
      </c>
      <c r="C351" t="s">
        <v>130</v>
      </c>
      <c r="D351" t="s">
        <v>133</v>
      </c>
    </row>
    <row r="352" spans="1:4">
      <c r="A352">
        <v>20190317</v>
      </c>
      <c r="B352" t="s">
        <v>129</v>
      </c>
      <c r="C352" t="s">
        <v>130</v>
      </c>
      <c r="D352" t="s">
        <v>133</v>
      </c>
    </row>
    <row r="353" spans="1:4">
      <c r="A353">
        <v>20190323</v>
      </c>
      <c r="B353" t="s">
        <v>129</v>
      </c>
      <c r="C353" t="s">
        <v>130</v>
      </c>
      <c r="D353" t="s">
        <v>133</v>
      </c>
    </row>
    <row r="354" spans="1:4">
      <c r="A354">
        <v>20190324</v>
      </c>
      <c r="B354" t="s">
        <v>129</v>
      </c>
      <c r="C354" t="s">
        <v>130</v>
      </c>
      <c r="D354" t="s">
        <v>133</v>
      </c>
    </row>
    <row r="355" spans="1:4">
      <c r="A355">
        <v>20190330</v>
      </c>
      <c r="B355" t="s">
        <v>129</v>
      </c>
      <c r="C355" t="s">
        <v>133</v>
      </c>
    </row>
    <row r="356" spans="1:4">
      <c r="A356">
        <v>20190331</v>
      </c>
      <c r="B356" t="s">
        <v>129</v>
      </c>
      <c r="C356" t="s">
        <v>133</v>
      </c>
    </row>
    <row r="357" spans="1:4">
      <c r="A357">
        <v>20190406</v>
      </c>
      <c r="B357" t="s">
        <v>134</v>
      </c>
      <c r="C357" t="s">
        <v>129</v>
      </c>
      <c r="D357" t="s">
        <v>133</v>
      </c>
    </row>
    <row r="358" spans="1:4">
      <c r="A358">
        <v>20190407</v>
      </c>
      <c r="B358" t="s">
        <v>134</v>
      </c>
      <c r="C358" t="s">
        <v>129</v>
      </c>
      <c r="D358" t="s">
        <v>133</v>
      </c>
    </row>
    <row r="359" spans="1:4">
      <c r="A359">
        <v>20190413</v>
      </c>
      <c r="B359" t="s">
        <v>134</v>
      </c>
      <c r="C359" t="s">
        <v>129</v>
      </c>
      <c r="D359" t="s">
        <v>133</v>
      </c>
    </row>
    <row r="360" spans="1:4">
      <c r="A360">
        <v>20190414</v>
      </c>
      <c r="B360" t="s">
        <v>134</v>
      </c>
      <c r="C360" t="s">
        <v>129</v>
      </c>
      <c r="D360" t="s">
        <v>133</v>
      </c>
    </row>
    <row r="361" spans="1:4">
      <c r="A361">
        <v>20190420</v>
      </c>
      <c r="B361" t="s">
        <v>134</v>
      </c>
      <c r="C361" t="s">
        <v>131</v>
      </c>
      <c r="D361" t="s">
        <v>101</v>
      </c>
    </row>
    <row r="362" spans="1:4">
      <c r="A362">
        <v>20190421</v>
      </c>
      <c r="B362" t="s">
        <v>134</v>
      </c>
      <c r="C362" t="s">
        <v>131</v>
      </c>
      <c r="D362" t="s">
        <v>101</v>
      </c>
    </row>
    <row r="363" spans="1:4">
      <c r="A363">
        <v>20190427</v>
      </c>
      <c r="B363" t="s">
        <v>135</v>
      </c>
      <c r="C363" t="s">
        <v>131</v>
      </c>
    </row>
    <row r="364" spans="1:4">
      <c r="A364">
        <v>20190428</v>
      </c>
      <c r="B364" t="s">
        <v>131</v>
      </c>
      <c r="C364" t="s">
        <v>101</v>
      </c>
    </row>
    <row r="365" spans="1:4">
      <c r="A365">
        <v>20190429</v>
      </c>
      <c r="B365" t="s">
        <v>135</v>
      </c>
      <c r="C365" t="s">
        <v>101</v>
      </c>
    </row>
    <row r="366" spans="1:4">
      <c r="A366">
        <v>20190504</v>
      </c>
      <c r="B366" t="s">
        <v>135</v>
      </c>
      <c r="C366" t="s">
        <v>131</v>
      </c>
      <c r="D366" t="s">
        <v>101</v>
      </c>
    </row>
    <row r="367" spans="1:4">
      <c r="A367">
        <v>20190505</v>
      </c>
      <c r="B367" t="s">
        <v>135</v>
      </c>
      <c r="C367" t="s">
        <v>131</v>
      </c>
      <c r="D367" t="s">
        <v>101</v>
      </c>
    </row>
    <row r="368" spans="1:4">
      <c r="A368">
        <v>20190511</v>
      </c>
      <c r="B368" t="s">
        <v>135</v>
      </c>
      <c r="C368" t="s">
        <v>131</v>
      </c>
      <c r="D368" t="s">
        <v>101</v>
      </c>
    </row>
    <row r="369" spans="1:4">
      <c r="A369">
        <v>20190512</v>
      </c>
      <c r="B369" t="s">
        <v>135</v>
      </c>
      <c r="C369" t="s">
        <v>131</v>
      </c>
      <c r="D369" t="s">
        <v>101</v>
      </c>
    </row>
    <row r="370" spans="1:4">
      <c r="A370">
        <v>20190518</v>
      </c>
      <c r="B370" t="s">
        <v>135</v>
      </c>
      <c r="C370" t="s">
        <v>131</v>
      </c>
      <c r="D370" t="s">
        <v>101</v>
      </c>
    </row>
    <row r="371" spans="1:4">
      <c r="A371">
        <v>20190519</v>
      </c>
      <c r="B371" t="s">
        <v>135</v>
      </c>
      <c r="C371" t="s">
        <v>131</v>
      </c>
      <c r="D371" t="s">
        <v>101</v>
      </c>
    </row>
    <row r="372" spans="1:4">
      <c r="A372">
        <v>20190525</v>
      </c>
      <c r="B372" t="s">
        <v>131</v>
      </c>
      <c r="C372" t="s">
        <v>101</v>
      </c>
    </row>
    <row r="373" spans="1:4">
      <c r="A373">
        <v>20190526</v>
      </c>
      <c r="B373" t="s">
        <v>131</v>
      </c>
      <c r="C373" t="s">
        <v>101</v>
      </c>
    </row>
    <row r="374" spans="1:4">
      <c r="A374">
        <v>20190601</v>
      </c>
      <c r="B374" t="s">
        <v>131</v>
      </c>
      <c r="C374" t="s">
        <v>133</v>
      </c>
    </row>
    <row r="375" spans="1:4">
      <c r="A375">
        <v>20190602</v>
      </c>
      <c r="B375" t="s">
        <v>131</v>
      </c>
      <c r="C375" t="s">
        <v>133</v>
      </c>
    </row>
    <row r="376" spans="1:4">
      <c r="A376">
        <v>20190608</v>
      </c>
      <c r="B376" t="s">
        <v>131</v>
      </c>
      <c r="C376" t="s">
        <v>133</v>
      </c>
    </row>
    <row r="377" spans="1:4">
      <c r="A377">
        <v>20190609</v>
      </c>
      <c r="B377" t="s">
        <v>131</v>
      </c>
      <c r="C377" t="s">
        <v>133</v>
      </c>
    </row>
    <row r="378" spans="1:4">
      <c r="A378">
        <v>20190615</v>
      </c>
      <c r="B378" t="s">
        <v>136</v>
      </c>
      <c r="C378" t="s">
        <v>131</v>
      </c>
      <c r="D378" t="s">
        <v>133</v>
      </c>
    </row>
    <row r="379" spans="1:4">
      <c r="A379">
        <v>20190616</v>
      </c>
      <c r="B379" t="s">
        <v>136</v>
      </c>
      <c r="C379" t="s">
        <v>131</v>
      </c>
      <c r="D379" t="s">
        <v>133</v>
      </c>
    </row>
    <row r="380" spans="1:4">
      <c r="A380">
        <v>20190622</v>
      </c>
      <c r="B380" t="s">
        <v>136</v>
      </c>
      <c r="C380" t="s">
        <v>131</v>
      </c>
      <c r="D380" t="s">
        <v>133</v>
      </c>
    </row>
    <row r="381" spans="1:4">
      <c r="A381">
        <v>20190623</v>
      </c>
      <c r="B381" t="s">
        <v>136</v>
      </c>
      <c r="C381" t="s">
        <v>131</v>
      </c>
      <c r="D381" t="s">
        <v>133</v>
      </c>
    </row>
    <row r="382" spans="1:4">
      <c r="A382">
        <v>20190629</v>
      </c>
      <c r="B382" t="s">
        <v>136</v>
      </c>
      <c r="C382" t="s">
        <v>134</v>
      </c>
      <c r="D382" t="s">
        <v>130</v>
      </c>
    </row>
    <row r="383" spans="1:4">
      <c r="A383">
        <v>20190630</v>
      </c>
      <c r="B383" t="s">
        <v>136</v>
      </c>
      <c r="C383" t="s">
        <v>134</v>
      </c>
      <c r="D383" t="s">
        <v>130</v>
      </c>
    </row>
    <row r="384" spans="1:4">
      <c r="A384">
        <v>20190706</v>
      </c>
      <c r="B384" t="s">
        <v>136</v>
      </c>
      <c r="C384" t="s">
        <v>134</v>
      </c>
      <c r="D384" t="s">
        <v>130</v>
      </c>
    </row>
    <row r="385" spans="1:4">
      <c r="A385">
        <v>20190707</v>
      </c>
      <c r="B385" t="s">
        <v>136</v>
      </c>
      <c r="C385" t="s">
        <v>134</v>
      </c>
      <c r="D385" t="s">
        <v>130</v>
      </c>
    </row>
    <row r="386" spans="1:4">
      <c r="A386">
        <v>20190713</v>
      </c>
      <c r="B386" t="s">
        <v>136</v>
      </c>
      <c r="C386" t="s">
        <v>134</v>
      </c>
      <c r="D386" t="s">
        <v>130</v>
      </c>
    </row>
    <row r="387" spans="1:4">
      <c r="A387">
        <v>20190714</v>
      </c>
      <c r="B387" t="s">
        <v>136</v>
      </c>
      <c r="C387" t="s">
        <v>134</v>
      </c>
      <c r="D387" t="s">
        <v>130</v>
      </c>
    </row>
    <row r="388" spans="1:4">
      <c r="A388">
        <v>20190720</v>
      </c>
      <c r="B388" t="s">
        <v>136</v>
      </c>
      <c r="C388" t="s">
        <v>134</v>
      </c>
      <c r="D388" t="s">
        <v>130</v>
      </c>
    </row>
    <row r="389" spans="1:4">
      <c r="A389">
        <v>20190721</v>
      </c>
      <c r="B389" t="s">
        <v>136</v>
      </c>
      <c r="C389" t="s">
        <v>134</v>
      </c>
      <c r="D389" t="s">
        <v>130</v>
      </c>
    </row>
    <row r="390" spans="1:4">
      <c r="A390">
        <v>20190727</v>
      </c>
      <c r="B390" t="s">
        <v>137</v>
      </c>
      <c r="C390" t="s">
        <v>135</v>
      </c>
      <c r="D390" t="s">
        <v>132</v>
      </c>
    </row>
    <row r="391" spans="1:4">
      <c r="A391">
        <v>20190728</v>
      </c>
      <c r="B391" t="s">
        <v>137</v>
      </c>
      <c r="C391" t="s">
        <v>135</v>
      </c>
      <c r="D391" t="s">
        <v>132</v>
      </c>
    </row>
    <row r="392" spans="1:4">
      <c r="A392">
        <v>20190803</v>
      </c>
      <c r="B392" t="s">
        <v>137</v>
      </c>
      <c r="C392" t="s">
        <v>135</v>
      </c>
      <c r="D392" t="s">
        <v>132</v>
      </c>
    </row>
    <row r="393" spans="1:4">
      <c r="A393">
        <v>20190804</v>
      </c>
      <c r="B393" t="s">
        <v>137</v>
      </c>
      <c r="C393" t="s">
        <v>135</v>
      </c>
      <c r="D393" t="s">
        <v>132</v>
      </c>
    </row>
    <row r="394" spans="1:4">
      <c r="A394">
        <v>20190810</v>
      </c>
      <c r="B394" t="s">
        <v>137</v>
      </c>
      <c r="C394" t="s">
        <v>135</v>
      </c>
      <c r="D394" t="s">
        <v>132</v>
      </c>
    </row>
    <row r="395" spans="1:4">
      <c r="A395">
        <v>20190811</v>
      </c>
      <c r="B395" t="s">
        <v>137</v>
      </c>
      <c r="C395" t="s">
        <v>135</v>
      </c>
      <c r="D395" t="s">
        <v>132</v>
      </c>
    </row>
    <row r="396" spans="1:4">
      <c r="A396">
        <v>20190817</v>
      </c>
      <c r="B396" t="s">
        <v>137</v>
      </c>
      <c r="C396" t="s">
        <v>135</v>
      </c>
      <c r="D396" t="s">
        <v>132</v>
      </c>
    </row>
    <row r="397" spans="1:4">
      <c r="A397">
        <v>20190818</v>
      </c>
      <c r="B397" t="s">
        <v>137</v>
      </c>
      <c r="C397" t="s">
        <v>135</v>
      </c>
      <c r="D397" t="s">
        <v>132</v>
      </c>
    </row>
    <row r="398" spans="1:4">
      <c r="A398">
        <v>20190824</v>
      </c>
      <c r="B398" t="s">
        <v>137</v>
      </c>
      <c r="C398" t="s">
        <v>135</v>
      </c>
      <c r="D398" t="s">
        <v>132</v>
      </c>
    </row>
    <row r="399" spans="1:4">
      <c r="A399">
        <v>20190825</v>
      </c>
      <c r="B399" t="s">
        <v>137</v>
      </c>
      <c r="C399" t="s">
        <v>135</v>
      </c>
      <c r="D399" t="s">
        <v>132</v>
      </c>
    </row>
    <row r="400" spans="1:4">
      <c r="A400">
        <v>20190831</v>
      </c>
      <c r="B400" t="s">
        <v>137</v>
      </c>
      <c r="C400" t="s">
        <v>135</v>
      </c>
      <c r="D400" t="s">
        <v>132</v>
      </c>
    </row>
    <row r="401" spans="1:4">
      <c r="A401">
        <v>20190901</v>
      </c>
      <c r="B401" t="s">
        <v>137</v>
      </c>
      <c r="C401" t="s">
        <v>135</v>
      </c>
      <c r="D401" t="s">
        <v>132</v>
      </c>
    </row>
    <row r="402" spans="1:4">
      <c r="A402">
        <v>20190907</v>
      </c>
      <c r="B402" t="s">
        <v>129</v>
      </c>
      <c r="C402" t="s">
        <v>133</v>
      </c>
    </row>
    <row r="403" spans="1:4">
      <c r="A403">
        <v>20190908</v>
      </c>
      <c r="B403" t="s">
        <v>129</v>
      </c>
      <c r="C403" t="s">
        <v>133</v>
      </c>
    </row>
    <row r="404" spans="1:4">
      <c r="A404">
        <v>20190914</v>
      </c>
      <c r="B404" t="s">
        <v>129</v>
      </c>
      <c r="C404" t="s">
        <v>133</v>
      </c>
    </row>
    <row r="405" spans="1:4">
      <c r="A405">
        <v>20190915</v>
      </c>
      <c r="B405" t="s">
        <v>129</v>
      </c>
      <c r="C405" t="s">
        <v>133</v>
      </c>
    </row>
    <row r="406" spans="1:4">
      <c r="A406">
        <v>20190916</v>
      </c>
      <c r="B406" t="s">
        <v>129</v>
      </c>
      <c r="C406" t="s">
        <v>133</v>
      </c>
    </row>
    <row r="407" spans="1:4">
      <c r="A407">
        <v>20190921</v>
      </c>
      <c r="B407" t="s">
        <v>129</v>
      </c>
      <c r="C407" t="s">
        <v>133</v>
      </c>
    </row>
    <row r="408" spans="1:4">
      <c r="A408">
        <v>20190922</v>
      </c>
      <c r="B408" t="s">
        <v>129</v>
      </c>
      <c r="C408" t="s">
        <v>133</v>
      </c>
    </row>
    <row r="409" spans="1:4">
      <c r="A409">
        <v>20190928</v>
      </c>
      <c r="B409" t="s">
        <v>129</v>
      </c>
      <c r="C409" t="s">
        <v>133</v>
      </c>
    </row>
    <row r="410" spans="1:4">
      <c r="A410">
        <v>20190929</v>
      </c>
      <c r="B410" t="s">
        <v>129</v>
      </c>
      <c r="C410" t="s">
        <v>133</v>
      </c>
    </row>
    <row r="411" spans="1:4">
      <c r="A411">
        <v>20191005</v>
      </c>
      <c r="B411" t="s">
        <v>135</v>
      </c>
      <c r="C411" t="s">
        <v>131</v>
      </c>
      <c r="D411" t="s">
        <v>101</v>
      </c>
    </row>
    <row r="412" spans="1:4">
      <c r="A412">
        <v>20191006</v>
      </c>
      <c r="B412" t="s">
        <v>135</v>
      </c>
      <c r="C412" t="s">
        <v>131</v>
      </c>
      <c r="D412" t="s">
        <v>101</v>
      </c>
    </row>
    <row r="413" spans="1:4">
      <c r="A413">
        <v>20191012</v>
      </c>
      <c r="B413" t="s">
        <v>131</v>
      </c>
      <c r="C413" t="s">
        <v>101</v>
      </c>
    </row>
    <row r="414" spans="1:4">
      <c r="A414">
        <v>20191013</v>
      </c>
      <c r="B414" t="s">
        <v>131</v>
      </c>
      <c r="C414" t="s">
        <v>101</v>
      </c>
    </row>
    <row r="415" spans="1:4">
      <c r="A415">
        <v>20191014</v>
      </c>
      <c r="B415" t="s">
        <v>131</v>
      </c>
      <c r="C415" t="s">
        <v>101</v>
      </c>
    </row>
    <row r="416" spans="1:4">
      <c r="A416">
        <v>20191015</v>
      </c>
      <c r="B416" t="s">
        <v>131</v>
      </c>
    </row>
    <row r="417" spans="1:4">
      <c r="A417">
        <v>20191019</v>
      </c>
      <c r="B417" t="s">
        <v>135</v>
      </c>
      <c r="C417" t="s">
        <v>131</v>
      </c>
      <c r="D417" t="s">
        <v>101</v>
      </c>
    </row>
    <row r="418" spans="1:4">
      <c r="A418">
        <v>20191020</v>
      </c>
      <c r="B418" t="s">
        <v>135</v>
      </c>
      <c r="C418" t="s">
        <v>131</v>
      </c>
      <c r="D418" t="s">
        <v>101</v>
      </c>
    </row>
    <row r="419" spans="1:4">
      <c r="A419">
        <v>20191021</v>
      </c>
      <c r="B419" t="s">
        <v>131</v>
      </c>
    </row>
    <row r="420" spans="1:4">
      <c r="A420">
        <v>20191026</v>
      </c>
      <c r="B420" t="s">
        <v>135</v>
      </c>
      <c r="C420" t="s">
        <v>131</v>
      </c>
      <c r="D420" t="s">
        <v>101</v>
      </c>
    </row>
    <row r="421" spans="1:4">
      <c r="A421">
        <v>20191027</v>
      </c>
      <c r="B421" t="s">
        <v>135</v>
      </c>
      <c r="C421" t="s">
        <v>131</v>
      </c>
      <c r="D421" t="s">
        <v>101</v>
      </c>
    </row>
    <row r="422" spans="1:4">
      <c r="A422">
        <v>20191102</v>
      </c>
      <c r="B422" t="s">
        <v>134</v>
      </c>
      <c r="C422" t="s">
        <v>131</v>
      </c>
      <c r="D422" t="s">
        <v>101</v>
      </c>
    </row>
    <row r="423" spans="1:4">
      <c r="A423">
        <v>20191103</v>
      </c>
      <c r="B423" t="s">
        <v>134</v>
      </c>
      <c r="C423" t="s">
        <v>131</v>
      </c>
      <c r="D423" t="s">
        <v>101</v>
      </c>
    </row>
    <row r="424" spans="1:4">
      <c r="A424">
        <v>20191109</v>
      </c>
      <c r="B424" t="s">
        <v>134</v>
      </c>
      <c r="C424" t="s">
        <v>131</v>
      </c>
      <c r="D424" t="s">
        <v>101</v>
      </c>
    </row>
    <row r="425" spans="1:4">
      <c r="A425">
        <v>20191110</v>
      </c>
      <c r="B425" t="s">
        <v>134</v>
      </c>
      <c r="C425" t="s">
        <v>131</v>
      </c>
      <c r="D425" t="s">
        <v>101</v>
      </c>
    </row>
    <row r="426" spans="1:4">
      <c r="A426">
        <v>20191116</v>
      </c>
      <c r="B426" t="s">
        <v>134</v>
      </c>
      <c r="C426" t="s">
        <v>131</v>
      </c>
      <c r="D426" t="s">
        <v>101</v>
      </c>
    </row>
    <row r="427" spans="1:4">
      <c r="A427">
        <v>20191117</v>
      </c>
      <c r="B427" t="s">
        <v>134</v>
      </c>
      <c r="C427" t="s">
        <v>131</v>
      </c>
      <c r="D427" t="s">
        <v>101</v>
      </c>
    </row>
    <row r="428" spans="1:4">
      <c r="A428">
        <v>20191123</v>
      </c>
      <c r="B428" t="s">
        <v>131</v>
      </c>
      <c r="C428" t="s">
        <v>101</v>
      </c>
    </row>
    <row r="429" spans="1:4">
      <c r="A429">
        <v>20191124</v>
      </c>
      <c r="B429" t="s">
        <v>131</v>
      </c>
      <c r="C429" t="s">
        <v>101</v>
      </c>
    </row>
    <row r="430" spans="1:4">
      <c r="A430">
        <v>20191130</v>
      </c>
      <c r="B430" t="s">
        <v>129</v>
      </c>
      <c r="C430" t="s">
        <v>130</v>
      </c>
      <c r="D430" t="s">
        <v>133</v>
      </c>
    </row>
    <row r="431" spans="1:4">
      <c r="A431">
        <v>20191201</v>
      </c>
      <c r="B431" t="s">
        <v>129</v>
      </c>
      <c r="C431" t="s">
        <v>130</v>
      </c>
      <c r="D431" t="s">
        <v>133</v>
      </c>
    </row>
    <row r="432" spans="1:4">
      <c r="A432">
        <v>20191207</v>
      </c>
      <c r="B432" t="s">
        <v>129</v>
      </c>
      <c r="C432" t="s">
        <v>130</v>
      </c>
      <c r="D432" t="s">
        <v>133</v>
      </c>
    </row>
    <row r="433" spans="1:4">
      <c r="A433">
        <v>20191208</v>
      </c>
      <c r="B433" t="s">
        <v>129</v>
      </c>
      <c r="C433" t="s">
        <v>130</v>
      </c>
      <c r="D433" t="s">
        <v>133</v>
      </c>
    </row>
    <row r="434" spans="1:4">
      <c r="A434">
        <v>20191214</v>
      </c>
      <c r="B434" t="s">
        <v>129</v>
      </c>
      <c r="C434" t="s">
        <v>130</v>
      </c>
      <c r="D434" t="s">
        <v>133</v>
      </c>
    </row>
    <row r="435" spans="1:4">
      <c r="A435">
        <v>20191215</v>
      </c>
      <c r="B435" t="s">
        <v>129</v>
      </c>
      <c r="C435" t="s">
        <v>130</v>
      </c>
      <c r="D435" t="s">
        <v>133</v>
      </c>
    </row>
    <row r="436" spans="1:4">
      <c r="A436">
        <v>20191221</v>
      </c>
      <c r="B436" t="s">
        <v>129</v>
      </c>
      <c r="C436" t="s">
        <v>133</v>
      </c>
    </row>
    <row r="437" spans="1:4">
      <c r="A437">
        <v>20191222</v>
      </c>
      <c r="B437" t="s">
        <v>129</v>
      </c>
      <c r="C437" t="s">
        <v>133</v>
      </c>
    </row>
    <row r="438" spans="1:4">
      <c r="A438">
        <v>20191228</v>
      </c>
      <c r="B438" t="s">
        <v>129</v>
      </c>
      <c r="C438" t="s">
        <v>133</v>
      </c>
    </row>
    <row r="439" spans="1:4">
      <c r="A439">
        <v>20200105</v>
      </c>
      <c r="B439" t="s">
        <v>155</v>
      </c>
      <c r="C439" t="s">
        <v>156</v>
      </c>
    </row>
    <row r="440" spans="1:4">
      <c r="A440">
        <v>20200106</v>
      </c>
      <c r="B440" t="s">
        <v>155</v>
      </c>
      <c r="C440" t="s">
        <v>156</v>
      </c>
    </row>
    <row r="441" spans="1:4">
      <c r="A441">
        <v>20200111</v>
      </c>
      <c r="B441" t="s">
        <v>155</v>
      </c>
      <c r="C441" t="s">
        <v>156</v>
      </c>
    </row>
    <row r="442" spans="1:4">
      <c r="A442">
        <v>20200112</v>
      </c>
      <c r="B442" t="s">
        <v>155</v>
      </c>
      <c r="C442" t="s">
        <v>156</v>
      </c>
    </row>
    <row r="443" spans="1:4">
      <c r="A443">
        <v>20200113</v>
      </c>
      <c r="B443" t="s">
        <v>155</v>
      </c>
      <c r="C443" t="s">
        <v>156</v>
      </c>
    </row>
    <row r="444" spans="1:4">
      <c r="A444">
        <v>20200118</v>
      </c>
      <c r="B444" t="s">
        <v>155</v>
      </c>
      <c r="C444" t="s">
        <v>156</v>
      </c>
      <c r="D444" t="s">
        <v>157</v>
      </c>
    </row>
    <row r="445" spans="1:4">
      <c r="A445">
        <v>20200119</v>
      </c>
      <c r="B445" t="s">
        <v>155</v>
      </c>
      <c r="C445" t="s">
        <v>156</v>
      </c>
      <c r="D445" t="s">
        <v>157</v>
      </c>
    </row>
    <row r="446" spans="1:4">
      <c r="A446">
        <v>20200125</v>
      </c>
      <c r="B446" t="s">
        <v>155</v>
      </c>
      <c r="C446" t="s">
        <v>156</v>
      </c>
      <c r="D446" t="s">
        <v>157</v>
      </c>
    </row>
    <row r="447" spans="1:4">
      <c r="A447">
        <v>20200126</v>
      </c>
      <c r="B447" t="s">
        <v>155</v>
      </c>
      <c r="C447" t="s">
        <v>156</v>
      </c>
      <c r="D447" t="s">
        <v>157</v>
      </c>
    </row>
    <row r="448" spans="1:4">
      <c r="A448">
        <v>20200201</v>
      </c>
      <c r="B448" t="s">
        <v>158</v>
      </c>
      <c r="C448" t="s">
        <v>156</v>
      </c>
      <c r="D448" t="s">
        <v>157</v>
      </c>
    </row>
    <row r="449" spans="1:4">
      <c r="A449">
        <v>20200202</v>
      </c>
      <c r="B449" t="s">
        <v>158</v>
      </c>
      <c r="C449" t="s">
        <v>156</v>
      </c>
      <c r="D449" t="s">
        <v>157</v>
      </c>
    </row>
    <row r="450" spans="1:4">
      <c r="A450">
        <v>20200208</v>
      </c>
      <c r="B450" t="s">
        <v>158</v>
      </c>
      <c r="C450" t="s">
        <v>156</v>
      </c>
      <c r="D450" t="s">
        <v>157</v>
      </c>
    </row>
    <row r="451" spans="1:4">
      <c r="A451">
        <v>20200209</v>
      </c>
      <c r="B451" t="s">
        <v>158</v>
      </c>
      <c r="C451" t="s">
        <v>156</v>
      </c>
      <c r="D451" t="s">
        <v>157</v>
      </c>
    </row>
    <row r="452" spans="1:4">
      <c r="A452">
        <v>20200215</v>
      </c>
      <c r="B452" t="s">
        <v>158</v>
      </c>
      <c r="C452" t="s">
        <v>156</v>
      </c>
      <c r="D452" t="s">
        <v>157</v>
      </c>
    </row>
    <row r="453" spans="1:4">
      <c r="A453">
        <v>20200216</v>
      </c>
      <c r="B453" t="s">
        <v>158</v>
      </c>
      <c r="C453" t="s">
        <v>156</v>
      </c>
      <c r="D453" t="s">
        <v>157</v>
      </c>
    </row>
    <row r="454" spans="1:4">
      <c r="A454">
        <v>20200222</v>
      </c>
      <c r="B454" t="s">
        <v>158</v>
      </c>
      <c r="C454" t="s">
        <v>156</v>
      </c>
      <c r="D454" t="s">
        <v>157</v>
      </c>
    </row>
    <row r="455" spans="1:4">
      <c r="A455">
        <v>20200223</v>
      </c>
      <c r="B455" t="s">
        <v>158</v>
      </c>
      <c r="C455" t="s">
        <v>156</v>
      </c>
      <c r="D455" t="s">
        <v>157</v>
      </c>
    </row>
    <row r="456" spans="1:4">
      <c r="A456">
        <v>20200229</v>
      </c>
      <c r="B456" t="s">
        <v>155</v>
      </c>
      <c r="C456" t="s">
        <v>159</v>
      </c>
      <c r="D456" t="s">
        <v>160</v>
      </c>
    </row>
    <row r="457" spans="1:4">
      <c r="A457">
        <v>20200301</v>
      </c>
      <c r="B457" t="s">
        <v>155</v>
      </c>
      <c r="C457" t="s">
        <v>159</v>
      </c>
      <c r="D457" t="s">
        <v>160</v>
      </c>
    </row>
    <row r="458" spans="1:4">
      <c r="A458">
        <v>20200307</v>
      </c>
      <c r="B458" t="s">
        <v>155</v>
      </c>
      <c r="C458" t="s">
        <v>159</v>
      </c>
      <c r="D458" t="s">
        <v>160</v>
      </c>
    </row>
    <row r="459" spans="1:4">
      <c r="A459">
        <v>20200308</v>
      </c>
      <c r="B459" t="s">
        <v>155</v>
      </c>
      <c r="C459" t="s">
        <v>159</v>
      </c>
      <c r="D459" t="s">
        <v>160</v>
      </c>
    </row>
    <row r="460" spans="1:4">
      <c r="A460">
        <v>20200314</v>
      </c>
      <c r="B460" t="s">
        <v>155</v>
      </c>
      <c r="C460" t="s">
        <v>159</v>
      </c>
      <c r="D460" t="s">
        <v>160</v>
      </c>
    </row>
    <row r="461" spans="1:4">
      <c r="A461">
        <v>20200315</v>
      </c>
      <c r="B461" t="s">
        <v>155</v>
      </c>
      <c r="C461" t="s">
        <v>159</v>
      </c>
      <c r="D461" t="s">
        <v>160</v>
      </c>
    </row>
    <row r="462" spans="1:4">
      <c r="A462">
        <v>20200320</v>
      </c>
      <c r="B462" t="s">
        <v>155</v>
      </c>
      <c r="C462" t="s">
        <v>160</v>
      </c>
    </row>
    <row r="463" spans="1:4">
      <c r="A463">
        <v>20200321</v>
      </c>
      <c r="B463" t="s">
        <v>155</v>
      </c>
      <c r="C463" t="s">
        <v>160</v>
      </c>
    </row>
    <row r="464" spans="1:4">
      <c r="A464">
        <v>20200322</v>
      </c>
      <c r="B464" t="s">
        <v>155</v>
      </c>
      <c r="C464" t="s">
        <v>160</v>
      </c>
    </row>
    <row r="465" spans="1:4">
      <c r="A465">
        <v>20200328</v>
      </c>
      <c r="B465" t="s">
        <v>155</v>
      </c>
      <c r="C465" t="s">
        <v>159</v>
      </c>
      <c r="D465" t="s">
        <v>160</v>
      </c>
    </row>
    <row r="466" spans="1:4">
      <c r="A466">
        <v>20200329</v>
      </c>
      <c r="B466" t="s">
        <v>155</v>
      </c>
      <c r="C466" t="s">
        <v>159</v>
      </c>
      <c r="D466" t="s">
        <v>160</v>
      </c>
    </row>
    <row r="467" spans="1:4">
      <c r="A467">
        <v>20200331</v>
      </c>
      <c r="B467" t="s">
        <v>129</v>
      </c>
    </row>
    <row r="468" spans="1:4">
      <c r="A468">
        <v>20200404</v>
      </c>
      <c r="B468" t="s">
        <v>155</v>
      </c>
      <c r="C468" t="s">
        <v>160</v>
      </c>
    </row>
    <row r="469" spans="1:4">
      <c r="A469">
        <v>20200405</v>
      </c>
      <c r="B469" t="s">
        <v>155</v>
      </c>
      <c r="C469" t="s">
        <v>160</v>
      </c>
    </row>
    <row r="470" spans="1:4">
      <c r="A470">
        <v>20200411</v>
      </c>
      <c r="B470" t="s">
        <v>161</v>
      </c>
      <c r="C470" t="s">
        <v>155</v>
      </c>
      <c r="D470" t="s">
        <v>160</v>
      </c>
    </row>
    <row r="471" spans="1:4">
      <c r="A471">
        <v>20200412</v>
      </c>
      <c r="B471" t="s">
        <v>161</v>
      </c>
      <c r="C471" t="s">
        <v>155</v>
      </c>
      <c r="D471" t="s">
        <v>160</v>
      </c>
    </row>
    <row r="472" spans="1:4">
      <c r="A472">
        <v>20200418</v>
      </c>
      <c r="B472" t="s">
        <v>161</v>
      </c>
      <c r="C472" t="s">
        <v>155</v>
      </c>
      <c r="D472" t="s">
        <v>160</v>
      </c>
    </row>
    <row r="473" spans="1:4">
      <c r="A473">
        <v>20200419</v>
      </c>
      <c r="B473" t="s">
        <v>161</v>
      </c>
      <c r="C473" t="s">
        <v>155</v>
      </c>
      <c r="D473" t="s">
        <v>160</v>
      </c>
    </row>
    <row r="474" spans="1:4">
      <c r="A474">
        <v>20200425</v>
      </c>
      <c r="B474" t="s">
        <v>161</v>
      </c>
      <c r="C474" t="s">
        <v>158</v>
      </c>
      <c r="D474" t="s">
        <v>156</v>
      </c>
    </row>
    <row r="475" spans="1:4">
      <c r="A475">
        <v>20200426</v>
      </c>
      <c r="B475" t="s">
        <v>161</v>
      </c>
      <c r="C475" t="s">
        <v>158</v>
      </c>
      <c r="D475" t="s">
        <v>156</v>
      </c>
    </row>
    <row r="476" spans="1:4">
      <c r="A476">
        <v>20200502</v>
      </c>
      <c r="B476" t="s">
        <v>161</v>
      </c>
      <c r="C476" t="s">
        <v>158</v>
      </c>
      <c r="D476" t="s">
        <v>156</v>
      </c>
    </row>
    <row r="477" spans="1:4">
      <c r="A477">
        <v>20200503</v>
      </c>
      <c r="B477" t="s">
        <v>161</v>
      </c>
      <c r="C477" t="s">
        <v>158</v>
      </c>
      <c r="D477" t="s">
        <v>156</v>
      </c>
    </row>
    <row r="478" spans="1:4">
      <c r="A478">
        <v>20200509</v>
      </c>
      <c r="B478" t="s">
        <v>162</v>
      </c>
      <c r="C478" t="s">
        <v>158</v>
      </c>
      <c r="D478" t="s">
        <v>156</v>
      </c>
    </row>
    <row r="479" spans="1:4">
      <c r="A479">
        <v>20200510</v>
      </c>
      <c r="B479" t="s">
        <v>162</v>
      </c>
      <c r="C479" t="s">
        <v>158</v>
      </c>
      <c r="D479" t="s">
        <v>156</v>
      </c>
    </row>
    <row r="480" spans="1:4">
      <c r="A480">
        <v>20200516</v>
      </c>
      <c r="B480" t="s">
        <v>162</v>
      </c>
      <c r="C480" t="s">
        <v>158</v>
      </c>
      <c r="D480" t="s">
        <v>156</v>
      </c>
    </row>
    <row r="481" spans="1:4">
      <c r="A481">
        <v>20200517</v>
      </c>
      <c r="B481" t="s">
        <v>162</v>
      </c>
      <c r="C481" t="s">
        <v>158</v>
      </c>
      <c r="D481" t="s">
        <v>156</v>
      </c>
    </row>
    <row r="482" spans="1:4">
      <c r="A482">
        <v>20200523</v>
      </c>
      <c r="B482" t="s">
        <v>162</v>
      </c>
      <c r="C482" t="s">
        <v>158</v>
      </c>
      <c r="D482" t="s">
        <v>156</v>
      </c>
    </row>
    <row r="483" spans="1:4">
      <c r="A483">
        <v>20200524</v>
      </c>
      <c r="B483" t="s">
        <v>162</v>
      </c>
      <c r="C483" t="s">
        <v>158</v>
      </c>
      <c r="D483" t="s">
        <v>156</v>
      </c>
    </row>
    <row r="484" spans="1:4">
      <c r="A484">
        <v>20200530</v>
      </c>
      <c r="B484" t="s">
        <v>158</v>
      </c>
      <c r="C484" t="s">
        <v>156</v>
      </c>
    </row>
    <row r="485" spans="1:4">
      <c r="A485">
        <v>20200531</v>
      </c>
      <c r="B485" t="s">
        <v>158</v>
      </c>
      <c r="C485" t="s">
        <v>156</v>
      </c>
    </row>
    <row r="486" spans="1:4">
      <c r="A486">
        <v>20200606</v>
      </c>
      <c r="B486" t="s">
        <v>158</v>
      </c>
      <c r="C486" t="s">
        <v>160</v>
      </c>
    </row>
    <row r="487" spans="1:4">
      <c r="A487">
        <v>20200607</v>
      </c>
      <c r="B487" t="s">
        <v>158</v>
      </c>
      <c r="C487" t="s">
        <v>160</v>
      </c>
    </row>
    <row r="488" spans="1:4">
      <c r="A488">
        <v>20200613</v>
      </c>
      <c r="B488" t="s">
        <v>163</v>
      </c>
      <c r="C488" t="s">
        <v>158</v>
      </c>
      <c r="D488" t="s">
        <v>160</v>
      </c>
    </row>
    <row r="489" spans="1:4">
      <c r="A489">
        <v>20200614</v>
      </c>
      <c r="B489" t="s">
        <v>163</v>
      </c>
      <c r="C489" t="s">
        <v>158</v>
      </c>
      <c r="D489" t="s">
        <v>160</v>
      </c>
    </row>
    <row r="490" spans="1:4">
      <c r="A490">
        <v>20200620</v>
      </c>
      <c r="B490" t="s">
        <v>163</v>
      </c>
      <c r="C490" t="s">
        <v>158</v>
      </c>
      <c r="D490" t="s">
        <v>160</v>
      </c>
    </row>
    <row r="491" spans="1:4">
      <c r="A491">
        <v>20200621</v>
      </c>
      <c r="B491" t="s">
        <v>163</v>
      </c>
      <c r="C491" t="s">
        <v>158</v>
      </c>
      <c r="D491" t="s">
        <v>160</v>
      </c>
    </row>
    <row r="492" spans="1:4">
      <c r="A492">
        <v>20200627</v>
      </c>
      <c r="B492" t="s">
        <v>163</v>
      </c>
      <c r="C492" t="s">
        <v>158</v>
      </c>
      <c r="D492" t="s">
        <v>160</v>
      </c>
    </row>
    <row r="493" spans="1:4">
      <c r="A493">
        <v>20200628</v>
      </c>
      <c r="B493" t="s">
        <v>163</v>
      </c>
      <c r="C493" t="s">
        <v>158</v>
      </c>
      <c r="D493" t="s">
        <v>160</v>
      </c>
    </row>
    <row r="494" spans="1:4">
      <c r="A494">
        <v>20200704</v>
      </c>
      <c r="B494" t="s">
        <v>163</v>
      </c>
      <c r="C494" t="s">
        <v>161</v>
      </c>
      <c r="D494" t="s">
        <v>160</v>
      </c>
    </row>
    <row r="495" spans="1:4">
      <c r="A495">
        <v>20200705</v>
      </c>
      <c r="B495" t="s">
        <v>163</v>
      </c>
      <c r="C495" t="s">
        <v>161</v>
      </c>
      <c r="D495" t="s">
        <v>160</v>
      </c>
    </row>
    <row r="496" spans="1:4">
      <c r="A496">
        <v>20200711</v>
      </c>
      <c r="B496" t="s">
        <v>163</v>
      </c>
      <c r="C496" t="s">
        <v>161</v>
      </c>
      <c r="D496" t="s">
        <v>160</v>
      </c>
    </row>
    <row r="497" spans="1:4">
      <c r="A497">
        <v>20200712</v>
      </c>
      <c r="B497" t="s">
        <v>163</v>
      </c>
      <c r="C497" t="s">
        <v>161</v>
      </c>
      <c r="D497" t="s">
        <v>160</v>
      </c>
    </row>
    <row r="498" spans="1:4">
      <c r="A498">
        <v>20200718</v>
      </c>
      <c r="B498" t="s">
        <v>163</v>
      </c>
      <c r="C498" t="s">
        <v>161</v>
      </c>
      <c r="D498" t="s">
        <v>160</v>
      </c>
    </row>
    <row r="499" spans="1:4">
      <c r="A499">
        <v>20200719</v>
      </c>
      <c r="B499" t="s">
        <v>163</v>
      </c>
      <c r="C499" t="s">
        <v>161</v>
      </c>
      <c r="D499" t="s">
        <v>160</v>
      </c>
    </row>
    <row r="500" spans="1:4">
      <c r="A500">
        <v>20200725</v>
      </c>
      <c r="B500" t="s">
        <v>164</v>
      </c>
      <c r="C500" t="s">
        <v>162</v>
      </c>
    </row>
    <row r="501" spans="1:4">
      <c r="A501">
        <v>20200726</v>
      </c>
      <c r="B501" t="s">
        <v>164</v>
      </c>
      <c r="C501" t="s">
        <v>162</v>
      </c>
    </row>
    <row r="502" spans="1:4">
      <c r="A502">
        <v>20200801</v>
      </c>
      <c r="B502" t="s">
        <v>164</v>
      </c>
      <c r="C502" t="s">
        <v>162</v>
      </c>
    </row>
    <row r="503" spans="1:4">
      <c r="A503">
        <v>20200802</v>
      </c>
      <c r="B503" t="s">
        <v>164</v>
      </c>
      <c r="C503" t="s">
        <v>162</v>
      </c>
    </row>
    <row r="504" spans="1:4">
      <c r="A504">
        <v>20200808</v>
      </c>
      <c r="B504" t="s">
        <v>164</v>
      </c>
      <c r="C504" t="s">
        <v>162</v>
      </c>
    </row>
    <row r="505" spans="1:4">
      <c r="A505">
        <v>20200809</v>
      </c>
      <c r="B505" t="s">
        <v>164</v>
      </c>
      <c r="C505" t="s">
        <v>162</v>
      </c>
    </row>
    <row r="506" spans="1:4">
      <c r="A506">
        <v>20200815</v>
      </c>
      <c r="B506" t="s">
        <v>164</v>
      </c>
      <c r="C506" t="s">
        <v>162</v>
      </c>
      <c r="D506" t="s">
        <v>157</v>
      </c>
    </row>
    <row r="507" spans="1:4">
      <c r="A507">
        <v>20200816</v>
      </c>
      <c r="B507" t="s">
        <v>164</v>
      </c>
      <c r="C507" t="s">
        <v>162</v>
      </c>
      <c r="D507" t="s">
        <v>157</v>
      </c>
    </row>
    <row r="508" spans="1:4">
      <c r="A508">
        <v>20200822</v>
      </c>
      <c r="B508" t="s">
        <v>164</v>
      </c>
      <c r="C508" t="s">
        <v>162</v>
      </c>
      <c r="D508" t="s">
        <v>157</v>
      </c>
    </row>
    <row r="509" spans="1:4">
      <c r="A509">
        <v>20200823</v>
      </c>
      <c r="B509" t="s">
        <v>164</v>
      </c>
      <c r="C509" t="s">
        <v>162</v>
      </c>
      <c r="D509" t="s">
        <v>157</v>
      </c>
    </row>
    <row r="510" spans="1:4">
      <c r="A510">
        <v>20200829</v>
      </c>
      <c r="B510" t="s">
        <v>164</v>
      </c>
      <c r="C510" t="s">
        <v>162</v>
      </c>
      <c r="D510" t="s">
        <v>157</v>
      </c>
    </row>
    <row r="511" spans="1:4">
      <c r="A511">
        <v>20200830</v>
      </c>
      <c r="B511" t="s">
        <v>164</v>
      </c>
      <c r="C511" t="s">
        <v>162</v>
      </c>
      <c r="D511" t="s">
        <v>157</v>
      </c>
    </row>
    <row r="512" spans="1:4">
      <c r="A512">
        <v>20200905</v>
      </c>
      <c r="B512" t="s">
        <v>164</v>
      </c>
      <c r="C512" t="s">
        <v>162</v>
      </c>
      <c r="D512" t="s">
        <v>157</v>
      </c>
    </row>
    <row r="513" spans="1:4">
      <c r="A513">
        <v>20200906</v>
      </c>
      <c r="B513" t="s">
        <v>164</v>
      </c>
      <c r="C513" t="s">
        <v>162</v>
      </c>
      <c r="D513" t="s">
        <v>157</v>
      </c>
    </row>
    <row r="514" spans="1:4">
      <c r="A514">
        <v>20200912</v>
      </c>
      <c r="B514" t="s">
        <v>155</v>
      </c>
      <c r="C514" t="s">
        <v>159</v>
      </c>
    </row>
    <row r="515" spans="1:4">
      <c r="A515">
        <v>20200913</v>
      </c>
      <c r="B515" t="s">
        <v>155</v>
      </c>
      <c r="C515" t="s">
        <v>159</v>
      </c>
    </row>
    <row r="516" spans="1:4">
      <c r="A516">
        <v>20200919</v>
      </c>
      <c r="B516" t="s">
        <v>155</v>
      </c>
      <c r="C516" t="s">
        <v>159</v>
      </c>
    </row>
  </sheetData>
  <sortState xmlns:xlrd2="http://schemas.microsoft.com/office/spreadsheetml/2017/richdata2" ref="A1:D547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9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20200705</v>
      </c>
      <c r="B1" s="1" t="s">
        <v>141</v>
      </c>
      <c r="C1" s="1">
        <v>1</v>
      </c>
      <c r="D1" s="1">
        <v>1</v>
      </c>
      <c r="E1" s="1" t="s">
        <v>145</v>
      </c>
      <c r="F1" s="1">
        <v>2018102123</v>
      </c>
    </row>
    <row r="2" spans="1:6">
      <c r="A2" s="1">
        <v>20200705</v>
      </c>
      <c r="B2" s="1" t="s">
        <v>136</v>
      </c>
      <c r="C2" s="1">
        <v>1</v>
      </c>
      <c r="D2" s="1">
        <v>2</v>
      </c>
      <c r="E2" s="1" t="s">
        <v>146</v>
      </c>
      <c r="F2" s="1">
        <v>2018101310</v>
      </c>
    </row>
    <row r="3" spans="1:6">
      <c r="A3" s="1">
        <v>20200705</v>
      </c>
      <c r="B3" s="1" t="s">
        <v>136</v>
      </c>
      <c r="C3" s="1">
        <v>1</v>
      </c>
      <c r="D3" s="1">
        <v>3</v>
      </c>
      <c r="E3" s="1" t="s">
        <v>147</v>
      </c>
      <c r="F3" s="1">
        <v>2018105034</v>
      </c>
    </row>
    <row r="4" spans="1:6">
      <c r="A4" s="1">
        <v>20200705</v>
      </c>
      <c r="B4" s="1" t="s">
        <v>136</v>
      </c>
      <c r="C4" s="1">
        <v>1</v>
      </c>
      <c r="D4" s="1">
        <v>4</v>
      </c>
      <c r="E4" s="1" t="s">
        <v>148</v>
      </c>
      <c r="F4" s="1">
        <v>2018101894</v>
      </c>
    </row>
    <row r="5" spans="1:6">
      <c r="A5" s="1">
        <v>20200705</v>
      </c>
      <c r="B5" s="1" t="s">
        <v>136</v>
      </c>
      <c r="C5" s="1">
        <v>1</v>
      </c>
      <c r="D5" s="1">
        <v>5</v>
      </c>
      <c r="E5" s="1" t="s">
        <v>149</v>
      </c>
      <c r="F5" s="1">
        <v>2018100940</v>
      </c>
    </row>
    <row r="6" spans="1:6">
      <c r="A6" s="1">
        <v>20200705</v>
      </c>
      <c r="B6" s="1" t="s">
        <v>136</v>
      </c>
      <c r="C6" s="1">
        <v>1</v>
      </c>
      <c r="D6" s="1">
        <v>6</v>
      </c>
      <c r="E6" s="1" t="s">
        <v>150</v>
      </c>
      <c r="F6" s="1">
        <v>2018100900</v>
      </c>
    </row>
    <row r="7" spans="1:6">
      <c r="A7" s="1">
        <v>20200705</v>
      </c>
      <c r="B7" s="1" t="s">
        <v>136</v>
      </c>
      <c r="C7" s="1">
        <v>1</v>
      </c>
      <c r="D7" s="1">
        <v>7</v>
      </c>
      <c r="E7" s="1" t="s">
        <v>151</v>
      </c>
      <c r="F7" s="1">
        <v>2018104407</v>
      </c>
    </row>
    <row r="8" spans="1:6">
      <c r="A8" s="1">
        <v>20200705</v>
      </c>
      <c r="B8" s="1" t="s">
        <v>136</v>
      </c>
      <c r="C8" s="1">
        <v>1</v>
      </c>
      <c r="D8" s="1">
        <v>8</v>
      </c>
      <c r="E8" s="1" t="s">
        <v>152</v>
      </c>
      <c r="F8" s="1">
        <v>2018101294</v>
      </c>
    </row>
    <row r="9" spans="1:6">
      <c r="A9" s="1">
        <v>20200705</v>
      </c>
      <c r="B9" s="1" t="s">
        <v>136</v>
      </c>
      <c r="C9" s="1">
        <v>1</v>
      </c>
      <c r="D9" s="1">
        <v>9</v>
      </c>
      <c r="E9" s="1" t="s">
        <v>153</v>
      </c>
      <c r="F9" s="1">
        <v>2018103122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owner</cp:lastModifiedBy>
  <dcterms:created xsi:type="dcterms:W3CDTF">2018-04-14T05:05:39Z</dcterms:created>
  <dcterms:modified xsi:type="dcterms:W3CDTF">2020-09-12T08:19:21Z</dcterms:modified>
</cp:coreProperties>
</file>