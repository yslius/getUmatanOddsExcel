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Lancers\2019年\190721_馬単オッズの全出力_kurokawa1184\01_制作\"/>
    </mc:Choice>
  </mc:AlternateContent>
  <bookViews>
    <workbookView xWindow="0" yWindow="0" windowWidth="28800" windowHeight="12450"/>
  </bookViews>
  <sheets>
    <sheet name="TOP" sheetId="1" r:id="rId1"/>
    <sheet name="Sheet1" sheetId="7" r:id="rId2"/>
    <sheet name="Output" sheetId="9" state="hidden" r:id="rId3"/>
    <sheet name="結果" sheetId="3" state="hidden" r:id="rId4"/>
    <sheet name="開催日" sheetId="4" state="hidden" r:id="rId5"/>
    <sheet name="レース" sheetId="6" state="hidden" r:id="rId6"/>
  </sheets>
  <functionGroups builtInGroupCount="18"/>
  <definedNames>
    <definedName name="_xlnm._FilterDatabase" localSheetId="5" hidden="1">レース!$A$1:$G$1</definedName>
  </definedNames>
  <calcPr calcId="181029"/>
</workbook>
</file>

<file path=xl/calcChain.xml><?xml version="1.0" encoding="utf-8"?>
<calcChain xmlns="http://schemas.openxmlformats.org/spreadsheetml/2006/main">
  <c r="P30" i="7" l="1"/>
  <c r="P29" i="7"/>
  <c r="P28" i="7"/>
  <c r="P27" i="7"/>
  <c r="P26" i="7"/>
  <c r="P25" i="7"/>
  <c r="P24" i="7"/>
  <c r="P23" i="7"/>
  <c r="P22" i="7"/>
  <c r="P21" i="7"/>
  <c r="P20" i="7"/>
  <c r="P19" i="7"/>
  <c r="P18" i="7"/>
  <c r="P17" i="7"/>
  <c r="P16" i="7"/>
  <c r="P15" i="7"/>
  <c r="P14" i="7"/>
  <c r="P13" i="7"/>
  <c r="P12" i="7"/>
  <c r="P11" i="7"/>
  <c r="P10" i="7"/>
  <c r="P9" i="7"/>
  <c r="P8" i="7"/>
  <c r="P7" i="7"/>
  <c r="P6" i="7"/>
  <c r="P5" i="7"/>
  <c r="W30" i="7"/>
  <c r="W29" i="7"/>
  <c r="W28" i="7"/>
  <c r="W27" i="7"/>
  <c r="W26" i="7"/>
  <c r="W25" i="7"/>
  <c r="W24" i="7"/>
  <c r="W23" i="7"/>
  <c r="W22" i="7"/>
  <c r="W21" i="7"/>
  <c r="W20" i="7"/>
  <c r="W19" i="7"/>
  <c r="W18" i="7"/>
  <c r="W17" i="7"/>
  <c r="W16" i="7"/>
  <c r="W15" i="7"/>
  <c r="W14" i="7"/>
  <c r="W13" i="7"/>
  <c r="W12" i="7"/>
  <c r="W11" i="7"/>
  <c r="W10" i="7"/>
  <c r="W9" i="7"/>
  <c r="W8" i="7"/>
  <c r="W7" i="7"/>
  <c r="W6" i="7"/>
  <c r="W5" i="7"/>
  <c r="V5" i="7"/>
  <c r="O30" i="7"/>
  <c r="O29" i="7"/>
  <c r="O28" i="7"/>
  <c r="O27" i="7"/>
  <c r="O26" i="7"/>
  <c r="O25" i="7"/>
  <c r="O24" i="7"/>
  <c r="O23" i="7"/>
  <c r="O22" i="7"/>
  <c r="O21" i="7"/>
  <c r="O20" i="7"/>
  <c r="O19" i="7"/>
  <c r="O18" i="7"/>
  <c r="O17" i="7"/>
  <c r="O16" i="7"/>
  <c r="O15" i="7"/>
  <c r="O14" i="7"/>
  <c r="O13" i="7"/>
  <c r="O12" i="7"/>
  <c r="O11" i="7"/>
  <c r="O10" i="7"/>
  <c r="O9" i="7"/>
  <c r="O8" i="7"/>
  <c r="O7" i="7"/>
  <c r="O6" i="7"/>
  <c r="O5" i="7"/>
  <c r="V30" i="7"/>
  <c r="V29" i="7"/>
  <c r="V28" i="7"/>
  <c r="V27" i="7"/>
  <c r="V26" i="7"/>
  <c r="V25" i="7"/>
  <c r="V24" i="7"/>
  <c r="V23" i="7"/>
  <c r="V22" i="7"/>
  <c r="V21" i="7"/>
  <c r="V20" i="7"/>
  <c r="V19" i="7"/>
  <c r="V18" i="7"/>
  <c r="V17" i="7"/>
  <c r="V16" i="7"/>
  <c r="V15" i="7"/>
  <c r="V14" i="7"/>
  <c r="V13" i="7"/>
  <c r="V12" i="7"/>
  <c r="V11" i="7"/>
  <c r="V10" i="7"/>
  <c r="V9" i="7"/>
  <c r="V8" i="7"/>
  <c r="V7" i="7"/>
  <c r="V6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L32" i="7"/>
  <c r="L31" i="7"/>
  <c r="L30" i="7"/>
  <c r="L29" i="7"/>
  <c r="L28" i="7"/>
  <c r="L27" i="7"/>
  <c r="L26" i="7"/>
  <c r="L25" i="7"/>
  <c r="L24" i="7"/>
  <c r="L23" i="7"/>
  <c r="L22" i="7"/>
  <c r="L21" i="7"/>
  <c r="L20" i="7"/>
  <c r="L19" i="7"/>
  <c r="L18" i="7"/>
  <c r="L17" i="7"/>
  <c r="L16" i="7"/>
  <c r="L15" i="7"/>
  <c r="L14" i="7"/>
  <c r="L13" i="7"/>
  <c r="L12" i="7"/>
  <c r="L11" i="7"/>
  <c r="L10" i="7"/>
  <c r="L9" i="7"/>
  <c r="L8" i="7"/>
  <c r="L7" i="7"/>
  <c r="L6" i="7"/>
  <c r="L5" i="7"/>
  <c r="AR36" i="7" l="1"/>
  <c r="AS36" i="7" s="1"/>
  <c r="AT36" i="7"/>
  <c r="AU36" i="7" s="1"/>
  <c r="AR37" i="7"/>
  <c r="AS37" i="7" s="1"/>
  <c r="AT37" i="7"/>
  <c r="AU37" i="7" s="1"/>
  <c r="AR38" i="7"/>
  <c r="AS38" i="7" s="1"/>
  <c r="AT38" i="7"/>
  <c r="AU38" i="7" s="1"/>
  <c r="AR39" i="7"/>
  <c r="AS39" i="7" s="1"/>
  <c r="AT39" i="7"/>
  <c r="AU39" i="7" s="1"/>
  <c r="AR40" i="7"/>
  <c r="AS40" i="7" s="1"/>
  <c r="AT40" i="7"/>
  <c r="AU40" i="7" s="1"/>
  <c r="AR41" i="7"/>
  <c r="AS41" i="7" s="1"/>
  <c r="AT41" i="7"/>
  <c r="AU41" i="7" s="1"/>
  <c r="AR42" i="7"/>
  <c r="AS42" i="7" s="1"/>
  <c r="AT42" i="7"/>
  <c r="AU42" i="7" s="1"/>
  <c r="AR43" i="7"/>
  <c r="AS43" i="7" s="1"/>
  <c r="AT43" i="7"/>
  <c r="AU43" i="7" s="1"/>
  <c r="AR44" i="7"/>
  <c r="AS44" i="7" s="1"/>
  <c r="AT44" i="7"/>
  <c r="AU44" i="7" s="1"/>
  <c r="AR45" i="7"/>
  <c r="AS45" i="7" s="1"/>
  <c r="AT45" i="7"/>
  <c r="AU45" i="7" s="1"/>
  <c r="AR46" i="7"/>
  <c r="AS46" i="7" s="1"/>
  <c r="AT46" i="7"/>
  <c r="AU46" i="7" s="1"/>
  <c r="AR47" i="7"/>
  <c r="AS47" i="7" s="1"/>
  <c r="AT47" i="7"/>
  <c r="AU47" i="7" s="1"/>
  <c r="AR48" i="7"/>
  <c r="AS48" i="7" s="1"/>
  <c r="AT48" i="7"/>
  <c r="AU48" i="7" s="1"/>
  <c r="AR49" i="7"/>
  <c r="AS49" i="7" s="1"/>
  <c r="AT49" i="7"/>
  <c r="AU49" i="7" s="1"/>
  <c r="AR50" i="7"/>
  <c r="AS50" i="7" s="1"/>
  <c r="AT50" i="7"/>
  <c r="AU50" i="7" s="1"/>
  <c r="AR51" i="7"/>
  <c r="AS51" i="7" s="1"/>
  <c r="AT51" i="7"/>
  <c r="AU51" i="7" s="1"/>
  <c r="AR52" i="7"/>
  <c r="AS52" i="7" s="1"/>
  <c r="AT52" i="7"/>
  <c r="AU52" i="7" s="1"/>
  <c r="AR53" i="7"/>
  <c r="AS53" i="7" s="1"/>
  <c r="AT53" i="7"/>
  <c r="AU53" i="7" s="1"/>
  <c r="AR54" i="7"/>
  <c r="AS54" i="7" s="1"/>
  <c r="AT54" i="7"/>
  <c r="AU54" i="7" s="1"/>
  <c r="AR55" i="7"/>
  <c r="AS55" i="7" s="1"/>
  <c r="AT55" i="7"/>
  <c r="AU55" i="7" s="1"/>
  <c r="AR56" i="7"/>
  <c r="AS56" i="7" s="1"/>
  <c r="AT56" i="7"/>
  <c r="AU56" i="7" s="1"/>
  <c r="AR57" i="7"/>
  <c r="AS57" i="7" s="1"/>
  <c r="AT57" i="7"/>
  <c r="AU57" i="7" s="1"/>
  <c r="AR58" i="7"/>
  <c r="AS58" i="7" s="1"/>
  <c r="AT58" i="7"/>
  <c r="AU58" i="7" s="1"/>
  <c r="AR59" i="7"/>
  <c r="AS59" i="7" s="1"/>
  <c r="AT59" i="7"/>
  <c r="AU59" i="7" s="1"/>
  <c r="AR60" i="7"/>
  <c r="AS60" i="7" s="1"/>
  <c r="AT60" i="7"/>
  <c r="AU60" i="7" s="1"/>
  <c r="AR61" i="7"/>
  <c r="AS61" i="7" s="1"/>
  <c r="AT61" i="7"/>
  <c r="AU61" i="7" s="1"/>
  <c r="AR62" i="7"/>
  <c r="AS62" i="7" s="1"/>
  <c r="AT62" i="7"/>
  <c r="AU62" i="7" s="1"/>
  <c r="AR63" i="7"/>
  <c r="AS63" i="7" s="1"/>
  <c r="AT63" i="7"/>
  <c r="AU63" i="7" s="1"/>
  <c r="AR64" i="7"/>
  <c r="AS64" i="7" s="1"/>
  <c r="AT64" i="7"/>
  <c r="AU64" i="7" s="1"/>
  <c r="AR65" i="7"/>
  <c r="AS65" i="7" s="1"/>
  <c r="AT65" i="7"/>
  <c r="AU65" i="7" s="1"/>
  <c r="AR66" i="7"/>
  <c r="AS66" i="7" s="1"/>
  <c r="AT66" i="7"/>
  <c r="AU66" i="7" s="1"/>
  <c r="AR67" i="7"/>
  <c r="AS67" i="7" s="1"/>
  <c r="AT67" i="7"/>
  <c r="AU67" i="7" s="1"/>
  <c r="AR5" i="7" l="1"/>
  <c r="AS5" i="7" s="1"/>
  <c r="AT5" i="7"/>
  <c r="AU5" i="7" s="1"/>
  <c r="AV5" i="7"/>
  <c r="AW5" i="7" s="1"/>
  <c r="AX5" i="7"/>
  <c r="AY5" i="7" s="1"/>
  <c r="AZ5" i="7"/>
  <c r="BA5" i="7" s="1"/>
  <c r="BB5" i="7"/>
  <c r="AK8" i="7" l="1"/>
  <c r="AK7" i="7"/>
  <c r="AK15" i="7"/>
  <c r="AK19" i="7"/>
  <c r="AK16" i="7"/>
  <c r="AK12" i="7"/>
  <c r="AK5" i="7"/>
  <c r="AK13" i="7"/>
  <c r="AK21" i="7"/>
  <c r="AK6" i="7"/>
  <c r="AK20" i="7"/>
  <c r="DY32" i="7"/>
  <c r="DX32" i="7"/>
  <c r="DW32" i="7"/>
  <c r="DV32" i="7"/>
  <c r="DU32" i="7"/>
  <c r="DT32" i="7"/>
  <c r="DS32" i="7"/>
  <c r="DR32" i="7"/>
  <c r="DQ32" i="7"/>
  <c r="DP32" i="7"/>
  <c r="DO32" i="7"/>
  <c r="DN32" i="7"/>
  <c r="DM32" i="7"/>
  <c r="DL32" i="7"/>
  <c r="DY31" i="7"/>
  <c r="DX31" i="7"/>
  <c r="DW31" i="7"/>
  <c r="DV31" i="7"/>
  <c r="DU31" i="7"/>
  <c r="DT31" i="7"/>
  <c r="DS31" i="7"/>
  <c r="DR31" i="7"/>
  <c r="DQ31" i="7"/>
  <c r="DP31" i="7"/>
  <c r="DO31" i="7"/>
  <c r="DN31" i="7"/>
  <c r="DM31" i="7"/>
  <c r="DL31" i="7"/>
  <c r="DY30" i="7"/>
  <c r="DX30" i="7"/>
  <c r="DW30" i="7"/>
  <c r="DV30" i="7"/>
  <c r="DU30" i="7"/>
  <c r="DT30" i="7"/>
  <c r="DS30" i="7"/>
  <c r="DR30" i="7"/>
  <c r="DQ30" i="7"/>
  <c r="DP30" i="7"/>
  <c r="DO30" i="7"/>
  <c r="DN30" i="7"/>
  <c r="DM30" i="7"/>
  <c r="DL30" i="7"/>
  <c r="DY29" i="7"/>
  <c r="DX29" i="7"/>
  <c r="DW29" i="7"/>
  <c r="DV29" i="7"/>
  <c r="DU29" i="7"/>
  <c r="DT29" i="7"/>
  <c r="DS29" i="7"/>
  <c r="DR29" i="7"/>
  <c r="DQ29" i="7"/>
  <c r="DP29" i="7"/>
  <c r="DO29" i="7"/>
  <c r="DN29" i="7"/>
  <c r="DM29" i="7"/>
  <c r="DL29" i="7"/>
  <c r="DY28" i="7"/>
  <c r="DX28" i="7"/>
  <c r="DW28" i="7"/>
  <c r="DV28" i="7"/>
  <c r="DU28" i="7"/>
  <c r="DT28" i="7"/>
  <c r="DS28" i="7"/>
  <c r="DR28" i="7"/>
  <c r="DQ28" i="7"/>
  <c r="DP28" i="7"/>
  <c r="DO28" i="7"/>
  <c r="DN28" i="7"/>
  <c r="DM28" i="7"/>
  <c r="DL28" i="7"/>
  <c r="DY27" i="7"/>
  <c r="DX27" i="7"/>
  <c r="DW27" i="7"/>
  <c r="DV27" i="7"/>
  <c r="DU27" i="7"/>
  <c r="DT27" i="7"/>
  <c r="DS27" i="7"/>
  <c r="DR27" i="7"/>
  <c r="DQ27" i="7"/>
  <c r="DP27" i="7"/>
  <c r="DO27" i="7"/>
  <c r="DN27" i="7"/>
  <c r="DM27" i="7"/>
  <c r="DL27" i="7"/>
  <c r="DY26" i="7"/>
  <c r="DX26" i="7"/>
  <c r="DW26" i="7"/>
  <c r="DV26" i="7"/>
  <c r="DU26" i="7"/>
  <c r="DT26" i="7"/>
  <c r="DS26" i="7"/>
  <c r="DR26" i="7"/>
  <c r="DQ26" i="7"/>
  <c r="DP26" i="7"/>
  <c r="DO26" i="7"/>
  <c r="DN26" i="7"/>
  <c r="DM26" i="7"/>
  <c r="DL26" i="7"/>
  <c r="DY25" i="7"/>
  <c r="DX25" i="7"/>
  <c r="DW25" i="7"/>
  <c r="DV25" i="7"/>
  <c r="DU25" i="7"/>
  <c r="DT25" i="7"/>
  <c r="DS25" i="7"/>
  <c r="DR25" i="7"/>
  <c r="DQ25" i="7"/>
  <c r="DP25" i="7"/>
  <c r="DO25" i="7"/>
  <c r="DN25" i="7"/>
  <c r="DM25" i="7"/>
  <c r="DL25" i="7"/>
  <c r="DY24" i="7"/>
  <c r="DX24" i="7"/>
  <c r="DW24" i="7"/>
  <c r="DV24" i="7"/>
  <c r="DU24" i="7"/>
  <c r="DT24" i="7"/>
  <c r="DS24" i="7"/>
  <c r="DR24" i="7"/>
  <c r="DQ24" i="7"/>
  <c r="DP24" i="7"/>
  <c r="DO24" i="7"/>
  <c r="DN24" i="7"/>
  <c r="DM24" i="7"/>
  <c r="DL24" i="7"/>
  <c r="DY23" i="7"/>
  <c r="DX23" i="7"/>
  <c r="DW23" i="7"/>
  <c r="DV23" i="7"/>
  <c r="DU23" i="7"/>
  <c r="DT23" i="7"/>
  <c r="DS23" i="7"/>
  <c r="DR23" i="7"/>
  <c r="DQ23" i="7"/>
  <c r="DP23" i="7"/>
  <c r="DO23" i="7"/>
  <c r="DN23" i="7"/>
  <c r="DM23" i="7"/>
  <c r="DL23" i="7"/>
  <c r="DY22" i="7"/>
  <c r="DX22" i="7"/>
  <c r="DW22" i="7"/>
  <c r="DV22" i="7"/>
  <c r="DU22" i="7"/>
  <c r="DT22" i="7"/>
  <c r="DS22" i="7"/>
  <c r="DR22" i="7"/>
  <c r="DQ22" i="7"/>
  <c r="DP22" i="7"/>
  <c r="DO22" i="7"/>
  <c r="DN22" i="7"/>
  <c r="DM22" i="7"/>
  <c r="DL22" i="7"/>
  <c r="DY21" i="7"/>
  <c r="DX21" i="7"/>
  <c r="DW21" i="7"/>
  <c r="DV21" i="7"/>
  <c r="DU21" i="7"/>
  <c r="DT21" i="7"/>
  <c r="DS21" i="7"/>
  <c r="DR21" i="7"/>
  <c r="DQ21" i="7"/>
  <c r="DP21" i="7"/>
  <c r="DO21" i="7"/>
  <c r="DN21" i="7"/>
  <c r="DM21" i="7"/>
  <c r="DL21" i="7"/>
  <c r="DY20" i="7"/>
  <c r="DX20" i="7"/>
  <c r="DW20" i="7"/>
  <c r="DV20" i="7"/>
  <c r="DU20" i="7"/>
  <c r="DT20" i="7"/>
  <c r="DS20" i="7"/>
  <c r="DR20" i="7"/>
  <c r="DQ20" i="7"/>
  <c r="DP20" i="7"/>
  <c r="DO20" i="7"/>
  <c r="DN20" i="7"/>
  <c r="DM20" i="7"/>
  <c r="DL20" i="7"/>
  <c r="DY19" i="7"/>
  <c r="DX19" i="7"/>
  <c r="DW19" i="7"/>
  <c r="DV19" i="7"/>
  <c r="DU19" i="7"/>
  <c r="DT19" i="7"/>
  <c r="DS19" i="7"/>
  <c r="DR19" i="7"/>
  <c r="DQ19" i="7"/>
  <c r="DP19" i="7"/>
  <c r="DO19" i="7"/>
  <c r="DN19" i="7"/>
  <c r="DM19" i="7"/>
  <c r="DL19" i="7"/>
  <c r="DY18" i="7"/>
  <c r="DX18" i="7"/>
  <c r="DW18" i="7"/>
  <c r="DV18" i="7"/>
  <c r="DU18" i="7"/>
  <c r="DT18" i="7"/>
  <c r="DS18" i="7"/>
  <c r="DR18" i="7"/>
  <c r="DQ18" i="7"/>
  <c r="DP18" i="7"/>
  <c r="DO18" i="7"/>
  <c r="DN18" i="7"/>
  <c r="DM18" i="7"/>
  <c r="DL18" i="7"/>
  <c r="DY17" i="7"/>
  <c r="DX17" i="7"/>
  <c r="DW17" i="7"/>
  <c r="DV17" i="7"/>
  <c r="DU17" i="7"/>
  <c r="DT17" i="7"/>
  <c r="DS17" i="7"/>
  <c r="DR17" i="7"/>
  <c r="DQ17" i="7"/>
  <c r="DP17" i="7"/>
  <c r="DO17" i="7"/>
  <c r="DN17" i="7"/>
  <c r="DM17" i="7"/>
  <c r="DL17" i="7"/>
  <c r="DY16" i="7"/>
  <c r="DX16" i="7"/>
  <c r="DW16" i="7"/>
  <c r="DV16" i="7"/>
  <c r="DU16" i="7"/>
  <c r="DT16" i="7"/>
  <c r="DS16" i="7"/>
  <c r="DR16" i="7"/>
  <c r="DQ16" i="7"/>
  <c r="DP16" i="7"/>
  <c r="DO16" i="7"/>
  <c r="DN16" i="7"/>
  <c r="DM16" i="7"/>
  <c r="DL16" i="7"/>
  <c r="DY15" i="7"/>
  <c r="DX15" i="7"/>
  <c r="DW15" i="7"/>
  <c r="DV15" i="7"/>
  <c r="DU15" i="7"/>
  <c r="DT15" i="7"/>
  <c r="DS15" i="7"/>
  <c r="DR15" i="7"/>
  <c r="DQ15" i="7"/>
  <c r="DP15" i="7"/>
  <c r="DO15" i="7"/>
  <c r="DN15" i="7"/>
  <c r="DM15" i="7"/>
  <c r="DL15" i="7"/>
  <c r="DY14" i="7"/>
  <c r="DX14" i="7"/>
  <c r="DW14" i="7"/>
  <c r="DV14" i="7"/>
  <c r="DU14" i="7"/>
  <c r="DT14" i="7"/>
  <c r="DS14" i="7"/>
  <c r="DR14" i="7"/>
  <c r="DQ14" i="7"/>
  <c r="DP14" i="7"/>
  <c r="DO14" i="7"/>
  <c r="DN14" i="7"/>
  <c r="DM14" i="7"/>
  <c r="DL14" i="7"/>
  <c r="DY13" i="7"/>
  <c r="DX13" i="7"/>
  <c r="DW13" i="7"/>
  <c r="DV13" i="7"/>
  <c r="DU13" i="7"/>
  <c r="DT13" i="7"/>
  <c r="DS13" i="7"/>
  <c r="DR13" i="7"/>
  <c r="DQ13" i="7"/>
  <c r="DP13" i="7"/>
  <c r="DO13" i="7"/>
  <c r="DN13" i="7"/>
  <c r="DM13" i="7"/>
  <c r="DL13" i="7"/>
  <c r="DY12" i="7"/>
  <c r="DX12" i="7"/>
  <c r="DW12" i="7"/>
  <c r="DV12" i="7"/>
  <c r="DU12" i="7"/>
  <c r="DT12" i="7"/>
  <c r="DS12" i="7"/>
  <c r="DR12" i="7"/>
  <c r="DQ12" i="7"/>
  <c r="DP12" i="7"/>
  <c r="DO12" i="7"/>
  <c r="DN12" i="7"/>
  <c r="DM12" i="7"/>
  <c r="DL12" i="7"/>
  <c r="DY11" i="7"/>
  <c r="DX11" i="7"/>
  <c r="DW11" i="7"/>
  <c r="DV11" i="7"/>
  <c r="DU11" i="7"/>
  <c r="DT11" i="7"/>
  <c r="DS11" i="7"/>
  <c r="DR11" i="7"/>
  <c r="DQ11" i="7"/>
  <c r="DP11" i="7"/>
  <c r="DO11" i="7"/>
  <c r="DN11" i="7"/>
  <c r="DM11" i="7"/>
  <c r="DL11" i="7"/>
  <c r="DY10" i="7"/>
  <c r="DX10" i="7"/>
  <c r="DW10" i="7"/>
  <c r="DV10" i="7"/>
  <c r="DU10" i="7"/>
  <c r="DT10" i="7"/>
  <c r="DS10" i="7"/>
  <c r="DR10" i="7"/>
  <c r="DQ10" i="7"/>
  <c r="DP10" i="7"/>
  <c r="DO10" i="7"/>
  <c r="DN10" i="7"/>
  <c r="DM10" i="7"/>
  <c r="DL10" i="7"/>
  <c r="DY9" i="7"/>
  <c r="DX9" i="7"/>
  <c r="DW9" i="7"/>
  <c r="DV9" i="7"/>
  <c r="DU9" i="7"/>
  <c r="DT9" i="7"/>
  <c r="DS9" i="7"/>
  <c r="DR9" i="7"/>
  <c r="DQ9" i="7"/>
  <c r="DP9" i="7"/>
  <c r="DO9" i="7"/>
  <c r="DN9" i="7"/>
  <c r="DM9" i="7"/>
  <c r="DL9" i="7"/>
  <c r="DY8" i="7"/>
  <c r="DX8" i="7"/>
  <c r="DW8" i="7"/>
  <c r="DV8" i="7"/>
  <c r="DU8" i="7"/>
  <c r="DT8" i="7"/>
  <c r="DS8" i="7"/>
  <c r="DR8" i="7"/>
  <c r="DQ8" i="7"/>
  <c r="DP8" i="7"/>
  <c r="DO8" i="7"/>
  <c r="DN8" i="7"/>
  <c r="DM8" i="7"/>
  <c r="DL8" i="7"/>
  <c r="DY7" i="7"/>
  <c r="DX7" i="7"/>
  <c r="DW7" i="7"/>
  <c r="DV7" i="7"/>
  <c r="DU7" i="7"/>
  <c r="DT7" i="7"/>
  <c r="DS7" i="7"/>
  <c r="DR7" i="7"/>
  <c r="DQ7" i="7"/>
  <c r="DP7" i="7"/>
  <c r="DO7" i="7"/>
  <c r="DN7" i="7"/>
  <c r="DM7" i="7"/>
  <c r="DL7" i="7"/>
  <c r="DY6" i="7"/>
  <c r="DX6" i="7"/>
  <c r="DW6" i="7"/>
  <c r="DV6" i="7"/>
  <c r="DU6" i="7"/>
  <c r="DT6" i="7"/>
  <c r="DS6" i="7"/>
  <c r="DR6" i="7"/>
  <c r="DQ6" i="7"/>
  <c r="DP6" i="7"/>
  <c r="DO6" i="7"/>
  <c r="DN6" i="7"/>
  <c r="DM6" i="7"/>
  <c r="DL6" i="7"/>
  <c r="DY5" i="7"/>
  <c r="DX5" i="7"/>
  <c r="DW5" i="7"/>
  <c r="DV5" i="7"/>
  <c r="DU5" i="7"/>
  <c r="DT5" i="7"/>
  <c r="DS5" i="7"/>
  <c r="DR5" i="7"/>
  <c r="DQ5" i="7"/>
  <c r="DP5" i="7"/>
  <c r="DO5" i="7"/>
  <c r="DN5" i="7"/>
  <c r="DM5" i="7"/>
  <c r="DL5" i="7"/>
  <c r="DJ32" i="7"/>
  <c r="DI32" i="7"/>
  <c r="DH32" i="7"/>
  <c r="DG32" i="7"/>
  <c r="DF32" i="7"/>
  <c r="DE32" i="7"/>
  <c r="DD32" i="7"/>
  <c r="DC32" i="7"/>
  <c r="DB32" i="7"/>
  <c r="DA32" i="7"/>
  <c r="CZ32" i="7"/>
  <c r="CY32" i="7"/>
  <c r="CX32" i="7"/>
  <c r="CW32" i="7"/>
  <c r="DJ31" i="7"/>
  <c r="DI31" i="7"/>
  <c r="DH31" i="7"/>
  <c r="DG31" i="7"/>
  <c r="DF31" i="7"/>
  <c r="DE31" i="7"/>
  <c r="DD31" i="7"/>
  <c r="DC31" i="7"/>
  <c r="DB31" i="7"/>
  <c r="DA31" i="7"/>
  <c r="CZ31" i="7"/>
  <c r="CY31" i="7"/>
  <c r="CX31" i="7"/>
  <c r="CW31" i="7"/>
  <c r="DJ30" i="7"/>
  <c r="DI30" i="7"/>
  <c r="DH30" i="7"/>
  <c r="DG30" i="7"/>
  <c r="DF30" i="7"/>
  <c r="DE30" i="7"/>
  <c r="DD30" i="7"/>
  <c r="DC30" i="7"/>
  <c r="DB30" i="7"/>
  <c r="DA30" i="7"/>
  <c r="CZ30" i="7"/>
  <c r="CY30" i="7"/>
  <c r="CX30" i="7"/>
  <c r="CW30" i="7"/>
  <c r="DJ29" i="7"/>
  <c r="DI29" i="7"/>
  <c r="DH29" i="7"/>
  <c r="DG29" i="7"/>
  <c r="DF29" i="7"/>
  <c r="DE29" i="7"/>
  <c r="DD29" i="7"/>
  <c r="DC29" i="7"/>
  <c r="DB29" i="7"/>
  <c r="DA29" i="7"/>
  <c r="CZ29" i="7"/>
  <c r="CY29" i="7"/>
  <c r="CX29" i="7"/>
  <c r="CW29" i="7"/>
  <c r="DJ28" i="7"/>
  <c r="DI28" i="7"/>
  <c r="DH28" i="7"/>
  <c r="DG28" i="7"/>
  <c r="DF28" i="7"/>
  <c r="DE28" i="7"/>
  <c r="DD28" i="7"/>
  <c r="DC28" i="7"/>
  <c r="DB28" i="7"/>
  <c r="DA28" i="7"/>
  <c r="CZ28" i="7"/>
  <c r="CY28" i="7"/>
  <c r="CX28" i="7"/>
  <c r="CW28" i="7"/>
  <c r="DJ27" i="7"/>
  <c r="DI27" i="7"/>
  <c r="DH27" i="7"/>
  <c r="DG27" i="7"/>
  <c r="DF27" i="7"/>
  <c r="DE27" i="7"/>
  <c r="DD27" i="7"/>
  <c r="DC27" i="7"/>
  <c r="DB27" i="7"/>
  <c r="DA27" i="7"/>
  <c r="CZ27" i="7"/>
  <c r="CY27" i="7"/>
  <c r="CX27" i="7"/>
  <c r="CW27" i="7"/>
  <c r="DJ26" i="7"/>
  <c r="DI26" i="7"/>
  <c r="DH26" i="7"/>
  <c r="DG26" i="7"/>
  <c r="DF26" i="7"/>
  <c r="DE26" i="7"/>
  <c r="DD26" i="7"/>
  <c r="DC26" i="7"/>
  <c r="DB26" i="7"/>
  <c r="DA26" i="7"/>
  <c r="CZ26" i="7"/>
  <c r="CY26" i="7"/>
  <c r="CX26" i="7"/>
  <c r="CW26" i="7"/>
  <c r="DJ25" i="7"/>
  <c r="DI25" i="7"/>
  <c r="DH25" i="7"/>
  <c r="DG25" i="7"/>
  <c r="DF25" i="7"/>
  <c r="DE25" i="7"/>
  <c r="DD25" i="7"/>
  <c r="DC25" i="7"/>
  <c r="DB25" i="7"/>
  <c r="DA25" i="7"/>
  <c r="CZ25" i="7"/>
  <c r="CY25" i="7"/>
  <c r="CX25" i="7"/>
  <c r="CW25" i="7"/>
  <c r="DJ24" i="7"/>
  <c r="DI24" i="7"/>
  <c r="DH24" i="7"/>
  <c r="DG24" i="7"/>
  <c r="DF24" i="7"/>
  <c r="DE24" i="7"/>
  <c r="DD24" i="7"/>
  <c r="DC24" i="7"/>
  <c r="DB24" i="7"/>
  <c r="DA24" i="7"/>
  <c r="CZ24" i="7"/>
  <c r="CY24" i="7"/>
  <c r="CX24" i="7"/>
  <c r="CW24" i="7"/>
  <c r="DJ23" i="7"/>
  <c r="DI23" i="7"/>
  <c r="DH23" i="7"/>
  <c r="DG23" i="7"/>
  <c r="DF23" i="7"/>
  <c r="DE23" i="7"/>
  <c r="DD23" i="7"/>
  <c r="DC23" i="7"/>
  <c r="DB23" i="7"/>
  <c r="DA23" i="7"/>
  <c r="CZ23" i="7"/>
  <c r="CY23" i="7"/>
  <c r="CX23" i="7"/>
  <c r="CW23" i="7"/>
  <c r="DJ22" i="7"/>
  <c r="DI22" i="7"/>
  <c r="DH22" i="7"/>
  <c r="DG22" i="7"/>
  <c r="DF22" i="7"/>
  <c r="DE22" i="7"/>
  <c r="DD22" i="7"/>
  <c r="DC22" i="7"/>
  <c r="DB22" i="7"/>
  <c r="DA22" i="7"/>
  <c r="CZ22" i="7"/>
  <c r="CY22" i="7"/>
  <c r="CX22" i="7"/>
  <c r="CW22" i="7"/>
  <c r="DJ21" i="7"/>
  <c r="DI21" i="7"/>
  <c r="DH21" i="7"/>
  <c r="DG21" i="7"/>
  <c r="DF21" i="7"/>
  <c r="DE21" i="7"/>
  <c r="DD21" i="7"/>
  <c r="DC21" i="7"/>
  <c r="DB21" i="7"/>
  <c r="DA21" i="7"/>
  <c r="CZ21" i="7"/>
  <c r="CY21" i="7"/>
  <c r="CX21" i="7"/>
  <c r="CW21" i="7"/>
  <c r="DJ20" i="7"/>
  <c r="DI20" i="7"/>
  <c r="DH20" i="7"/>
  <c r="DG20" i="7"/>
  <c r="DF20" i="7"/>
  <c r="DE20" i="7"/>
  <c r="DD20" i="7"/>
  <c r="DC20" i="7"/>
  <c r="DB20" i="7"/>
  <c r="DA20" i="7"/>
  <c r="CZ20" i="7"/>
  <c r="CY20" i="7"/>
  <c r="CX20" i="7"/>
  <c r="CW20" i="7"/>
  <c r="DJ19" i="7"/>
  <c r="DI19" i="7"/>
  <c r="DH19" i="7"/>
  <c r="DG19" i="7"/>
  <c r="DF19" i="7"/>
  <c r="DE19" i="7"/>
  <c r="DD19" i="7"/>
  <c r="DC19" i="7"/>
  <c r="DB19" i="7"/>
  <c r="DA19" i="7"/>
  <c r="CZ19" i="7"/>
  <c r="CY19" i="7"/>
  <c r="CX19" i="7"/>
  <c r="CW19" i="7"/>
  <c r="DJ18" i="7"/>
  <c r="DI18" i="7"/>
  <c r="DH18" i="7"/>
  <c r="DG18" i="7"/>
  <c r="DF18" i="7"/>
  <c r="DE18" i="7"/>
  <c r="DD18" i="7"/>
  <c r="DC18" i="7"/>
  <c r="DB18" i="7"/>
  <c r="DA18" i="7"/>
  <c r="CZ18" i="7"/>
  <c r="CY18" i="7"/>
  <c r="CX18" i="7"/>
  <c r="CW18" i="7"/>
  <c r="DJ17" i="7"/>
  <c r="DI17" i="7"/>
  <c r="DH17" i="7"/>
  <c r="DG17" i="7"/>
  <c r="DF17" i="7"/>
  <c r="DE17" i="7"/>
  <c r="DD17" i="7"/>
  <c r="DC17" i="7"/>
  <c r="DB17" i="7"/>
  <c r="DA17" i="7"/>
  <c r="CZ17" i="7"/>
  <c r="CY17" i="7"/>
  <c r="CX17" i="7"/>
  <c r="CW17" i="7"/>
  <c r="DJ16" i="7"/>
  <c r="DI16" i="7"/>
  <c r="DH16" i="7"/>
  <c r="DG16" i="7"/>
  <c r="DF16" i="7"/>
  <c r="DE16" i="7"/>
  <c r="DD16" i="7"/>
  <c r="DC16" i="7"/>
  <c r="DB16" i="7"/>
  <c r="DA16" i="7"/>
  <c r="CZ16" i="7"/>
  <c r="CY16" i="7"/>
  <c r="CX16" i="7"/>
  <c r="CW16" i="7"/>
  <c r="DJ15" i="7"/>
  <c r="DI15" i="7"/>
  <c r="DH15" i="7"/>
  <c r="DG15" i="7"/>
  <c r="DF15" i="7"/>
  <c r="DE15" i="7"/>
  <c r="DD15" i="7"/>
  <c r="DC15" i="7"/>
  <c r="DB15" i="7"/>
  <c r="DA15" i="7"/>
  <c r="CZ15" i="7"/>
  <c r="CY15" i="7"/>
  <c r="CX15" i="7"/>
  <c r="CW15" i="7"/>
  <c r="DJ14" i="7"/>
  <c r="DI14" i="7"/>
  <c r="DH14" i="7"/>
  <c r="DG14" i="7"/>
  <c r="DF14" i="7"/>
  <c r="DE14" i="7"/>
  <c r="DD14" i="7"/>
  <c r="DC14" i="7"/>
  <c r="DB14" i="7"/>
  <c r="DA14" i="7"/>
  <c r="CZ14" i="7"/>
  <c r="CY14" i="7"/>
  <c r="CX14" i="7"/>
  <c r="CW14" i="7"/>
  <c r="DJ13" i="7"/>
  <c r="DI13" i="7"/>
  <c r="DH13" i="7"/>
  <c r="DG13" i="7"/>
  <c r="DF13" i="7"/>
  <c r="DE13" i="7"/>
  <c r="DD13" i="7"/>
  <c r="DC13" i="7"/>
  <c r="DB13" i="7"/>
  <c r="DA13" i="7"/>
  <c r="CZ13" i="7"/>
  <c r="CY13" i="7"/>
  <c r="CX13" i="7"/>
  <c r="CW13" i="7"/>
  <c r="DJ12" i="7"/>
  <c r="DI12" i="7"/>
  <c r="DH12" i="7"/>
  <c r="DG12" i="7"/>
  <c r="DF12" i="7"/>
  <c r="DE12" i="7"/>
  <c r="DD12" i="7"/>
  <c r="DC12" i="7"/>
  <c r="DB12" i="7"/>
  <c r="DA12" i="7"/>
  <c r="CZ12" i="7"/>
  <c r="CY12" i="7"/>
  <c r="CX12" i="7"/>
  <c r="CW12" i="7"/>
  <c r="DJ11" i="7"/>
  <c r="DI11" i="7"/>
  <c r="DH11" i="7"/>
  <c r="DG11" i="7"/>
  <c r="DF11" i="7"/>
  <c r="DE11" i="7"/>
  <c r="DD11" i="7"/>
  <c r="DC11" i="7"/>
  <c r="DB11" i="7"/>
  <c r="DA11" i="7"/>
  <c r="CZ11" i="7"/>
  <c r="CY11" i="7"/>
  <c r="CX11" i="7"/>
  <c r="CW11" i="7"/>
  <c r="DJ10" i="7"/>
  <c r="DI10" i="7"/>
  <c r="DH10" i="7"/>
  <c r="DG10" i="7"/>
  <c r="DF10" i="7"/>
  <c r="DE10" i="7"/>
  <c r="DD10" i="7"/>
  <c r="DC10" i="7"/>
  <c r="DB10" i="7"/>
  <c r="DA10" i="7"/>
  <c r="CZ10" i="7"/>
  <c r="CY10" i="7"/>
  <c r="CX10" i="7"/>
  <c r="CW10" i="7"/>
  <c r="DJ9" i="7"/>
  <c r="DI9" i="7"/>
  <c r="DH9" i="7"/>
  <c r="DG9" i="7"/>
  <c r="DF9" i="7"/>
  <c r="DE9" i="7"/>
  <c r="DD9" i="7"/>
  <c r="DC9" i="7"/>
  <c r="DB9" i="7"/>
  <c r="DA9" i="7"/>
  <c r="CZ9" i="7"/>
  <c r="CY9" i="7"/>
  <c r="CX9" i="7"/>
  <c r="CW9" i="7"/>
  <c r="DJ8" i="7"/>
  <c r="DI8" i="7"/>
  <c r="DH8" i="7"/>
  <c r="DG8" i="7"/>
  <c r="DF8" i="7"/>
  <c r="DE8" i="7"/>
  <c r="DD8" i="7"/>
  <c r="DC8" i="7"/>
  <c r="DB8" i="7"/>
  <c r="DA8" i="7"/>
  <c r="CZ8" i="7"/>
  <c r="CY8" i="7"/>
  <c r="CX8" i="7"/>
  <c r="CW8" i="7"/>
  <c r="DJ7" i="7"/>
  <c r="DI7" i="7"/>
  <c r="DH7" i="7"/>
  <c r="DG7" i="7"/>
  <c r="DF7" i="7"/>
  <c r="DE7" i="7"/>
  <c r="DD7" i="7"/>
  <c r="DC7" i="7"/>
  <c r="DB7" i="7"/>
  <c r="DA7" i="7"/>
  <c r="CZ7" i="7"/>
  <c r="CY7" i="7"/>
  <c r="CX7" i="7"/>
  <c r="CW7" i="7"/>
  <c r="DJ6" i="7"/>
  <c r="DI6" i="7"/>
  <c r="DH6" i="7"/>
  <c r="DG6" i="7"/>
  <c r="DF6" i="7"/>
  <c r="DE6" i="7"/>
  <c r="DD6" i="7"/>
  <c r="DC6" i="7"/>
  <c r="DB6" i="7"/>
  <c r="DA6" i="7"/>
  <c r="CZ6" i="7"/>
  <c r="CY6" i="7"/>
  <c r="CX6" i="7"/>
  <c r="CW6" i="7"/>
  <c r="DJ5" i="7"/>
  <c r="DI5" i="7"/>
  <c r="DH5" i="7"/>
  <c r="DG5" i="7"/>
  <c r="DF5" i="7"/>
  <c r="DE5" i="7"/>
  <c r="DD5" i="7"/>
  <c r="DC5" i="7"/>
  <c r="DB5" i="7"/>
  <c r="DA5" i="7"/>
  <c r="CZ5" i="7"/>
  <c r="CY5" i="7"/>
  <c r="CX5" i="7"/>
  <c r="CW5" i="7"/>
  <c r="AK18" i="7" l="1"/>
  <c r="AK17" i="7"/>
  <c r="AK22" i="7"/>
  <c r="AK14" i="7"/>
  <c r="DL33" i="7"/>
  <c r="DP33" i="7"/>
  <c r="DT33" i="7"/>
  <c r="DX33" i="7"/>
  <c r="CX33" i="7"/>
  <c r="DB33" i="7"/>
  <c r="DJ33" i="7"/>
  <c r="DL35" i="7"/>
  <c r="EC35" i="7" s="1"/>
  <c r="DL39" i="7"/>
  <c r="EC39" i="7" s="1"/>
  <c r="DL43" i="7"/>
  <c r="EC43" i="7" s="1"/>
  <c r="DL47" i="7"/>
  <c r="EC47" i="7" s="1"/>
  <c r="CW43" i="7"/>
  <c r="EB43" i="7" s="1"/>
  <c r="DN33" i="7"/>
  <c r="DR33" i="7"/>
  <c r="DV33" i="7"/>
  <c r="DO33" i="7"/>
  <c r="DS33" i="7"/>
  <c r="DW33" i="7"/>
  <c r="DM33" i="7"/>
  <c r="DQ33" i="7"/>
  <c r="DU33" i="7"/>
  <c r="DY33" i="7"/>
  <c r="CY33" i="7"/>
  <c r="DC33" i="7"/>
  <c r="DG33" i="7"/>
  <c r="DL36" i="7"/>
  <c r="EC36" i="7" s="1"/>
  <c r="DL40" i="7"/>
  <c r="EC40" i="7" s="1"/>
  <c r="DL44" i="7"/>
  <c r="EC44" i="7" s="1"/>
  <c r="DD33" i="7"/>
  <c r="CW33" i="7"/>
  <c r="DA33" i="7"/>
  <c r="DE33" i="7"/>
  <c r="DI33" i="7"/>
  <c r="DL34" i="7"/>
  <c r="EC34" i="7" s="1"/>
  <c r="DL38" i="7"/>
  <c r="EC38" i="7" s="1"/>
  <c r="DL42" i="7"/>
  <c r="EC42" i="7" s="1"/>
  <c r="DL46" i="7"/>
  <c r="EC46" i="7" s="1"/>
  <c r="CZ33" i="7"/>
  <c r="DH33" i="7"/>
  <c r="DL37" i="7"/>
  <c r="EC37" i="7" s="1"/>
  <c r="DL41" i="7"/>
  <c r="EC41" i="7" s="1"/>
  <c r="DL45" i="7"/>
  <c r="EC45" i="7" s="1"/>
  <c r="DF33" i="7"/>
  <c r="CW42" i="7"/>
  <c r="EB42" i="7" s="1"/>
  <c r="CW46" i="7"/>
  <c r="EB46" i="7" s="1"/>
  <c r="CW36" i="7"/>
  <c r="EB36" i="7" s="1"/>
  <c r="CW40" i="7"/>
  <c r="EB40" i="7" s="1"/>
  <c r="CW47" i="7"/>
  <c r="EB47" i="7" s="1"/>
  <c r="CW37" i="7"/>
  <c r="EB37" i="7" s="1"/>
  <c r="CW34" i="7"/>
  <c r="EB34" i="7" s="1"/>
  <c r="CW38" i="7"/>
  <c r="EB38" i="7" s="1"/>
  <c r="CW44" i="7"/>
  <c r="EB44" i="7" s="1"/>
  <c r="CW41" i="7"/>
  <c r="EB41" i="7" s="1"/>
  <c r="CW35" i="7"/>
  <c r="EB35" i="7" s="1"/>
  <c r="CW39" i="7"/>
  <c r="EB39" i="7" s="1"/>
  <c r="CW45" i="7"/>
  <c r="EB45" i="7" s="1"/>
  <c r="AK9" i="7" l="1"/>
  <c r="AK10" i="7"/>
  <c r="AK11" i="7"/>
  <c r="ED39" i="7"/>
  <c r="ED47" i="7"/>
  <c r="ED43" i="7"/>
  <c r="ED35" i="7"/>
  <c r="ED45" i="7"/>
  <c r="ED34" i="7"/>
  <c r="ED36" i="7"/>
  <c r="ED41" i="7"/>
  <c r="ED46" i="7"/>
  <c r="ED37" i="7"/>
  <c r="ED42" i="7"/>
  <c r="ED44" i="7"/>
  <c r="ED38" i="7"/>
  <c r="ED40" i="7"/>
  <c r="AL17" i="7" l="1"/>
  <c r="AL8" i="7"/>
  <c r="AL10" i="7"/>
  <c r="AL22" i="7"/>
  <c r="AL18" i="7"/>
  <c r="AL7" i="7"/>
  <c r="AL16" i="7"/>
  <c r="AL20" i="7"/>
  <c r="AL19" i="7"/>
  <c r="AL21" i="7"/>
  <c r="AL12" i="7"/>
  <c r="AL15" i="7"/>
  <c r="AL9" i="7"/>
  <c r="AL6" i="7"/>
  <c r="AL5" i="7"/>
  <c r="AL14" i="7"/>
  <c r="AL11" i="7"/>
  <c r="AL13" i="7"/>
  <c r="BJ150" i="7" l="1"/>
  <c r="BH150" i="7"/>
  <c r="BI150" i="7" s="1"/>
  <c r="BF150" i="7"/>
  <c r="BG150" i="7" s="1"/>
  <c r="BD150" i="7"/>
  <c r="BE150" i="7" s="1"/>
  <c r="BB150" i="7"/>
  <c r="BC150" i="7" s="1"/>
  <c r="AZ150" i="7"/>
  <c r="BA150" i="7" s="1"/>
  <c r="AX150" i="7"/>
  <c r="AY150" i="7" s="1"/>
  <c r="AV150" i="7"/>
  <c r="AW150" i="7" s="1"/>
  <c r="AT150" i="7"/>
  <c r="AU150" i="7" s="1"/>
  <c r="AR150" i="7"/>
  <c r="AS150" i="7" s="1"/>
  <c r="BJ149" i="7"/>
  <c r="BH149" i="7"/>
  <c r="BI149" i="7" s="1"/>
  <c r="BF149" i="7"/>
  <c r="BG149" i="7" s="1"/>
  <c r="BD149" i="7"/>
  <c r="BE149" i="7" s="1"/>
  <c r="BB149" i="7"/>
  <c r="BC149" i="7" s="1"/>
  <c r="AZ149" i="7"/>
  <c r="BA149" i="7" s="1"/>
  <c r="AX149" i="7"/>
  <c r="AY149" i="7" s="1"/>
  <c r="AV149" i="7"/>
  <c r="AW149" i="7" s="1"/>
  <c r="AT149" i="7"/>
  <c r="AU149" i="7" s="1"/>
  <c r="AR149" i="7"/>
  <c r="AS149" i="7" s="1"/>
  <c r="BJ148" i="7"/>
  <c r="BH148" i="7"/>
  <c r="BI148" i="7" s="1"/>
  <c r="BF148" i="7"/>
  <c r="BG148" i="7" s="1"/>
  <c r="BD148" i="7"/>
  <c r="BE148" i="7" s="1"/>
  <c r="BB148" i="7"/>
  <c r="BC148" i="7" s="1"/>
  <c r="AZ148" i="7"/>
  <c r="BA148" i="7" s="1"/>
  <c r="AX148" i="7"/>
  <c r="AY148" i="7" s="1"/>
  <c r="AV148" i="7"/>
  <c r="AW148" i="7" s="1"/>
  <c r="AT148" i="7"/>
  <c r="AU148" i="7" s="1"/>
  <c r="AR148" i="7"/>
  <c r="AS148" i="7" s="1"/>
  <c r="BJ147" i="7"/>
  <c r="BH147" i="7"/>
  <c r="BI147" i="7" s="1"/>
  <c r="BF147" i="7"/>
  <c r="BG147" i="7" s="1"/>
  <c r="BD147" i="7"/>
  <c r="BE147" i="7" s="1"/>
  <c r="BB147" i="7"/>
  <c r="BC147" i="7" s="1"/>
  <c r="AZ147" i="7"/>
  <c r="BA147" i="7" s="1"/>
  <c r="AX147" i="7"/>
  <c r="AY147" i="7" s="1"/>
  <c r="AV147" i="7"/>
  <c r="AW147" i="7" s="1"/>
  <c r="AT147" i="7"/>
  <c r="AU147" i="7" s="1"/>
  <c r="AR147" i="7"/>
  <c r="AS147" i="7" s="1"/>
  <c r="BJ146" i="7"/>
  <c r="BH146" i="7"/>
  <c r="BI146" i="7" s="1"/>
  <c r="BF146" i="7"/>
  <c r="BG146" i="7" s="1"/>
  <c r="BD146" i="7"/>
  <c r="BE146" i="7" s="1"/>
  <c r="BB146" i="7"/>
  <c r="BC146" i="7" s="1"/>
  <c r="AZ146" i="7"/>
  <c r="BA146" i="7" s="1"/>
  <c r="AX146" i="7"/>
  <c r="AY146" i="7" s="1"/>
  <c r="AV146" i="7"/>
  <c r="AW146" i="7" s="1"/>
  <c r="AT146" i="7"/>
  <c r="AU146" i="7" s="1"/>
  <c r="AR146" i="7"/>
  <c r="AS146" i="7" s="1"/>
  <c r="BJ145" i="7"/>
  <c r="BH145" i="7"/>
  <c r="BI145" i="7" s="1"/>
  <c r="BF145" i="7"/>
  <c r="BG145" i="7" s="1"/>
  <c r="BD145" i="7"/>
  <c r="BE145" i="7" s="1"/>
  <c r="BB145" i="7"/>
  <c r="BC145" i="7" s="1"/>
  <c r="AZ145" i="7"/>
  <c r="BA145" i="7" s="1"/>
  <c r="AX145" i="7"/>
  <c r="AY145" i="7" s="1"/>
  <c r="AV145" i="7"/>
  <c r="AW145" i="7" s="1"/>
  <c r="AT145" i="7"/>
  <c r="AU145" i="7" s="1"/>
  <c r="AR145" i="7"/>
  <c r="AS145" i="7" s="1"/>
  <c r="BJ144" i="7"/>
  <c r="BH144" i="7"/>
  <c r="BI144" i="7" s="1"/>
  <c r="BF144" i="7"/>
  <c r="BG144" i="7" s="1"/>
  <c r="BD144" i="7"/>
  <c r="BE144" i="7" s="1"/>
  <c r="BB144" i="7"/>
  <c r="BC144" i="7" s="1"/>
  <c r="AZ144" i="7"/>
  <c r="BA144" i="7" s="1"/>
  <c r="AX144" i="7"/>
  <c r="AY144" i="7" s="1"/>
  <c r="AV144" i="7"/>
  <c r="AW144" i="7" s="1"/>
  <c r="AT144" i="7"/>
  <c r="AU144" i="7" s="1"/>
  <c r="AR144" i="7"/>
  <c r="AS144" i="7" s="1"/>
  <c r="BJ143" i="7"/>
  <c r="BH143" i="7"/>
  <c r="BI143" i="7" s="1"/>
  <c r="BF143" i="7"/>
  <c r="BG143" i="7" s="1"/>
  <c r="BD143" i="7"/>
  <c r="BE143" i="7" s="1"/>
  <c r="BB143" i="7"/>
  <c r="BC143" i="7" s="1"/>
  <c r="AZ143" i="7"/>
  <c r="BA143" i="7" s="1"/>
  <c r="AX143" i="7"/>
  <c r="AY143" i="7" s="1"/>
  <c r="AV143" i="7"/>
  <c r="AW143" i="7" s="1"/>
  <c r="AT143" i="7"/>
  <c r="AU143" i="7" s="1"/>
  <c r="AR143" i="7"/>
  <c r="AS143" i="7" s="1"/>
  <c r="BJ142" i="7"/>
  <c r="BH142" i="7"/>
  <c r="BI142" i="7" s="1"/>
  <c r="BF142" i="7"/>
  <c r="BG142" i="7" s="1"/>
  <c r="BD142" i="7"/>
  <c r="BE142" i="7" s="1"/>
  <c r="BB142" i="7"/>
  <c r="BC142" i="7" s="1"/>
  <c r="AZ142" i="7"/>
  <c r="BA142" i="7" s="1"/>
  <c r="AX142" i="7"/>
  <c r="AY142" i="7" s="1"/>
  <c r="AV142" i="7"/>
  <c r="AW142" i="7" s="1"/>
  <c r="AT142" i="7"/>
  <c r="AU142" i="7" s="1"/>
  <c r="AR142" i="7"/>
  <c r="AS142" i="7" s="1"/>
  <c r="BJ141" i="7"/>
  <c r="BH141" i="7"/>
  <c r="BI141" i="7" s="1"/>
  <c r="BF141" i="7"/>
  <c r="BG141" i="7" s="1"/>
  <c r="BD141" i="7"/>
  <c r="BE141" i="7" s="1"/>
  <c r="BB141" i="7"/>
  <c r="BC141" i="7" s="1"/>
  <c r="AZ141" i="7"/>
  <c r="BA141" i="7" s="1"/>
  <c r="AX141" i="7"/>
  <c r="AY141" i="7" s="1"/>
  <c r="AV141" i="7"/>
  <c r="AW141" i="7" s="1"/>
  <c r="AT141" i="7"/>
  <c r="AU141" i="7" s="1"/>
  <c r="AR141" i="7"/>
  <c r="AS141" i="7" s="1"/>
  <c r="BJ140" i="7"/>
  <c r="BH140" i="7"/>
  <c r="BI140" i="7" s="1"/>
  <c r="BF140" i="7"/>
  <c r="BG140" i="7" s="1"/>
  <c r="BD140" i="7"/>
  <c r="BE140" i="7" s="1"/>
  <c r="BB140" i="7"/>
  <c r="BC140" i="7" s="1"/>
  <c r="AZ140" i="7"/>
  <c r="BA140" i="7" s="1"/>
  <c r="AX140" i="7"/>
  <c r="AY140" i="7" s="1"/>
  <c r="AV140" i="7"/>
  <c r="AW140" i="7" s="1"/>
  <c r="AT140" i="7"/>
  <c r="AU140" i="7" s="1"/>
  <c r="AR140" i="7"/>
  <c r="AS140" i="7" s="1"/>
  <c r="BJ139" i="7"/>
  <c r="BH139" i="7"/>
  <c r="BI139" i="7" s="1"/>
  <c r="BF139" i="7"/>
  <c r="BG139" i="7" s="1"/>
  <c r="BD139" i="7"/>
  <c r="BE139" i="7" s="1"/>
  <c r="BB139" i="7"/>
  <c r="BC139" i="7" s="1"/>
  <c r="AZ139" i="7"/>
  <c r="BA139" i="7" s="1"/>
  <c r="AX139" i="7"/>
  <c r="AY139" i="7" s="1"/>
  <c r="AV139" i="7"/>
  <c r="AW139" i="7" s="1"/>
  <c r="AT139" i="7"/>
  <c r="AU139" i="7" s="1"/>
  <c r="AR139" i="7"/>
  <c r="AS139" i="7" s="1"/>
  <c r="BJ138" i="7"/>
  <c r="BH138" i="7"/>
  <c r="BI138" i="7" s="1"/>
  <c r="BF138" i="7"/>
  <c r="BG138" i="7" s="1"/>
  <c r="BD138" i="7"/>
  <c r="BE138" i="7" s="1"/>
  <c r="BB138" i="7"/>
  <c r="BC138" i="7" s="1"/>
  <c r="AZ138" i="7"/>
  <c r="BA138" i="7" s="1"/>
  <c r="AX138" i="7"/>
  <c r="AY138" i="7" s="1"/>
  <c r="AV138" i="7"/>
  <c r="AW138" i="7" s="1"/>
  <c r="AT138" i="7"/>
  <c r="AU138" i="7" s="1"/>
  <c r="AR138" i="7"/>
  <c r="AS138" i="7" s="1"/>
  <c r="BJ137" i="7"/>
  <c r="BH137" i="7"/>
  <c r="BI137" i="7" s="1"/>
  <c r="BF137" i="7"/>
  <c r="BG137" i="7" s="1"/>
  <c r="BD137" i="7"/>
  <c r="BE137" i="7" s="1"/>
  <c r="BB137" i="7"/>
  <c r="BC137" i="7" s="1"/>
  <c r="AZ137" i="7"/>
  <c r="BA137" i="7" s="1"/>
  <c r="AX137" i="7"/>
  <c r="AY137" i="7" s="1"/>
  <c r="AV137" i="7"/>
  <c r="AW137" i="7" s="1"/>
  <c r="AT137" i="7"/>
  <c r="AU137" i="7" s="1"/>
  <c r="AR137" i="7"/>
  <c r="AS137" i="7" s="1"/>
  <c r="BJ136" i="7"/>
  <c r="BH136" i="7"/>
  <c r="BI136" i="7" s="1"/>
  <c r="BF136" i="7"/>
  <c r="BG136" i="7" s="1"/>
  <c r="BD136" i="7"/>
  <c r="BE136" i="7" s="1"/>
  <c r="BB136" i="7"/>
  <c r="BC136" i="7" s="1"/>
  <c r="AZ136" i="7"/>
  <c r="BA136" i="7" s="1"/>
  <c r="AX136" i="7"/>
  <c r="AY136" i="7" s="1"/>
  <c r="AV136" i="7"/>
  <c r="AW136" i="7" s="1"/>
  <c r="AT136" i="7"/>
  <c r="AU136" i="7" s="1"/>
  <c r="AR136" i="7"/>
  <c r="AS136" i="7" s="1"/>
  <c r="BJ135" i="7"/>
  <c r="BH135" i="7"/>
  <c r="BI135" i="7" s="1"/>
  <c r="BF135" i="7"/>
  <c r="BG135" i="7" s="1"/>
  <c r="BD135" i="7"/>
  <c r="BE135" i="7" s="1"/>
  <c r="BB135" i="7"/>
  <c r="BC135" i="7" s="1"/>
  <c r="AZ135" i="7"/>
  <c r="BA135" i="7" s="1"/>
  <c r="AX135" i="7"/>
  <c r="AY135" i="7" s="1"/>
  <c r="AV135" i="7"/>
  <c r="AW135" i="7" s="1"/>
  <c r="AT135" i="7"/>
  <c r="AU135" i="7" s="1"/>
  <c r="AR135" i="7"/>
  <c r="AS135" i="7" s="1"/>
  <c r="BJ134" i="7"/>
  <c r="BH134" i="7"/>
  <c r="BI134" i="7" s="1"/>
  <c r="BF134" i="7"/>
  <c r="BG134" i="7" s="1"/>
  <c r="BD134" i="7"/>
  <c r="BE134" i="7" s="1"/>
  <c r="BB134" i="7"/>
  <c r="BC134" i="7" s="1"/>
  <c r="AZ134" i="7"/>
  <c r="BA134" i="7" s="1"/>
  <c r="AX134" i="7"/>
  <c r="AY134" i="7" s="1"/>
  <c r="AV134" i="7"/>
  <c r="AW134" i="7" s="1"/>
  <c r="AT134" i="7"/>
  <c r="AU134" i="7" s="1"/>
  <c r="AR134" i="7"/>
  <c r="AS134" i="7" s="1"/>
  <c r="BJ133" i="7"/>
  <c r="BH133" i="7"/>
  <c r="BI133" i="7" s="1"/>
  <c r="BF133" i="7"/>
  <c r="BG133" i="7" s="1"/>
  <c r="BD133" i="7"/>
  <c r="BE133" i="7" s="1"/>
  <c r="BB133" i="7"/>
  <c r="BC133" i="7" s="1"/>
  <c r="AZ133" i="7"/>
  <c r="BA133" i="7" s="1"/>
  <c r="AX133" i="7"/>
  <c r="AY133" i="7" s="1"/>
  <c r="AV133" i="7"/>
  <c r="AW133" i="7" s="1"/>
  <c r="AT133" i="7"/>
  <c r="AU133" i="7" s="1"/>
  <c r="AR133" i="7"/>
  <c r="AS133" i="7" s="1"/>
  <c r="BJ132" i="7"/>
  <c r="BH132" i="7"/>
  <c r="BI132" i="7" s="1"/>
  <c r="BF132" i="7"/>
  <c r="BG132" i="7" s="1"/>
  <c r="BD132" i="7"/>
  <c r="BE132" i="7" s="1"/>
  <c r="BB132" i="7"/>
  <c r="BC132" i="7" s="1"/>
  <c r="AZ132" i="7"/>
  <c r="BA132" i="7" s="1"/>
  <c r="AX132" i="7"/>
  <c r="AY132" i="7" s="1"/>
  <c r="AV132" i="7"/>
  <c r="AW132" i="7" s="1"/>
  <c r="AT132" i="7"/>
  <c r="AU132" i="7" s="1"/>
  <c r="AR132" i="7"/>
  <c r="AS132" i="7" s="1"/>
  <c r="BJ131" i="7"/>
  <c r="BH131" i="7"/>
  <c r="BI131" i="7" s="1"/>
  <c r="BF131" i="7"/>
  <c r="BG131" i="7" s="1"/>
  <c r="BD131" i="7"/>
  <c r="BE131" i="7" s="1"/>
  <c r="BB131" i="7"/>
  <c r="BC131" i="7" s="1"/>
  <c r="AZ131" i="7"/>
  <c r="BA131" i="7" s="1"/>
  <c r="AX131" i="7"/>
  <c r="AY131" i="7" s="1"/>
  <c r="AV131" i="7"/>
  <c r="AW131" i="7" s="1"/>
  <c r="AT131" i="7"/>
  <c r="AU131" i="7" s="1"/>
  <c r="AR131" i="7"/>
  <c r="AS131" i="7" s="1"/>
  <c r="BJ130" i="7"/>
  <c r="BH130" i="7"/>
  <c r="BI130" i="7" s="1"/>
  <c r="BF130" i="7"/>
  <c r="BG130" i="7" s="1"/>
  <c r="BD130" i="7"/>
  <c r="BE130" i="7" s="1"/>
  <c r="BB130" i="7"/>
  <c r="BC130" i="7" s="1"/>
  <c r="AZ130" i="7"/>
  <c r="BA130" i="7" s="1"/>
  <c r="AX130" i="7"/>
  <c r="AY130" i="7" s="1"/>
  <c r="AV130" i="7"/>
  <c r="AW130" i="7" s="1"/>
  <c r="AT130" i="7"/>
  <c r="AU130" i="7" s="1"/>
  <c r="AR130" i="7"/>
  <c r="AS130" i="7" s="1"/>
  <c r="BJ129" i="7"/>
  <c r="BH129" i="7"/>
  <c r="BI129" i="7" s="1"/>
  <c r="BF129" i="7"/>
  <c r="BG129" i="7" s="1"/>
  <c r="BD129" i="7"/>
  <c r="BE129" i="7" s="1"/>
  <c r="BB129" i="7"/>
  <c r="BC129" i="7" s="1"/>
  <c r="AZ129" i="7"/>
  <c r="BA129" i="7" s="1"/>
  <c r="AX129" i="7"/>
  <c r="AY129" i="7" s="1"/>
  <c r="AV129" i="7"/>
  <c r="AW129" i="7" s="1"/>
  <c r="AT129" i="7"/>
  <c r="AU129" i="7" s="1"/>
  <c r="AR129" i="7"/>
  <c r="AS129" i="7" s="1"/>
  <c r="BJ128" i="7"/>
  <c r="BH128" i="7"/>
  <c r="BI128" i="7" s="1"/>
  <c r="BF128" i="7"/>
  <c r="BG128" i="7" s="1"/>
  <c r="BD128" i="7"/>
  <c r="BE128" i="7" s="1"/>
  <c r="BB128" i="7"/>
  <c r="BC128" i="7" s="1"/>
  <c r="AZ128" i="7"/>
  <c r="BA128" i="7" s="1"/>
  <c r="AX128" i="7"/>
  <c r="AY128" i="7" s="1"/>
  <c r="AV128" i="7"/>
  <c r="AW128" i="7" s="1"/>
  <c r="AT128" i="7"/>
  <c r="AU128" i="7" s="1"/>
  <c r="AR128" i="7"/>
  <c r="AS128" i="7" s="1"/>
  <c r="BJ127" i="7"/>
  <c r="BH127" i="7"/>
  <c r="BI127" i="7" s="1"/>
  <c r="BF127" i="7"/>
  <c r="BG127" i="7" s="1"/>
  <c r="BD127" i="7"/>
  <c r="BE127" i="7" s="1"/>
  <c r="BB127" i="7"/>
  <c r="BC127" i="7" s="1"/>
  <c r="AZ127" i="7"/>
  <c r="BA127" i="7" s="1"/>
  <c r="AX127" i="7"/>
  <c r="AY127" i="7" s="1"/>
  <c r="AV127" i="7"/>
  <c r="AW127" i="7" s="1"/>
  <c r="AT127" i="7"/>
  <c r="AU127" i="7" s="1"/>
  <c r="AR127" i="7"/>
  <c r="AS127" i="7" s="1"/>
  <c r="BJ126" i="7"/>
  <c r="BH126" i="7"/>
  <c r="BI126" i="7" s="1"/>
  <c r="BF126" i="7"/>
  <c r="BG126" i="7" s="1"/>
  <c r="BD126" i="7"/>
  <c r="BE126" i="7" s="1"/>
  <c r="BB126" i="7"/>
  <c r="BC126" i="7" s="1"/>
  <c r="AZ126" i="7"/>
  <c r="BA126" i="7" s="1"/>
  <c r="AX126" i="7"/>
  <c r="AY126" i="7" s="1"/>
  <c r="AV126" i="7"/>
  <c r="AW126" i="7" s="1"/>
  <c r="AT126" i="7"/>
  <c r="AU126" i="7" s="1"/>
  <c r="AR126" i="7"/>
  <c r="AS126" i="7" s="1"/>
  <c r="BJ125" i="7"/>
  <c r="BH125" i="7"/>
  <c r="BI125" i="7" s="1"/>
  <c r="BF125" i="7"/>
  <c r="BG125" i="7" s="1"/>
  <c r="BD125" i="7"/>
  <c r="BE125" i="7" s="1"/>
  <c r="BB125" i="7"/>
  <c r="BC125" i="7" s="1"/>
  <c r="AZ125" i="7"/>
  <c r="BA125" i="7" s="1"/>
  <c r="AX125" i="7"/>
  <c r="AY125" i="7" s="1"/>
  <c r="AV125" i="7"/>
  <c r="AW125" i="7" s="1"/>
  <c r="AT125" i="7"/>
  <c r="AU125" i="7" s="1"/>
  <c r="AR125" i="7"/>
  <c r="AS125" i="7" s="1"/>
  <c r="BJ124" i="7"/>
  <c r="BH124" i="7"/>
  <c r="BI124" i="7" s="1"/>
  <c r="BF124" i="7"/>
  <c r="BG124" i="7" s="1"/>
  <c r="BD124" i="7"/>
  <c r="BE124" i="7" s="1"/>
  <c r="BB124" i="7"/>
  <c r="BC124" i="7" s="1"/>
  <c r="AZ124" i="7"/>
  <c r="BA124" i="7" s="1"/>
  <c r="AX124" i="7"/>
  <c r="AY124" i="7" s="1"/>
  <c r="AV124" i="7"/>
  <c r="AW124" i="7" s="1"/>
  <c r="AT124" i="7"/>
  <c r="AU124" i="7" s="1"/>
  <c r="AR124" i="7"/>
  <c r="AS124" i="7" s="1"/>
  <c r="BJ123" i="7"/>
  <c r="BH123" i="7"/>
  <c r="BI123" i="7" s="1"/>
  <c r="BF123" i="7"/>
  <c r="BG123" i="7" s="1"/>
  <c r="BD123" i="7"/>
  <c r="BE123" i="7" s="1"/>
  <c r="BB123" i="7"/>
  <c r="BC123" i="7" s="1"/>
  <c r="AZ123" i="7"/>
  <c r="BA123" i="7" s="1"/>
  <c r="AX123" i="7"/>
  <c r="AY123" i="7" s="1"/>
  <c r="AV123" i="7"/>
  <c r="AW123" i="7" s="1"/>
  <c r="AT123" i="7"/>
  <c r="AU123" i="7" s="1"/>
  <c r="AR123" i="7"/>
  <c r="AS123" i="7" s="1"/>
  <c r="BJ122" i="7"/>
  <c r="BH122" i="7"/>
  <c r="BI122" i="7" s="1"/>
  <c r="BF122" i="7"/>
  <c r="BG122" i="7" s="1"/>
  <c r="BD122" i="7"/>
  <c r="BE122" i="7" s="1"/>
  <c r="BB122" i="7"/>
  <c r="BC122" i="7" s="1"/>
  <c r="AZ122" i="7"/>
  <c r="BA122" i="7" s="1"/>
  <c r="AX122" i="7"/>
  <c r="AY122" i="7" s="1"/>
  <c r="AV122" i="7"/>
  <c r="AW122" i="7" s="1"/>
  <c r="AT122" i="7"/>
  <c r="AU122" i="7" s="1"/>
  <c r="AR122" i="7"/>
  <c r="AS122" i="7" s="1"/>
  <c r="BJ121" i="7"/>
  <c r="BH121" i="7"/>
  <c r="BI121" i="7" s="1"/>
  <c r="BF121" i="7"/>
  <c r="BG121" i="7" s="1"/>
  <c r="BD121" i="7"/>
  <c r="BE121" i="7" s="1"/>
  <c r="BB121" i="7"/>
  <c r="BC121" i="7" s="1"/>
  <c r="AZ121" i="7"/>
  <c r="BA121" i="7" s="1"/>
  <c r="AX121" i="7"/>
  <c r="AY121" i="7" s="1"/>
  <c r="AV121" i="7"/>
  <c r="AW121" i="7" s="1"/>
  <c r="AT121" i="7"/>
  <c r="AU121" i="7" s="1"/>
  <c r="AR121" i="7"/>
  <c r="AS121" i="7" s="1"/>
  <c r="BJ120" i="7"/>
  <c r="BH120" i="7"/>
  <c r="BI120" i="7" s="1"/>
  <c r="BF120" i="7"/>
  <c r="BG120" i="7" s="1"/>
  <c r="BD120" i="7"/>
  <c r="BE120" i="7" s="1"/>
  <c r="BB120" i="7"/>
  <c r="BC120" i="7" s="1"/>
  <c r="AZ120" i="7"/>
  <c r="BA120" i="7" s="1"/>
  <c r="AX120" i="7"/>
  <c r="AY120" i="7" s="1"/>
  <c r="AV120" i="7"/>
  <c r="AW120" i="7" s="1"/>
  <c r="AT120" i="7"/>
  <c r="AU120" i="7" s="1"/>
  <c r="AR120" i="7"/>
  <c r="AS120" i="7" s="1"/>
  <c r="BJ119" i="7"/>
  <c r="BH119" i="7"/>
  <c r="BI119" i="7" s="1"/>
  <c r="BF119" i="7"/>
  <c r="BG119" i="7" s="1"/>
  <c r="BD119" i="7"/>
  <c r="BE119" i="7" s="1"/>
  <c r="BB119" i="7"/>
  <c r="BC119" i="7" s="1"/>
  <c r="AZ119" i="7"/>
  <c r="BA119" i="7" s="1"/>
  <c r="AX119" i="7"/>
  <c r="AY119" i="7" s="1"/>
  <c r="AV119" i="7"/>
  <c r="AW119" i="7" s="1"/>
  <c r="AT119" i="7"/>
  <c r="AU119" i="7" s="1"/>
  <c r="AR119" i="7"/>
  <c r="AS119" i="7" s="1"/>
  <c r="BJ118" i="7"/>
  <c r="BH118" i="7"/>
  <c r="BI118" i="7" s="1"/>
  <c r="BF118" i="7"/>
  <c r="BG118" i="7" s="1"/>
  <c r="BD118" i="7"/>
  <c r="BE118" i="7" s="1"/>
  <c r="BB118" i="7"/>
  <c r="BC118" i="7" s="1"/>
  <c r="AZ118" i="7"/>
  <c r="BA118" i="7" s="1"/>
  <c r="AX118" i="7"/>
  <c r="AY118" i="7" s="1"/>
  <c r="AV118" i="7"/>
  <c r="AW118" i="7" s="1"/>
  <c r="AT118" i="7"/>
  <c r="AU118" i="7" s="1"/>
  <c r="AR118" i="7"/>
  <c r="AS118" i="7" s="1"/>
  <c r="BJ117" i="7"/>
  <c r="BH117" i="7"/>
  <c r="BI117" i="7" s="1"/>
  <c r="BF117" i="7"/>
  <c r="BG117" i="7" s="1"/>
  <c r="BD117" i="7"/>
  <c r="BE117" i="7" s="1"/>
  <c r="BB117" i="7"/>
  <c r="BC117" i="7" s="1"/>
  <c r="AZ117" i="7"/>
  <c r="BA117" i="7" s="1"/>
  <c r="AX117" i="7"/>
  <c r="AY117" i="7" s="1"/>
  <c r="AV117" i="7"/>
  <c r="AW117" i="7" s="1"/>
  <c r="AT117" i="7"/>
  <c r="AU117" i="7" s="1"/>
  <c r="AR117" i="7"/>
  <c r="AS117" i="7" s="1"/>
  <c r="BJ116" i="7"/>
  <c r="BH116" i="7"/>
  <c r="BI116" i="7" s="1"/>
  <c r="BF116" i="7"/>
  <c r="BG116" i="7" s="1"/>
  <c r="BD116" i="7"/>
  <c r="BE116" i="7" s="1"/>
  <c r="BB116" i="7"/>
  <c r="BC116" i="7" s="1"/>
  <c r="AZ116" i="7"/>
  <c r="BA116" i="7" s="1"/>
  <c r="AX116" i="7"/>
  <c r="AY116" i="7" s="1"/>
  <c r="AV116" i="7"/>
  <c r="AW116" i="7" s="1"/>
  <c r="AT116" i="7"/>
  <c r="AU116" i="7" s="1"/>
  <c r="AR116" i="7"/>
  <c r="AS116" i="7" s="1"/>
  <c r="BJ115" i="7"/>
  <c r="BH115" i="7"/>
  <c r="BI115" i="7" s="1"/>
  <c r="BF115" i="7"/>
  <c r="BG115" i="7" s="1"/>
  <c r="BD115" i="7"/>
  <c r="BE115" i="7" s="1"/>
  <c r="BB115" i="7"/>
  <c r="BC115" i="7" s="1"/>
  <c r="AZ115" i="7"/>
  <c r="BA115" i="7" s="1"/>
  <c r="AX115" i="7"/>
  <c r="AY115" i="7" s="1"/>
  <c r="AV115" i="7"/>
  <c r="AW115" i="7" s="1"/>
  <c r="AT115" i="7"/>
  <c r="AU115" i="7" s="1"/>
  <c r="AR115" i="7"/>
  <c r="AS115" i="7" s="1"/>
  <c r="BJ114" i="7"/>
  <c r="BH114" i="7"/>
  <c r="BI114" i="7" s="1"/>
  <c r="BF114" i="7"/>
  <c r="BG114" i="7" s="1"/>
  <c r="BD114" i="7"/>
  <c r="BE114" i="7" s="1"/>
  <c r="BB114" i="7"/>
  <c r="BC114" i="7" s="1"/>
  <c r="AZ114" i="7"/>
  <c r="BA114" i="7" s="1"/>
  <c r="AX114" i="7"/>
  <c r="AY114" i="7" s="1"/>
  <c r="AV114" i="7"/>
  <c r="AW114" i="7" s="1"/>
  <c r="AT114" i="7"/>
  <c r="AU114" i="7" s="1"/>
  <c r="AR114" i="7"/>
  <c r="AS114" i="7" s="1"/>
  <c r="BJ113" i="7"/>
  <c r="BH113" i="7"/>
  <c r="BI113" i="7" s="1"/>
  <c r="BF113" i="7"/>
  <c r="BG113" i="7" s="1"/>
  <c r="BD113" i="7"/>
  <c r="BE113" i="7" s="1"/>
  <c r="BB113" i="7"/>
  <c r="BC113" i="7" s="1"/>
  <c r="AZ113" i="7"/>
  <c r="BA113" i="7" s="1"/>
  <c r="AX113" i="7"/>
  <c r="AY113" i="7" s="1"/>
  <c r="AV113" i="7"/>
  <c r="AW113" i="7" s="1"/>
  <c r="AT113" i="7"/>
  <c r="AU113" i="7" s="1"/>
  <c r="AR113" i="7"/>
  <c r="AS113" i="7" s="1"/>
  <c r="BJ112" i="7"/>
  <c r="BH112" i="7"/>
  <c r="BI112" i="7" s="1"/>
  <c r="BF112" i="7"/>
  <c r="BG112" i="7" s="1"/>
  <c r="BD112" i="7"/>
  <c r="BE112" i="7" s="1"/>
  <c r="BB112" i="7"/>
  <c r="BC112" i="7" s="1"/>
  <c r="AZ112" i="7"/>
  <c r="BA112" i="7" s="1"/>
  <c r="AX112" i="7"/>
  <c r="AY112" i="7" s="1"/>
  <c r="AV112" i="7"/>
  <c r="AW112" i="7" s="1"/>
  <c r="AT112" i="7"/>
  <c r="AU112" i="7" s="1"/>
  <c r="AR112" i="7"/>
  <c r="AS112" i="7" s="1"/>
  <c r="BJ111" i="7"/>
  <c r="BH111" i="7"/>
  <c r="BI111" i="7" s="1"/>
  <c r="BF111" i="7"/>
  <c r="BG111" i="7" s="1"/>
  <c r="BD111" i="7"/>
  <c r="BE111" i="7" s="1"/>
  <c r="BB111" i="7"/>
  <c r="BC111" i="7" s="1"/>
  <c r="AZ111" i="7"/>
  <c r="BA111" i="7" s="1"/>
  <c r="AX111" i="7"/>
  <c r="AY111" i="7" s="1"/>
  <c r="AV111" i="7"/>
  <c r="AW111" i="7" s="1"/>
  <c r="AT111" i="7"/>
  <c r="AU111" i="7" s="1"/>
  <c r="AR111" i="7"/>
  <c r="AS111" i="7" s="1"/>
  <c r="BJ110" i="7"/>
  <c r="BH110" i="7"/>
  <c r="BI110" i="7" s="1"/>
  <c r="BF110" i="7"/>
  <c r="BG110" i="7" s="1"/>
  <c r="BD110" i="7"/>
  <c r="BE110" i="7" s="1"/>
  <c r="BB110" i="7"/>
  <c r="BC110" i="7" s="1"/>
  <c r="AZ110" i="7"/>
  <c r="BA110" i="7" s="1"/>
  <c r="AX110" i="7"/>
  <c r="AY110" i="7" s="1"/>
  <c r="AV110" i="7"/>
  <c r="AW110" i="7" s="1"/>
  <c r="AT110" i="7"/>
  <c r="AU110" i="7" s="1"/>
  <c r="AR110" i="7"/>
  <c r="AS110" i="7" s="1"/>
  <c r="BJ109" i="7"/>
  <c r="BH109" i="7"/>
  <c r="BI109" i="7" s="1"/>
  <c r="BF109" i="7"/>
  <c r="BG109" i="7" s="1"/>
  <c r="BD109" i="7"/>
  <c r="BE109" i="7" s="1"/>
  <c r="BB109" i="7"/>
  <c r="BC109" i="7" s="1"/>
  <c r="AZ109" i="7"/>
  <c r="BA109" i="7" s="1"/>
  <c r="AX109" i="7"/>
  <c r="AY109" i="7" s="1"/>
  <c r="AV109" i="7"/>
  <c r="AW109" i="7" s="1"/>
  <c r="AT109" i="7"/>
  <c r="AU109" i="7" s="1"/>
  <c r="AR109" i="7"/>
  <c r="AS109" i="7" s="1"/>
  <c r="BJ108" i="7"/>
  <c r="BH108" i="7"/>
  <c r="BI108" i="7" s="1"/>
  <c r="BF108" i="7"/>
  <c r="BG108" i="7" s="1"/>
  <c r="BD108" i="7"/>
  <c r="BE108" i="7" s="1"/>
  <c r="BB108" i="7"/>
  <c r="BC108" i="7" s="1"/>
  <c r="AZ108" i="7"/>
  <c r="BA108" i="7" s="1"/>
  <c r="AX108" i="7"/>
  <c r="AY108" i="7" s="1"/>
  <c r="AV108" i="7"/>
  <c r="AW108" i="7" s="1"/>
  <c r="AT108" i="7"/>
  <c r="AU108" i="7" s="1"/>
  <c r="AR108" i="7"/>
  <c r="AS108" i="7" s="1"/>
  <c r="BJ107" i="7"/>
  <c r="BH107" i="7"/>
  <c r="BI107" i="7" s="1"/>
  <c r="BF107" i="7"/>
  <c r="BG107" i="7" s="1"/>
  <c r="BD107" i="7"/>
  <c r="BE107" i="7" s="1"/>
  <c r="BB107" i="7"/>
  <c r="BC107" i="7" s="1"/>
  <c r="AZ107" i="7"/>
  <c r="BA107" i="7" s="1"/>
  <c r="AX107" i="7"/>
  <c r="AY107" i="7" s="1"/>
  <c r="AV107" i="7"/>
  <c r="AW107" i="7" s="1"/>
  <c r="AT107" i="7"/>
  <c r="AU107" i="7" s="1"/>
  <c r="AR107" i="7"/>
  <c r="AS107" i="7" s="1"/>
  <c r="BJ106" i="7"/>
  <c r="BH106" i="7"/>
  <c r="BI106" i="7" s="1"/>
  <c r="BF106" i="7"/>
  <c r="BG106" i="7" s="1"/>
  <c r="BD106" i="7"/>
  <c r="BE106" i="7" s="1"/>
  <c r="BB106" i="7"/>
  <c r="BC106" i="7" s="1"/>
  <c r="AZ106" i="7"/>
  <c r="BA106" i="7" s="1"/>
  <c r="AX106" i="7"/>
  <c r="AY106" i="7" s="1"/>
  <c r="AV106" i="7"/>
  <c r="AW106" i="7" s="1"/>
  <c r="AT106" i="7"/>
  <c r="AU106" i="7" s="1"/>
  <c r="AR106" i="7"/>
  <c r="AS106" i="7" s="1"/>
  <c r="BJ105" i="7"/>
  <c r="BH105" i="7"/>
  <c r="BI105" i="7" s="1"/>
  <c r="BF105" i="7"/>
  <c r="BG105" i="7" s="1"/>
  <c r="BD105" i="7"/>
  <c r="BE105" i="7" s="1"/>
  <c r="BB105" i="7"/>
  <c r="BC105" i="7" s="1"/>
  <c r="AZ105" i="7"/>
  <c r="BA105" i="7" s="1"/>
  <c r="AX105" i="7"/>
  <c r="AY105" i="7" s="1"/>
  <c r="AV105" i="7"/>
  <c r="AW105" i="7" s="1"/>
  <c r="AT105" i="7"/>
  <c r="AU105" i="7" s="1"/>
  <c r="AR105" i="7"/>
  <c r="AS105" i="7" s="1"/>
  <c r="BJ104" i="7"/>
  <c r="BH104" i="7"/>
  <c r="BI104" i="7" s="1"/>
  <c r="BF104" i="7"/>
  <c r="BG104" i="7" s="1"/>
  <c r="BD104" i="7"/>
  <c r="BE104" i="7" s="1"/>
  <c r="BB104" i="7"/>
  <c r="BC104" i="7" s="1"/>
  <c r="AZ104" i="7"/>
  <c r="BA104" i="7" s="1"/>
  <c r="AX104" i="7"/>
  <c r="AY104" i="7" s="1"/>
  <c r="AV104" i="7"/>
  <c r="AW104" i="7" s="1"/>
  <c r="AT104" i="7"/>
  <c r="AU104" i="7" s="1"/>
  <c r="AR104" i="7"/>
  <c r="AS104" i="7" s="1"/>
  <c r="BJ103" i="7"/>
  <c r="BH103" i="7"/>
  <c r="BI103" i="7" s="1"/>
  <c r="BF103" i="7"/>
  <c r="BG103" i="7" s="1"/>
  <c r="BD103" i="7"/>
  <c r="BE103" i="7" s="1"/>
  <c r="BB103" i="7"/>
  <c r="BC103" i="7" s="1"/>
  <c r="AZ103" i="7"/>
  <c r="BA103" i="7" s="1"/>
  <c r="AX103" i="7"/>
  <c r="AY103" i="7" s="1"/>
  <c r="AV103" i="7"/>
  <c r="AW103" i="7" s="1"/>
  <c r="AT103" i="7"/>
  <c r="AU103" i="7" s="1"/>
  <c r="AR103" i="7"/>
  <c r="AS103" i="7" s="1"/>
  <c r="BJ102" i="7"/>
  <c r="BH102" i="7"/>
  <c r="BI102" i="7" s="1"/>
  <c r="BF102" i="7"/>
  <c r="BG102" i="7" s="1"/>
  <c r="BD102" i="7"/>
  <c r="BE102" i="7" s="1"/>
  <c r="BB102" i="7"/>
  <c r="BC102" i="7" s="1"/>
  <c r="AZ102" i="7"/>
  <c r="BA102" i="7" s="1"/>
  <c r="AX102" i="7"/>
  <c r="AY102" i="7" s="1"/>
  <c r="AV102" i="7"/>
  <c r="AW102" i="7" s="1"/>
  <c r="AT102" i="7"/>
  <c r="AU102" i="7" s="1"/>
  <c r="AR102" i="7"/>
  <c r="AS102" i="7" s="1"/>
  <c r="BJ101" i="7"/>
  <c r="BH101" i="7"/>
  <c r="BI101" i="7" s="1"/>
  <c r="BF101" i="7"/>
  <c r="BG101" i="7" s="1"/>
  <c r="BD101" i="7"/>
  <c r="BE101" i="7" s="1"/>
  <c r="BB101" i="7"/>
  <c r="BC101" i="7" s="1"/>
  <c r="AZ101" i="7"/>
  <c r="BA101" i="7" s="1"/>
  <c r="AX101" i="7"/>
  <c r="AY101" i="7" s="1"/>
  <c r="AV101" i="7"/>
  <c r="AW101" i="7" s="1"/>
  <c r="AT101" i="7"/>
  <c r="AU101" i="7" s="1"/>
  <c r="AR101" i="7"/>
  <c r="AS101" i="7" s="1"/>
  <c r="BJ100" i="7"/>
  <c r="BK100" i="7" s="1"/>
  <c r="BH100" i="7"/>
  <c r="BI100" i="7" s="1"/>
  <c r="BF100" i="7"/>
  <c r="BG100" i="7" s="1"/>
  <c r="BD100" i="7"/>
  <c r="BE100" i="7" s="1"/>
  <c r="BB100" i="7"/>
  <c r="BC100" i="7" s="1"/>
  <c r="AZ100" i="7"/>
  <c r="BA100" i="7" s="1"/>
  <c r="AX100" i="7"/>
  <c r="AY100" i="7" s="1"/>
  <c r="AV100" i="7"/>
  <c r="AW100" i="7" s="1"/>
  <c r="AT100" i="7"/>
  <c r="AU100" i="7" s="1"/>
  <c r="AR100" i="7"/>
  <c r="AS100" i="7" s="1"/>
  <c r="BJ99" i="7"/>
  <c r="BK99" i="7" s="1"/>
  <c r="BH99" i="7"/>
  <c r="BI99" i="7" s="1"/>
  <c r="BF99" i="7"/>
  <c r="BG99" i="7" s="1"/>
  <c r="BD99" i="7"/>
  <c r="BE99" i="7" s="1"/>
  <c r="BB99" i="7"/>
  <c r="BC99" i="7" s="1"/>
  <c r="AZ99" i="7"/>
  <c r="BA99" i="7" s="1"/>
  <c r="AX99" i="7"/>
  <c r="AY99" i="7" s="1"/>
  <c r="AV99" i="7"/>
  <c r="AW99" i="7" s="1"/>
  <c r="AT99" i="7"/>
  <c r="AU99" i="7" s="1"/>
  <c r="AR99" i="7"/>
  <c r="AS99" i="7" s="1"/>
  <c r="BJ98" i="7"/>
  <c r="BK98" i="7" s="1"/>
  <c r="BH98" i="7"/>
  <c r="BI98" i="7" s="1"/>
  <c r="BF98" i="7"/>
  <c r="BG98" i="7" s="1"/>
  <c r="BD98" i="7"/>
  <c r="BE98" i="7" s="1"/>
  <c r="BB98" i="7"/>
  <c r="BC98" i="7" s="1"/>
  <c r="AZ98" i="7"/>
  <c r="BA98" i="7" s="1"/>
  <c r="AX98" i="7"/>
  <c r="AY98" i="7" s="1"/>
  <c r="AV98" i="7"/>
  <c r="AW98" i="7" s="1"/>
  <c r="AT98" i="7"/>
  <c r="AU98" i="7" s="1"/>
  <c r="AR98" i="7"/>
  <c r="AS98" i="7" s="1"/>
  <c r="BJ97" i="7"/>
  <c r="BK97" i="7" s="1"/>
  <c r="BH97" i="7"/>
  <c r="BI97" i="7" s="1"/>
  <c r="BF97" i="7"/>
  <c r="BG97" i="7" s="1"/>
  <c r="BD97" i="7"/>
  <c r="BE97" i="7" s="1"/>
  <c r="BB97" i="7"/>
  <c r="BC97" i="7" s="1"/>
  <c r="AZ97" i="7"/>
  <c r="BA97" i="7" s="1"/>
  <c r="AX97" i="7"/>
  <c r="AY97" i="7" s="1"/>
  <c r="AV97" i="7"/>
  <c r="AW97" i="7" s="1"/>
  <c r="AT97" i="7"/>
  <c r="AU97" i="7" s="1"/>
  <c r="AR97" i="7"/>
  <c r="AS97" i="7" s="1"/>
  <c r="BJ96" i="7"/>
  <c r="BK96" i="7" s="1"/>
  <c r="BH96" i="7"/>
  <c r="BI96" i="7" s="1"/>
  <c r="BF96" i="7"/>
  <c r="BG96" i="7" s="1"/>
  <c r="BD96" i="7"/>
  <c r="BE96" i="7" s="1"/>
  <c r="BB96" i="7"/>
  <c r="BC96" i="7" s="1"/>
  <c r="AZ96" i="7"/>
  <c r="BA96" i="7" s="1"/>
  <c r="AX96" i="7"/>
  <c r="AY96" i="7" s="1"/>
  <c r="AV96" i="7"/>
  <c r="AW96" i="7" s="1"/>
  <c r="AT96" i="7"/>
  <c r="AU96" i="7" s="1"/>
  <c r="AR96" i="7"/>
  <c r="AS96" i="7" s="1"/>
  <c r="BJ95" i="7"/>
  <c r="BK95" i="7" s="1"/>
  <c r="BH95" i="7"/>
  <c r="BI95" i="7" s="1"/>
  <c r="BF95" i="7"/>
  <c r="BG95" i="7" s="1"/>
  <c r="BD95" i="7"/>
  <c r="BE95" i="7" s="1"/>
  <c r="BB95" i="7"/>
  <c r="BC95" i="7" s="1"/>
  <c r="AZ95" i="7"/>
  <c r="BA95" i="7" s="1"/>
  <c r="AX95" i="7"/>
  <c r="AY95" i="7" s="1"/>
  <c r="AV95" i="7"/>
  <c r="AW95" i="7" s="1"/>
  <c r="AT95" i="7"/>
  <c r="AU95" i="7" s="1"/>
  <c r="AR95" i="7"/>
  <c r="AS95" i="7" s="1"/>
  <c r="BJ94" i="7"/>
  <c r="BK94" i="7" s="1"/>
  <c r="BH94" i="7"/>
  <c r="BI94" i="7" s="1"/>
  <c r="BF94" i="7"/>
  <c r="BG94" i="7" s="1"/>
  <c r="BD94" i="7"/>
  <c r="BE94" i="7" s="1"/>
  <c r="BB94" i="7"/>
  <c r="BC94" i="7" s="1"/>
  <c r="AZ94" i="7"/>
  <c r="BA94" i="7" s="1"/>
  <c r="AX94" i="7"/>
  <c r="AY94" i="7" s="1"/>
  <c r="AV94" i="7"/>
  <c r="AW94" i="7" s="1"/>
  <c r="AT94" i="7"/>
  <c r="AU94" i="7" s="1"/>
  <c r="AR94" i="7"/>
  <c r="AS94" i="7" s="1"/>
  <c r="BJ93" i="7"/>
  <c r="BK93" i="7" s="1"/>
  <c r="BH93" i="7"/>
  <c r="BI93" i="7" s="1"/>
  <c r="BF93" i="7"/>
  <c r="BG93" i="7" s="1"/>
  <c r="BD93" i="7"/>
  <c r="BE93" i="7" s="1"/>
  <c r="BB93" i="7"/>
  <c r="BC93" i="7" s="1"/>
  <c r="AZ93" i="7"/>
  <c r="BA93" i="7" s="1"/>
  <c r="AX93" i="7"/>
  <c r="AY93" i="7" s="1"/>
  <c r="AV93" i="7"/>
  <c r="AW93" i="7" s="1"/>
  <c r="AT93" i="7"/>
  <c r="AU93" i="7" s="1"/>
  <c r="AR93" i="7"/>
  <c r="AS93" i="7" s="1"/>
  <c r="BJ92" i="7"/>
  <c r="BK92" i="7" s="1"/>
  <c r="BH92" i="7"/>
  <c r="BI92" i="7" s="1"/>
  <c r="BF92" i="7"/>
  <c r="BG92" i="7" s="1"/>
  <c r="BD92" i="7"/>
  <c r="BE92" i="7" s="1"/>
  <c r="BB92" i="7"/>
  <c r="BC92" i="7" s="1"/>
  <c r="AZ92" i="7"/>
  <c r="BA92" i="7" s="1"/>
  <c r="AX92" i="7"/>
  <c r="AY92" i="7" s="1"/>
  <c r="AV92" i="7"/>
  <c r="AW92" i="7" s="1"/>
  <c r="AT92" i="7"/>
  <c r="AU92" i="7" s="1"/>
  <c r="AR92" i="7"/>
  <c r="AS92" i="7" s="1"/>
  <c r="BJ91" i="7"/>
  <c r="BK91" i="7" s="1"/>
  <c r="BH91" i="7"/>
  <c r="BI91" i="7" s="1"/>
  <c r="BF91" i="7"/>
  <c r="BG91" i="7" s="1"/>
  <c r="BD91" i="7"/>
  <c r="BE91" i="7" s="1"/>
  <c r="BB91" i="7"/>
  <c r="BC91" i="7" s="1"/>
  <c r="AZ91" i="7"/>
  <c r="BA91" i="7" s="1"/>
  <c r="AX91" i="7"/>
  <c r="AY91" i="7" s="1"/>
  <c r="AV91" i="7"/>
  <c r="AW91" i="7" s="1"/>
  <c r="AT91" i="7"/>
  <c r="AU91" i="7" s="1"/>
  <c r="AR91" i="7"/>
  <c r="AS91" i="7" s="1"/>
  <c r="BJ90" i="7"/>
  <c r="BK90" i="7" s="1"/>
  <c r="BH90" i="7"/>
  <c r="BI90" i="7" s="1"/>
  <c r="BF90" i="7"/>
  <c r="BG90" i="7" s="1"/>
  <c r="BD90" i="7"/>
  <c r="BE90" i="7" s="1"/>
  <c r="BB90" i="7"/>
  <c r="BC90" i="7" s="1"/>
  <c r="AZ90" i="7"/>
  <c r="BA90" i="7" s="1"/>
  <c r="AX90" i="7"/>
  <c r="AY90" i="7" s="1"/>
  <c r="AV90" i="7"/>
  <c r="AW90" i="7" s="1"/>
  <c r="AT90" i="7"/>
  <c r="AU90" i="7" s="1"/>
  <c r="AR90" i="7"/>
  <c r="AS90" i="7" s="1"/>
  <c r="BJ89" i="7"/>
  <c r="BK89" i="7" s="1"/>
  <c r="BH89" i="7"/>
  <c r="BI89" i="7" s="1"/>
  <c r="BF89" i="7"/>
  <c r="BG89" i="7" s="1"/>
  <c r="BD89" i="7"/>
  <c r="BE89" i="7" s="1"/>
  <c r="BB89" i="7"/>
  <c r="BC89" i="7" s="1"/>
  <c r="AZ89" i="7"/>
  <c r="BA89" i="7" s="1"/>
  <c r="AX89" i="7"/>
  <c r="AY89" i="7" s="1"/>
  <c r="AV89" i="7"/>
  <c r="AW89" i="7" s="1"/>
  <c r="AT89" i="7"/>
  <c r="AU89" i="7" s="1"/>
  <c r="AR89" i="7"/>
  <c r="AS89" i="7" s="1"/>
  <c r="BJ88" i="7"/>
  <c r="BK88" i="7" s="1"/>
  <c r="BH88" i="7"/>
  <c r="BI88" i="7" s="1"/>
  <c r="BF88" i="7"/>
  <c r="BG88" i="7" s="1"/>
  <c r="BD88" i="7"/>
  <c r="BE88" i="7" s="1"/>
  <c r="BB88" i="7"/>
  <c r="BC88" i="7" s="1"/>
  <c r="AZ88" i="7"/>
  <c r="BA88" i="7" s="1"/>
  <c r="AX88" i="7"/>
  <c r="AY88" i="7" s="1"/>
  <c r="AV88" i="7"/>
  <c r="AW88" i="7" s="1"/>
  <c r="AT88" i="7"/>
  <c r="AU88" i="7" s="1"/>
  <c r="AR88" i="7"/>
  <c r="AS88" i="7" s="1"/>
  <c r="BJ87" i="7"/>
  <c r="BK87" i="7" s="1"/>
  <c r="BH87" i="7"/>
  <c r="BI87" i="7" s="1"/>
  <c r="BF87" i="7"/>
  <c r="BG87" i="7" s="1"/>
  <c r="BD87" i="7"/>
  <c r="BE87" i="7" s="1"/>
  <c r="BB87" i="7"/>
  <c r="BC87" i="7" s="1"/>
  <c r="AZ87" i="7"/>
  <c r="BA87" i="7" s="1"/>
  <c r="AX87" i="7"/>
  <c r="AY87" i="7" s="1"/>
  <c r="AV87" i="7"/>
  <c r="AW87" i="7" s="1"/>
  <c r="AT87" i="7"/>
  <c r="AU87" i="7" s="1"/>
  <c r="AR87" i="7"/>
  <c r="AS87" i="7" s="1"/>
  <c r="BJ86" i="7"/>
  <c r="BK86" i="7" s="1"/>
  <c r="BH86" i="7"/>
  <c r="BI86" i="7" s="1"/>
  <c r="BF86" i="7"/>
  <c r="BG86" i="7" s="1"/>
  <c r="BD86" i="7"/>
  <c r="BE86" i="7" s="1"/>
  <c r="BB86" i="7"/>
  <c r="BC86" i="7" s="1"/>
  <c r="AZ86" i="7"/>
  <c r="BA86" i="7" s="1"/>
  <c r="AX86" i="7"/>
  <c r="AY86" i="7" s="1"/>
  <c r="AV86" i="7"/>
  <c r="AW86" i="7" s="1"/>
  <c r="AT86" i="7"/>
  <c r="AU86" i="7" s="1"/>
  <c r="AR86" i="7"/>
  <c r="AS86" i="7" s="1"/>
  <c r="BJ85" i="7"/>
  <c r="BK85" i="7" s="1"/>
  <c r="BH85" i="7"/>
  <c r="BI85" i="7" s="1"/>
  <c r="BF85" i="7"/>
  <c r="BG85" i="7" s="1"/>
  <c r="BD85" i="7"/>
  <c r="BE85" i="7" s="1"/>
  <c r="BB85" i="7"/>
  <c r="BC85" i="7" s="1"/>
  <c r="AZ85" i="7"/>
  <c r="BA85" i="7" s="1"/>
  <c r="AX85" i="7"/>
  <c r="AY85" i="7" s="1"/>
  <c r="AV85" i="7"/>
  <c r="AW85" i="7" s="1"/>
  <c r="AT85" i="7"/>
  <c r="AU85" i="7" s="1"/>
  <c r="AR85" i="7"/>
  <c r="AS85" i="7" s="1"/>
  <c r="BJ84" i="7"/>
  <c r="BK84" i="7" s="1"/>
  <c r="BH84" i="7"/>
  <c r="BI84" i="7" s="1"/>
  <c r="BF84" i="7"/>
  <c r="BG84" i="7" s="1"/>
  <c r="BD84" i="7"/>
  <c r="BE84" i="7" s="1"/>
  <c r="BB84" i="7"/>
  <c r="BC84" i="7" s="1"/>
  <c r="AZ84" i="7"/>
  <c r="BA84" i="7" s="1"/>
  <c r="AX84" i="7"/>
  <c r="AY84" i="7" s="1"/>
  <c r="AV84" i="7"/>
  <c r="AW84" i="7" s="1"/>
  <c r="AT84" i="7"/>
  <c r="AU84" i="7" s="1"/>
  <c r="AR84" i="7"/>
  <c r="AS84" i="7" s="1"/>
  <c r="BJ83" i="7"/>
  <c r="BK83" i="7" s="1"/>
  <c r="BH83" i="7"/>
  <c r="BI83" i="7" s="1"/>
  <c r="BF83" i="7"/>
  <c r="BG83" i="7" s="1"/>
  <c r="BD83" i="7"/>
  <c r="BE83" i="7" s="1"/>
  <c r="BB83" i="7"/>
  <c r="BC83" i="7" s="1"/>
  <c r="AZ83" i="7"/>
  <c r="BA83" i="7" s="1"/>
  <c r="AX83" i="7"/>
  <c r="AY83" i="7" s="1"/>
  <c r="AV83" i="7"/>
  <c r="AW83" i="7" s="1"/>
  <c r="AT83" i="7"/>
  <c r="AU83" i="7" s="1"/>
  <c r="AR83" i="7"/>
  <c r="AS83" i="7" s="1"/>
  <c r="BJ82" i="7"/>
  <c r="BK82" i="7" s="1"/>
  <c r="BH82" i="7"/>
  <c r="BI82" i="7" s="1"/>
  <c r="BF82" i="7"/>
  <c r="BG82" i="7" s="1"/>
  <c r="BD82" i="7"/>
  <c r="BE82" i="7" s="1"/>
  <c r="BB82" i="7"/>
  <c r="BC82" i="7" s="1"/>
  <c r="AZ82" i="7"/>
  <c r="BA82" i="7" s="1"/>
  <c r="AX82" i="7"/>
  <c r="AY82" i="7" s="1"/>
  <c r="AV82" i="7"/>
  <c r="AW82" i="7" s="1"/>
  <c r="AT82" i="7"/>
  <c r="AU82" i="7" s="1"/>
  <c r="AR82" i="7"/>
  <c r="AS82" i="7" s="1"/>
  <c r="BJ81" i="7"/>
  <c r="BK81" i="7" s="1"/>
  <c r="BH81" i="7"/>
  <c r="BI81" i="7" s="1"/>
  <c r="BF81" i="7"/>
  <c r="BG81" i="7" s="1"/>
  <c r="BD81" i="7"/>
  <c r="BE81" i="7" s="1"/>
  <c r="BB81" i="7"/>
  <c r="BC81" i="7" s="1"/>
  <c r="AZ81" i="7"/>
  <c r="BA81" i="7" s="1"/>
  <c r="AX81" i="7"/>
  <c r="AY81" i="7" s="1"/>
  <c r="AV81" i="7"/>
  <c r="AW81" i="7" s="1"/>
  <c r="AT81" i="7"/>
  <c r="AU81" i="7" s="1"/>
  <c r="AR81" i="7"/>
  <c r="AS81" i="7" s="1"/>
  <c r="BJ80" i="7"/>
  <c r="BK80" i="7" s="1"/>
  <c r="BH80" i="7"/>
  <c r="BI80" i="7" s="1"/>
  <c r="BF80" i="7"/>
  <c r="BG80" i="7" s="1"/>
  <c r="BD80" i="7"/>
  <c r="BE80" i="7" s="1"/>
  <c r="BB80" i="7"/>
  <c r="BC80" i="7" s="1"/>
  <c r="AZ80" i="7"/>
  <c r="BA80" i="7" s="1"/>
  <c r="AX80" i="7"/>
  <c r="AY80" i="7" s="1"/>
  <c r="AV80" i="7"/>
  <c r="AW80" i="7" s="1"/>
  <c r="AT80" i="7"/>
  <c r="AU80" i="7" s="1"/>
  <c r="AR80" i="7"/>
  <c r="AS80" i="7" s="1"/>
  <c r="BJ79" i="7"/>
  <c r="BK79" i="7" s="1"/>
  <c r="BH79" i="7"/>
  <c r="BI79" i="7" s="1"/>
  <c r="BF79" i="7"/>
  <c r="BG79" i="7" s="1"/>
  <c r="BD79" i="7"/>
  <c r="BE79" i="7" s="1"/>
  <c r="BB79" i="7"/>
  <c r="BC79" i="7" s="1"/>
  <c r="AZ79" i="7"/>
  <c r="BA79" i="7" s="1"/>
  <c r="AX79" i="7"/>
  <c r="AY79" i="7" s="1"/>
  <c r="AV79" i="7"/>
  <c r="AW79" i="7" s="1"/>
  <c r="AT79" i="7"/>
  <c r="AU79" i="7" s="1"/>
  <c r="AR79" i="7"/>
  <c r="AS79" i="7" s="1"/>
  <c r="BJ78" i="7"/>
  <c r="BK78" i="7" s="1"/>
  <c r="BH78" i="7"/>
  <c r="BI78" i="7" s="1"/>
  <c r="BF78" i="7"/>
  <c r="BG78" i="7" s="1"/>
  <c r="BD78" i="7"/>
  <c r="BE78" i="7" s="1"/>
  <c r="BB78" i="7"/>
  <c r="BC78" i="7" s="1"/>
  <c r="AZ78" i="7"/>
  <c r="BA78" i="7" s="1"/>
  <c r="AX78" i="7"/>
  <c r="AY78" i="7" s="1"/>
  <c r="AV78" i="7"/>
  <c r="AW78" i="7" s="1"/>
  <c r="AT78" i="7"/>
  <c r="AU78" i="7" s="1"/>
  <c r="AR78" i="7"/>
  <c r="AS78" i="7" s="1"/>
  <c r="BJ77" i="7"/>
  <c r="BK77" i="7" s="1"/>
  <c r="BH77" i="7"/>
  <c r="BI77" i="7" s="1"/>
  <c r="BF77" i="7"/>
  <c r="BG77" i="7" s="1"/>
  <c r="BD77" i="7"/>
  <c r="BE77" i="7" s="1"/>
  <c r="BB77" i="7"/>
  <c r="BC77" i="7" s="1"/>
  <c r="AZ77" i="7"/>
  <c r="BA77" i="7" s="1"/>
  <c r="AX77" i="7"/>
  <c r="AY77" i="7" s="1"/>
  <c r="AV77" i="7"/>
  <c r="AW77" i="7" s="1"/>
  <c r="AT77" i="7"/>
  <c r="AU77" i="7" s="1"/>
  <c r="AR77" i="7"/>
  <c r="AS77" i="7" s="1"/>
  <c r="BJ76" i="7"/>
  <c r="BK76" i="7" s="1"/>
  <c r="BH76" i="7"/>
  <c r="BI76" i="7" s="1"/>
  <c r="BF76" i="7"/>
  <c r="BG76" i="7" s="1"/>
  <c r="BD76" i="7"/>
  <c r="BE76" i="7" s="1"/>
  <c r="BB76" i="7"/>
  <c r="BC76" i="7" s="1"/>
  <c r="AZ76" i="7"/>
  <c r="BA76" i="7" s="1"/>
  <c r="AX76" i="7"/>
  <c r="AY76" i="7" s="1"/>
  <c r="AV76" i="7"/>
  <c r="AW76" i="7" s="1"/>
  <c r="AT76" i="7"/>
  <c r="AU76" i="7" s="1"/>
  <c r="AR76" i="7"/>
  <c r="AS76" i="7" s="1"/>
  <c r="BJ75" i="7"/>
  <c r="BK75" i="7" s="1"/>
  <c r="BH75" i="7"/>
  <c r="BI75" i="7" s="1"/>
  <c r="BF75" i="7"/>
  <c r="BG75" i="7" s="1"/>
  <c r="BD75" i="7"/>
  <c r="BE75" i="7" s="1"/>
  <c r="BB75" i="7"/>
  <c r="BC75" i="7" s="1"/>
  <c r="AZ75" i="7"/>
  <c r="BA75" i="7" s="1"/>
  <c r="AX75" i="7"/>
  <c r="AY75" i="7" s="1"/>
  <c r="AV75" i="7"/>
  <c r="AW75" i="7" s="1"/>
  <c r="AT75" i="7"/>
  <c r="AU75" i="7" s="1"/>
  <c r="AR75" i="7"/>
  <c r="AS75" i="7" s="1"/>
  <c r="BJ74" i="7"/>
  <c r="BK74" i="7" s="1"/>
  <c r="BH74" i="7"/>
  <c r="BI74" i="7" s="1"/>
  <c r="BF74" i="7"/>
  <c r="BG74" i="7" s="1"/>
  <c r="BD74" i="7"/>
  <c r="BE74" i="7" s="1"/>
  <c r="BB74" i="7"/>
  <c r="BC74" i="7" s="1"/>
  <c r="AZ74" i="7"/>
  <c r="BA74" i="7" s="1"/>
  <c r="AX74" i="7"/>
  <c r="AY74" i="7" s="1"/>
  <c r="AV74" i="7"/>
  <c r="AW74" i="7" s="1"/>
  <c r="AT74" i="7"/>
  <c r="AU74" i="7" s="1"/>
  <c r="AR74" i="7"/>
  <c r="AS74" i="7" s="1"/>
  <c r="BJ73" i="7"/>
  <c r="BK73" i="7" s="1"/>
  <c r="BH73" i="7"/>
  <c r="BI73" i="7" s="1"/>
  <c r="BF73" i="7"/>
  <c r="BG73" i="7" s="1"/>
  <c r="BD73" i="7"/>
  <c r="BE73" i="7" s="1"/>
  <c r="BB73" i="7"/>
  <c r="BC73" i="7" s="1"/>
  <c r="AZ73" i="7"/>
  <c r="BA73" i="7" s="1"/>
  <c r="AX73" i="7"/>
  <c r="AY73" i="7" s="1"/>
  <c r="AV73" i="7"/>
  <c r="AW73" i="7" s="1"/>
  <c r="AT73" i="7"/>
  <c r="AU73" i="7" s="1"/>
  <c r="AR73" i="7"/>
  <c r="AS73" i="7" s="1"/>
  <c r="BJ72" i="7"/>
  <c r="BK72" i="7" s="1"/>
  <c r="BH72" i="7"/>
  <c r="BI72" i="7" s="1"/>
  <c r="BF72" i="7"/>
  <c r="BG72" i="7" s="1"/>
  <c r="BD72" i="7"/>
  <c r="BE72" i="7" s="1"/>
  <c r="BB72" i="7"/>
  <c r="BC72" i="7" s="1"/>
  <c r="AZ72" i="7"/>
  <c r="BA72" i="7" s="1"/>
  <c r="AX72" i="7"/>
  <c r="AY72" i="7" s="1"/>
  <c r="AV72" i="7"/>
  <c r="AW72" i="7" s="1"/>
  <c r="AT72" i="7"/>
  <c r="AU72" i="7" s="1"/>
  <c r="AR72" i="7"/>
  <c r="AS72" i="7" s="1"/>
  <c r="BJ71" i="7"/>
  <c r="BK71" i="7" s="1"/>
  <c r="BH71" i="7"/>
  <c r="BI71" i="7" s="1"/>
  <c r="BF71" i="7"/>
  <c r="BG71" i="7" s="1"/>
  <c r="BD71" i="7"/>
  <c r="BE71" i="7" s="1"/>
  <c r="BB71" i="7"/>
  <c r="BC71" i="7" s="1"/>
  <c r="AZ71" i="7"/>
  <c r="BA71" i="7" s="1"/>
  <c r="AX71" i="7"/>
  <c r="AY71" i="7" s="1"/>
  <c r="AV71" i="7"/>
  <c r="AW71" i="7" s="1"/>
  <c r="AT71" i="7"/>
  <c r="AU71" i="7" s="1"/>
  <c r="AR71" i="7"/>
  <c r="AS71" i="7" s="1"/>
  <c r="BJ70" i="7"/>
  <c r="BK70" i="7" s="1"/>
  <c r="BH70" i="7"/>
  <c r="BI70" i="7" s="1"/>
  <c r="BF70" i="7"/>
  <c r="BG70" i="7" s="1"/>
  <c r="BD70" i="7"/>
  <c r="BE70" i="7" s="1"/>
  <c r="BB70" i="7"/>
  <c r="BC70" i="7" s="1"/>
  <c r="AZ70" i="7"/>
  <c r="BA70" i="7" s="1"/>
  <c r="AX70" i="7"/>
  <c r="AY70" i="7" s="1"/>
  <c r="AV70" i="7"/>
  <c r="AW70" i="7" s="1"/>
  <c r="AT70" i="7"/>
  <c r="AU70" i="7" s="1"/>
  <c r="AR70" i="7"/>
  <c r="AS70" i="7" s="1"/>
  <c r="BJ69" i="7"/>
  <c r="BK69" i="7" s="1"/>
  <c r="BH69" i="7"/>
  <c r="BI69" i="7" s="1"/>
  <c r="BF69" i="7"/>
  <c r="BG69" i="7" s="1"/>
  <c r="BD69" i="7"/>
  <c r="BE69" i="7" s="1"/>
  <c r="BB69" i="7"/>
  <c r="BC69" i="7" s="1"/>
  <c r="AZ69" i="7"/>
  <c r="BA69" i="7" s="1"/>
  <c r="AX69" i="7"/>
  <c r="AY69" i="7" s="1"/>
  <c r="AV69" i="7"/>
  <c r="AW69" i="7" s="1"/>
  <c r="AT69" i="7"/>
  <c r="AU69" i="7" s="1"/>
  <c r="AR69" i="7"/>
  <c r="AS69" i="7" s="1"/>
  <c r="BJ68" i="7"/>
  <c r="BK68" i="7" s="1"/>
  <c r="BH68" i="7"/>
  <c r="BI68" i="7" s="1"/>
  <c r="BF68" i="7"/>
  <c r="BG68" i="7" s="1"/>
  <c r="BD68" i="7"/>
  <c r="BE68" i="7" s="1"/>
  <c r="BB68" i="7"/>
  <c r="BC68" i="7" s="1"/>
  <c r="AZ68" i="7"/>
  <c r="BA68" i="7" s="1"/>
  <c r="AX68" i="7"/>
  <c r="AY68" i="7" s="1"/>
  <c r="AV68" i="7"/>
  <c r="AW68" i="7" s="1"/>
  <c r="AT68" i="7"/>
  <c r="AU68" i="7" s="1"/>
  <c r="AR68" i="7"/>
  <c r="AS68" i="7" s="1"/>
  <c r="BJ67" i="7"/>
  <c r="BK67" i="7" s="1"/>
  <c r="BH67" i="7"/>
  <c r="BI67" i="7" s="1"/>
  <c r="BF67" i="7"/>
  <c r="BG67" i="7" s="1"/>
  <c r="BD67" i="7"/>
  <c r="BE67" i="7" s="1"/>
  <c r="BB67" i="7"/>
  <c r="BC67" i="7" s="1"/>
  <c r="AZ67" i="7"/>
  <c r="BA67" i="7" s="1"/>
  <c r="AX67" i="7"/>
  <c r="AY67" i="7" s="1"/>
  <c r="AV67" i="7"/>
  <c r="AW67" i="7" s="1"/>
  <c r="BJ66" i="7"/>
  <c r="BK66" i="7" s="1"/>
  <c r="BH66" i="7"/>
  <c r="BI66" i="7" s="1"/>
  <c r="BF66" i="7"/>
  <c r="BG66" i="7" s="1"/>
  <c r="BD66" i="7"/>
  <c r="BE66" i="7" s="1"/>
  <c r="BB66" i="7"/>
  <c r="BC66" i="7" s="1"/>
  <c r="AZ66" i="7"/>
  <c r="BA66" i="7" s="1"/>
  <c r="AX66" i="7"/>
  <c r="AY66" i="7" s="1"/>
  <c r="AV66" i="7"/>
  <c r="AW66" i="7" s="1"/>
  <c r="BJ65" i="7"/>
  <c r="BK65" i="7" s="1"/>
  <c r="BH65" i="7"/>
  <c r="BI65" i="7" s="1"/>
  <c r="BF65" i="7"/>
  <c r="BG65" i="7" s="1"/>
  <c r="BD65" i="7"/>
  <c r="BE65" i="7" s="1"/>
  <c r="BB65" i="7"/>
  <c r="BC65" i="7" s="1"/>
  <c r="AZ65" i="7"/>
  <c r="BA65" i="7" s="1"/>
  <c r="AX65" i="7"/>
  <c r="AY65" i="7" s="1"/>
  <c r="AV65" i="7"/>
  <c r="AW65" i="7" s="1"/>
  <c r="BJ64" i="7"/>
  <c r="BK64" i="7" s="1"/>
  <c r="BH64" i="7"/>
  <c r="BI64" i="7" s="1"/>
  <c r="BF64" i="7"/>
  <c r="BG64" i="7" s="1"/>
  <c r="BD64" i="7"/>
  <c r="BE64" i="7" s="1"/>
  <c r="BB64" i="7"/>
  <c r="BC64" i="7" s="1"/>
  <c r="AZ64" i="7"/>
  <c r="BA64" i="7" s="1"/>
  <c r="AX64" i="7"/>
  <c r="AY64" i="7" s="1"/>
  <c r="AV64" i="7"/>
  <c r="AW64" i="7" s="1"/>
  <c r="BJ63" i="7"/>
  <c r="BK63" i="7" s="1"/>
  <c r="BH63" i="7"/>
  <c r="BI63" i="7" s="1"/>
  <c r="BF63" i="7"/>
  <c r="BG63" i="7" s="1"/>
  <c r="BD63" i="7"/>
  <c r="BE63" i="7" s="1"/>
  <c r="BB63" i="7"/>
  <c r="BC63" i="7" s="1"/>
  <c r="AZ63" i="7"/>
  <c r="BA63" i="7" s="1"/>
  <c r="AX63" i="7"/>
  <c r="AY63" i="7" s="1"/>
  <c r="AV63" i="7"/>
  <c r="AW63" i="7" s="1"/>
  <c r="BJ62" i="7"/>
  <c r="BK62" i="7" s="1"/>
  <c r="BH62" i="7"/>
  <c r="BI62" i="7" s="1"/>
  <c r="BF62" i="7"/>
  <c r="BG62" i="7" s="1"/>
  <c r="BD62" i="7"/>
  <c r="BE62" i="7" s="1"/>
  <c r="BB62" i="7"/>
  <c r="BC62" i="7" s="1"/>
  <c r="AZ62" i="7"/>
  <c r="BA62" i="7" s="1"/>
  <c r="AX62" i="7"/>
  <c r="AY62" i="7" s="1"/>
  <c r="AV62" i="7"/>
  <c r="AW62" i="7" s="1"/>
  <c r="BJ61" i="7"/>
  <c r="BK61" i="7" s="1"/>
  <c r="BH61" i="7"/>
  <c r="BI61" i="7" s="1"/>
  <c r="BF61" i="7"/>
  <c r="BG61" i="7" s="1"/>
  <c r="BD61" i="7"/>
  <c r="BE61" i="7" s="1"/>
  <c r="BB61" i="7"/>
  <c r="BC61" i="7" s="1"/>
  <c r="AZ61" i="7"/>
  <c r="BA61" i="7" s="1"/>
  <c r="AX61" i="7"/>
  <c r="AY61" i="7" s="1"/>
  <c r="AV61" i="7"/>
  <c r="AW61" i="7" s="1"/>
  <c r="BJ60" i="7"/>
  <c r="BK60" i="7" s="1"/>
  <c r="BH60" i="7"/>
  <c r="BI60" i="7" s="1"/>
  <c r="BF60" i="7"/>
  <c r="BG60" i="7" s="1"/>
  <c r="BD60" i="7"/>
  <c r="BE60" i="7" s="1"/>
  <c r="BB60" i="7"/>
  <c r="BC60" i="7" s="1"/>
  <c r="AZ60" i="7"/>
  <c r="BA60" i="7" s="1"/>
  <c r="AX60" i="7"/>
  <c r="AY60" i="7" s="1"/>
  <c r="AV60" i="7"/>
  <c r="AW60" i="7" s="1"/>
  <c r="BJ59" i="7"/>
  <c r="BK59" i="7" s="1"/>
  <c r="BH59" i="7"/>
  <c r="BI59" i="7" s="1"/>
  <c r="BF59" i="7"/>
  <c r="BG59" i="7" s="1"/>
  <c r="BD59" i="7"/>
  <c r="BE59" i="7" s="1"/>
  <c r="BB59" i="7"/>
  <c r="BC59" i="7" s="1"/>
  <c r="AZ59" i="7"/>
  <c r="BA59" i="7" s="1"/>
  <c r="AX59" i="7"/>
  <c r="AY59" i="7" s="1"/>
  <c r="AV59" i="7"/>
  <c r="AW59" i="7" s="1"/>
  <c r="BJ58" i="7"/>
  <c r="BK58" i="7" s="1"/>
  <c r="BH58" i="7"/>
  <c r="BI58" i="7" s="1"/>
  <c r="BF58" i="7"/>
  <c r="BG58" i="7" s="1"/>
  <c r="BD58" i="7"/>
  <c r="BE58" i="7" s="1"/>
  <c r="BB58" i="7"/>
  <c r="BC58" i="7" s="1"/>
  <c r="AZ58" i="7"/>
  <c r="BA58" i="7" s="1"/>
  <c r="AX58" i="7"/>
  <c r="AY58" i="7" s="1"/>
  <c r="AV58" i="7"/>
  <c r="AW58" i="7" s="1"/>
  <c r="BJ57" i="7"/>
  <c r="BK57" i="7" s="1"/>
  <c r="BH57" i="7"/>
  <c r="BI57" i="7" s="1"/>
  <c r="BF57" i="7"/>
  <c r="BG57" i="7" s="1"/>
  <c r="BD57" i="7"/>
  <c r="BE57" i="7" s="1"/>
  <c r="BB57" i="7"/>
  <c r="BC57" i="7" s="1"/>
  <c r="AZ57" i="7"/>
  <c r="BA57" i="7" s="1"/>
  <c r="AX57" i="7"/>
  <c r="AY57" i="7" s="1"/>
  <c r="AV57" i="7"/>
  <c r="AW57" i="7" s="1"/>
  <c r="BJ56" i="7"/>
  <c r="BK56" i="7" s="1"/>
  <c r="BH56" i="7"/>
  <c r="BI56" i="7" s="1"/>
  <c r="BF56" i="7"/>
  <c r="BG56" i="7" s="1"/>
  <c r="BD56" i="7"/>
  <c r="BE56" i="7" s="1"/>
  <c r="BB56" i="7"/>
  <c r="BC56" i="7" s="1"/>
  <c r="AZ56" i="7"/>
  <c r="BA56" i="7" s="1"/>
  <c r="AX56" i="7"/>
  <c r="AY56" i="7" s="1"/>
  <c r="AV56" i="7"/>
  <c r="AW56" i="7" s="1"/>
  <c r="BJ55" i="7"/>
  <c r="BK55" i="7" s="1"/>
  <c r="BH55" i="7"/>
  <c r="BI55" i="7" s="1"/>
  <c r="BF55" i="7"/>
  <c r="BG55" i="7" s="1"/>
  <c r="BD55" i="7"/>
  <c r="BE55" i="7" s="1"/>
  <c r="BB55" i="7"/>
  <c r="BC55" i="7" s="1"/>
  <c r="AZ55" i="7"/>
  <c r="BA55" i="7" s="1"/>
  <c r="AX55" i="7"/>
  <c r="AY55" i="7" s="1"/>
  <c r="AV55" i="7"/>
  <c r="AW55" i="7" s="1"/>
  <c r="BJ54" i="7"/>
  <c r="BK54" i="7" s="1"/>
  <c r="BH54" i="7"/>
  <c r="BI54" i="7" s="1"/>
  <c r="BF54" i="7"/>
  <c r="BG54" i="7" s="1"/>
  <c r="BD54" i="7"/>
  <c r="BE54" i="7" s="1"/>
  <c r="BB54" i="7"/>
  <c r="BC54" i="7" s="1"/>
  <c r="AZ54" i="7"/>
  <c r="BA54" i="7" s="1"/>
  <c r="AX54" i="7"/>
  <c r="AY54" i="7" s="1"/>
  <c r="AV54" i="7"/>
  <c r="AW54" i="7" s="1"/>
  <c r="BJ53" i="7"/>
  <c r="BK53" i="7" s="1"/>
  <c r="BH53" i="7"/>
  <c r="BI53" i="7" s="1"/>
  <c r="BF53" i="7"/>
  <c r="BG53" i="7" s="1"/>
  <c r="BD53" i="7"/>
  <c r="BE53" i="7" s="1"/>
  <c r="BB53" i="7"/>
  <c r="BC53" i="7" s="1"/>
  <c r="AZ53" i="7"/>
  <c r="BA53" i="7" s="1"/>
  <c r="AX53" i="7"/>
  <c r="AY53" i="7" s="1"/>
  <c r="AV53" i="7"/>
  <c r="AW53" i="7" s="1"/>
  <c r="BJ52" i="7"/>
  <c r="BK52" i="7" s="1"/>
  <c r="BH52" i="7"/>
  <c r="BI52" i="7" s="1"/>
  <c r="BF52" i="7"/>
  <c r="BG52" i="7" s="1"/>
  <c r="BD52" i="7"/>
  <c r="BE52" i="7" s="1"/>
  <c r="BB52" i="7"/>
  <c r="BC52" i="7" s="1"/>
  <c r="AZ52" i="7"/>
  <c r="BA52" i="7" s="1"/>
  <c r="AX52" i="7"/>
  <c r="AY52" i="7" s="1"/>
  <c r="AV52" i="7"/>
  <c r="AW52" i="7" s="1"/>
  <c r="BJ51" i="7"/>
  <c r="BK51" i="7" s="1"/>
  <c r="BH51" i="7"/>
  <c r="BI51" i="7" s="1"/>
  <c r="BF51" i="7"/>
  <c r="BG51" i="7" s="1"/>
  <c r="BD51" i="7"/>
  <c r="BE51" i="7" s="1"/>
  <c r="BB51" i="7"/>
  <c r="BC51" i="7" s="1"/>
  <c r="AZ51" i="7"/>
  <c r="BA51" i="7" s="1"/>
  <c r="AX51" i="7"/>
  <c r="AY51" i="7" s="1"/>
  <c r="AV51" i="7"/>
  <c r="AW51" i="7" s="1"/>
  <c r="BJ50" i="7"/>
  <c r="BK50" i="7" s="1"/>
  <c r="BH50" i="7"/>
  <c r="BI50" i="7" s="1"/>
  <c r="BF50" i="7"/>
  <c r="BG50" i="7" s="1"/>
  <c r="BD50" i="7"/>
  <c r="BE50" i="7" s="1"/>
  <c r="BB50" i="7"/>
  <c r="BC50" i="7" s="1"/>
  <c r="AZ50" i="7"/>
  <c r="BA50" i="7" s="1"/>
  <c r="AX50" i="7"/>
  <c r="AY50" i="7" s="1"/>
  <c r="AV50" i="7"/>
  <c r="AW50" i="7" s="1"/>
  <c r="BJ49" i="7"/>
  <c r="BK49" i="7" s="1"/>
  <c r="BH49" i="7"/>
  <c r="BI49" i="7" s="1"/>
  <c r="BF49" i="7"/>
  <c r="BG49" i="7" s="1"/>
  <c r="BD49" i="7"/>
  <c r="BE49" i="7" s="1"/>
  <c r="BB49" i="7"/>
  <c r="BC49" i="7" s="1"/>
  <c r="AZ49" i="7"/>
  <c r="BA49" i="7" s="1"/>
  <c r="AX49" i="7"/>
  <c r="AY49" i="7" s="1"/>
  <c r="AV49" i="7"/>
  <c r="AW49" i="7" s="1"/>
  <c r="BJ48" i="7"/>
  <c r="BK48" i="7" s="1"/>
  <c r="BH48" i="7"/>
  <c r="BI48" i="7" s="1"/>
  <c r="BF48" i="7"/>
  <c r="BG48" i="7" s="1"/>
  <c r="BD48" i="7"/>
  <c r="BE48" i="7" s="1"/>
  <c r="BB48" i="7"/>
  <c r="BC48" i="7" s="1"/>
  <c r="AZ48" i="7"/>
  <c r="BA48" i="7" s="1"/>
  <c r="AX48" i="7"/>
  <c r="AY48" i="7" s="1"/>
  <c r="AV48" i="7"/>
  <c r="AW48" i="7" s="1"/>
  <c r="BJ47" i="7"/>
  <c r="BK47" i="7" s="1"/>
  <c r="BH47" i="7"/>
  <c r="BI47" i="7" s="1"/>
  <c r="BF47" i="7"/>
  <c r="BG47" i="7" s="1"/>
  <c r="BD47" i="7"/>
  <c r="BE47" i="7" s="1"/>
  <c r="BB47" i="7"/>
  <c r="BC47" i="7" s="1"/>
  <c r="AZ47" i="7"/>
  <c r="BA47" i="7" s="1"/>
  <c r="AX47" i="7"/>
  <c r="AY47" i="7" s="1"/>
  <c r="AV47" i="7"/>
  <c r="AW47" i="7" s="1"/>
  <c r="BJ46" i="7"/>
  <c r="BK46" i="7" s="1"/>
  <c r="BH46" i="7"/>
  <c r="BI46" i="7" s="1"/>
  <c r="BF46" i="7"/>
  <c r="BG46" i="7" s="1"/>
  <c r="BD46" i="7"/>
  <c r="BE46" i="7" s="1"/>
  <c r="BB46" i="7"/>
  <c r="BC46" i="7" s="1"/>
  <c r="AZ46" i="7"/>
  <c r="BA46" i="7" s="1"/>
  <c r="AX46" i="7"/>
  <c r="AY46" i="7" s="1"/>
  <c r="AV46" i="7"/>
  <c r="AW46" i="7" s="1"/>
  <c r="BJ45" i="7"/>
  <c r="BK45" i="7" s="1"/>
  <c r="BH45" i="7"/>
  <c r="BI45" i="7" s="1"/>
  <c r="BF45" i="7"/>
  <c r="BG45" i="7" s="1"/>
  <c r="BD45" i="7"/>
  <c r="BE45" i="7" s="1"/>
  <c r="BB45" i="7"/>
  <c r="BC45" i="7" s="1"/>
  <c r="AZ45" i="7"/>
  <c r="BA45" i="7" s="1"/>
  <c r="AX45" i="7"/>
  <c r="AY45" i="7" s="1"/>
  <c r="AV45" i="7"/>
  <c r="AW45" i="7" s="1"/>
  <c r="BJ44" i="7"/>
  <c r="BK44" i="7" s="1"/>
  <c r="BH44" i="7"/>
  <c r="BI44" i="7" s="1"/>
  <c r="BF44" i="7"/>
  <c r="BG44" i="7" s="1"/>
  <c r="BD44" i="7"/>
  <c r="BE44" i="7" s="1"/>
  <c r="BB44" i="7"/>
  <c r="BC44" i="7" s="1"/>
  <c r="AZ44" i="7"/>
  <c r="BA44" i="7" s="1"/>
  <c r="AX44" i="7"/>
  <c r="AY44" i="7" s="1"/>
  <c r="AV44" i="7"/>
  <c r="AW44" i="7" s="1"/>
  <c r="BJ43" i="7"/>
  <c r="BK43" i="7" s="1"/>
  <c r="BH43" i="7"/>
  <c r="BI43" i="7" s="1"/>
  <c r="BF43" i="7"/>
  <c r="BG43" i="7" s="1"/>
  <c r="BD43" i="7"/>
  <c r="BE43" i="7" s="1"/>
  <c r="BB43" i="7"/>
  <c r="BC43" i="7" s="1"/>
  <c r="AZ43" i="7"/>
  <c r="BA43" i="7" s="1"/>
  <c r="AX43" i="7"/>
  <c r="AY43" i="7" s="1"/>
  <c r="AV43" i="7"/>
  <c r="AW43" i="7" s="1"/>
  <c r="BJ42" i="7"/>
  <c r="BK42" i="7" s="1"/>
  <c r="BH42" i="7"/>
  <c r="BI42" i="7" s="1"/>
  <c r="BF42" i="7"/>
  <c r="BG42" i="7" s="1"/>
  <c r="BD42" i="7"/>
  <c r="BE42" i="7" s="1"/>
  <c r="BB42" i="7"/>
  <c r="BC42" i="7" s="1"/>
  <c r="AZ42" i="7"/>
  <c r="BA42" i="7" s="1"/>
  <c r="AX42" i="7"/>
  <c r="AY42" i="7" s="1"/>
  <c r="AV42" i="7"/>
  <c r="AW42" i="7" s="1"/>
  <c r="BJ41" i="7"/>
  <c r="BK41" i="7" s="1"/>
  <c r="BH41" i="7"/>
  <c r="BI41" i="7" s="1"/>
  <c r="BF41" i="7"/>
  <c r="BG41" i="7" s="1"/>
  <c r="BD41" i="7"/>
  <c r="BE41" i="7" s="1"/>
  <c r="BB41" i="7"/>
  <c r="BC41" i="7" s="1"/>
  <c r="AZ41" i="7"/>
  <c r="BA41" i="7" s="1"/>
  <c r="AX41" i="7"/>
  <c r="AY41" i="7" s="1"/>
  <c r="AV41" i="7"/>
  <c r="AW41" i="7" s="1"/>
  <c r="BJ40" i="7"/>
  <c r="BK40" i="7" s="1"/>
  <c r="BH40" i="7"/>
  <c r="BI40" i="7" s="1"/>
  <c r="BF40" i="7"/>
  <c r="BG40" i="7" s="1"/>
  <c r="BD40" i="7"/>
  <c r="BE40" i="7" s="1"/>
  <c r="BB40" i="7"/>
  <c r="BC40" i="7" s="1"/>
  <c r="AZ40" i="7"/>
  <c r="BA40" i="7" s="1"/>
  <c r="AX40" i="7"/>
  <c r="AY40" i="7" s="1"/>
  <c r="AV40" i="7"/>
  <c r="AW40" i="7" s="1"/>
  <c r="BJ39" i="7"/>
  <c r="BK39" i="7" s="1"/>
  <c r="BH39" i="7"/>
  <c r="BI39" i="7" s="1"/>
  <c r="BF39" i="7"/>
  <c r="BG39" i="7" s="1"/>
  <c r="BD39" i="7"/>
  <c r="BE39" i="7" s="1"/>
  <c r="BB39" i="7"/>
  <c r="BC39" i="7" s="1"/>
  <c r="AZ39" i="7"/>
  <c r="BA39" i="7" s="1"/>
  <c r="AX39" i="7"/>
  <c r="AY39" i="7" s="1"/>
  <c r="AV39" i="7"/>
  <c r="AW39" i="7" s="1"/>
  <c r="BJ38" i="7"/>
  <c r="BK38" i="7" s="1"/>
  <c r="BH38" i="7"/>
  <c r="BI38" i="7" s="1"/>
  <c r="BF38" i="7"/>
  <c r="BG38" i="7" s="1"/>
  <c r="BD38" i="7"/>
  <c r="BE38" i="7" s="1"/>
  <c r="BB38" i="7"/>
  <c r="BC38" i="7" s="1"/>
  <c r="AZ38" i="7"/>
  <c r="BA38" i="7" s="1"/>
  <c r="AX38" i="7"/>
  <c r="AY38" i="7" s="1"/>
  <c r="AV38" i="7"/>
  <c r="AW38" i="7" s="1"/>
  <c r="BJ37" i="7"/>
  <c r="BK37" i="7" s="1"/>
  <c r="BH37" i="7"/>
  <c r="BI37" i="7" s="1"/>
  <c r="BF37" i="7"/>
  <c r="BG37" i="7" s="1"/>
  <c r="BD37" i="7"/>
  <c r="BE37" i="7" s="1"/>
  <c r="BB37" i="7"/>
  <c r="BC37" i="7" s="1"/>
  <c r="AZ37" i="7"/>
  <c r="BA37" i="7" s="1"/>
  <c r="AX37" i="7"/>
  <c r="AY37" i="7" s="1"/>
  <c r="AV37" i="7"/>
  <c r="AW37" i="7" s="1"/>
  <c r="BJ36" i="7"/>
  <c r="BK36" i="7" s="1"/>
  <c r="BH36" i="7"/>
  <c r="BI36" i="7" s="1"/>
  <c r="BF36" i="7"/>
  <c r="BG36" i="7" s="1"/>
  <c r="BD36" i="7"/>
  <c r="BE36" i="7" s="1"/>
  <c r="BB36" i="7"/>
  <c r="BC36" i="7" s="1"/>
  <c r="AZ36" i="7"/>
  <c r="BA36" i="7" s="1"/>
  <c r="AX36" i="7"/>
  <c r="AY36" i="7" s="1"/>
  <c r="AV36" i="7"/>
  <c r="AW36" i="7" s="1"/>
  <c r="BJ35" i="7"/>
  <c r="BK35" i="7" s="1"/>
  <c r="BH35" i="7"/>
  <c r="BI35" i="7" s="1"/>
  <c r="BF35" i="7"/>
  <c r="BG35" i="7" s="1"/>
  <c r="BD35" i="7"/>
  <c r="BE35" i="7" s="1"/>
  <c r="BB35" i="7"/>
  <c r="BC35" i="7" s="1"/>
  <c r="AZ35" i="7"/>
  <c r="BA35" i="7" s="1"/>
  <c r="AX35" i="7"/>
  <c r="AY35" i="7" s="1"/>
  <c r="AV35" i="7"/>
  <c r="AW35" i="7" s="1"/>
  <c r="AT35" i="7"/>
  <c r="AU35" i="7" s="1"/>
  <c r="AR35" i="7"/>
  <c r="AS35" i="7" s="1"/>
  <c r="BJ34" i="7"/>
  <c r="BK34" i="7" s="1"/>
  <c r="BH34" i="7"/>
  <c r="BI34" i="7" s="1"/>
  <c r="BF34" i="7"/>
  <c r="BG34" i="7" s="1"/>
  <c r="BD34" i="7"/>
  <c r="BE34" i="7" s="1"/>
  <c r="BB34" i="7"/>
  <c r="BC34" i="7" s="1"/>
  <c r="AZ34" i="7"/>
  <c r="BA34" i="7" s="1"/>
  <c r="AX34" i="7"/>
  <c r="AY34" i="7" s="1"/>
  <c r="AV34" i="7"/>
  <c r="AW34" i="7" s="1"/>
  <c r="AT34" i="7"/>
  <c r="AU34" i="7" s="1"/>
  <c r="AR34" i="7"/>
  <c r="AS34" i="7" s="1"/>
  <c r="BJ33" i="7"/>
  <c r="BK33" i="7" s="1"/>
  <c r="BH33" i="7"/>
  <c r="BI33" i="7" s="1"/>
  <c r="BF33" i="7"/>
  <c r="BG33" i="7" s="1"/>
  <c r="BD33" i="7"/>
  <c r="BE33" i="7" s="1"/>
  <c r="BB33" i="7"/>
  <c r="BC33" i="7" s="1"/>
  <c r="AZ33" i="7"/>
  <c r="BA33" i="7" s="1"/>
  <c r="AX33" i="7"/>
  <c r="AY33" i="7" s="1"/>
  <c r="AV33" i="7"/>
  <c r="AW33" i="7" s="1"/>
  <c r="AT33" i="7"/>
  <c r="AU33" i="7" s="1"/>
  <c r="AR33" i="7"/>
  <c r="AS33" i="7" s="1"/>
  <c r="BJ32" i="7"/>
  <c r="BK32" i="7" s="1"/>
  <c r="BH32" i="7"/>
  <c r="BI32" i="7" s="1"/>
  <c r="BF32" i="7"/>
  <c r="BG32" i="7" s="1"/>
  <c r="BD32" i="7"/>
  <c r="BE32" i="7" s="1"/>
  <c r="BB32" i="7"/>
  <c r="BC32" i="7" s="1"/>
  <c r="AZ32" i="7"/>
  <c r="BA32" i="7" s="1"/>
  <c r="AX32" i="7"/>
  <c r="AY32" i="7" s="1"/>
  <c r="AV32" i="7"/>
  <c r="AW32" i="7" s="1"/>
  <c r="AT32" i="7"/>
  <c r="AU32" i="7" s="1"/>
  <c r="AR32" i="7"/>
  <c r="AS32" i="7" s="1"/>
  <c r="BJ31" i="7"/>
  <c r="BK31" i="7" s="1"/>
  <c r="BH31" i="7"/>
  <c r="BI31" i="7" s="1"/>
  <c r="BF31" i="7"/>
  <c r="BG31" i="7" s="1"/>
  <c r="BD31" i="7"/>
  <c r="BE31" i="7" s="1"/>
  <c r="BB31" i="7"/>
  <c r="BC31" i="7" s="1"/>
  <c r="AZ31" i="7"/>
  <c r="BA31" i="7" s="1"/>
  <c r="AX31" i="7"/>
  <c r="AY31" i="7" s="1"/>
  <c r="AV31" i="7"/>
  <c r="AW31" i="7" s="1"/>
  <c r="AT31" i="7"/>
  <c r="AU31" i="7" s="1"/>
  <c r="AR31" i="7"/>
  <c r="AS31" i="7" s="1"/>
  <c r="BJ30" i="7"/>
  <c r="BK30" i="7" s="1"/>
  <c r="BH30" i="7"/>
  <c r="BI30" i="7" s="1"/>
  <c r="BF30" i="7"/>
  <c r="BG30" i="7" s="1"/>
  <c r="BD30" i="7"/>
  <c r="BE30" i="7" s="1"/>
  <c r="BB30" i="7"/>
  <c r="BC30" i="7" s="1"/>
  <c r="AZ30" i="7"/>
  <c r="BA30" i="7" s="1"/>
  <c r="AX30" i="7"/>
  <c r="AY30" i="7" s="1"/>
  <c r="AV30" i="7"/>
  <c r="AW30" i="7" s="1"/>
  <c r="AT30" i="7"/>
  <c r="AU30" i="7" s="1"/>
  <c r="AR30" i="7"/>
  <c r="AS30" i="7" s="1"/>
  <c r="BJ29" i="7"/>
  <c r="BK29" i="7" s="1"/>
  <c r="BH29" i="7"/>
  <c r="BI29" i="7" s="1"/>
  <c r="BF29" i="7"/>
  <c r="BG29" i="7" s="1"/>
  <c r="BD29" i="7"/>
  <c r="BE29" i="7" s="1"/>
  <c r="BB29" i="7"/>
  <c r="BC29" i="7" s="1"/>
  <c r="AZ29" i="7"/>
  <c r="BA29" i="7" s="1"/>
  <c r="AX29" i="7"/>
  <c r="AY29" i="7" s="1"/>
  <c r="AV29" i="7"/>
  <c r="AW29" i="7" s="1"/>
  <c r="AT29" i="7"/>
  <c r="AU29" i="7" s="1"/>
  <c r="AR29" i="7"/>
  <c r="AS29" i="7" s="1"/>
  <c r="BJ28" i="7"/>
  <c r="BK28" i="7" s="1"/>
  <c r="BH28" i="7"/>
  <c r="BI28" i="7" s="1"/>
  <c r="BF28" i="7"/>
  <c r="BG28" i="7" s="1"/>
  <c r="BD28" i="7"/>
  <c r="BE28" i="7" s="1"/>
  <c r="BB28" i="7"/>
  <c r="BC28" i="7" s="1"/>
  <c r="AZ28" i="7"/>
  <c r="BA28" i="7" s="1"/>
  <c r="AX28" i="7"/>
  <c r="AY28" i="7" s="1"/>
  <c r="AV28" i="7"/>
  <c r="AW28" i="7" s="1"/>
  <c r="AT28" i="7"/>
  <c r="AU28" i="7" s="1"/>
  <c r="AR28" i="7"/>
  <c r="AS28" i="7" s="1"/>
  <c r="BJ27" i="7"/>
  <c r="BK27" i="7" s="1"/>
  <c r="BH27" i="7"/>
  <c r="BI27" i="7" s="1"/>
  <c r="BF27" i="7"/>
  <c r="BG27" i="7" s="1"/>
  <c r="BD27" i="7"/>
  <c r="BE27" i="7" s="1"/>
  <c r="BB27" i="7"/>
  <c r="BC27" i="7" s="1"/>
  <c r="AZ27" i="7"/>
  <c r="BA27" i="7" s="1"/>
  <c r="AX27" i="7"/>
  <c r="AY27" i="7" s="1"/>
  <c r="AV27" i="7"/>
  <c r="AW27" i="7" s="1"/>
  <c r="AT27" i="7"/>
  <c r="AU27" i="7" s="1"/>
  <c r="AR27" i="7"/>
  <c r="AS27" i="7" s="1"/>
  <c r="BJ26" i="7"/>
  <c r="BK26" i="7" s="1"/>
  <c r="BH26" i="7"/>
  <c r="BI26" i="7" s="1"/>
  <c r="BF26" i="7"/>
  <c r="BG26" i="7" s="1"/>
  <c r="BD26" i="7"/>
  <c r="BE26" i="7" s="1"/>
  <c r="BB26" i="7"/>
  <c r="BC26" i="7" s="1"/>
  <c r="AZ26" i="7"/>
  <c r="BA26" i="7" s="1"/>
  <c r="AX26" i="7"/>
  <c r="AY26" i="7" s="1"/>
  <c r="AV26" i="7"/>
  <c r="AW26" i="7" s="1"/>
  <c r="AT26" i="7"/>
  <c r="AU26" i="7" s="1"/>
  <c r="AR26" i="7"/>
  <c r="AS26" i="7" s="1"/>
  <c r="BJ25" i="7"/>
  <c r="BK25" i="7" s="1"/>
  <c r="BH25" i="7"/>
  <c r="BI25" i="7" s="1"/>
  <c r="BF25" i="7"/>
  <c r="BG25" i="7" s="1"/>
  <c r="BD25" i="7"/>
  <c r="BE25" i="7" s="1"/>
  <c r="BB25" i="7"/>
  <c r="BC25" i="7" s="1"/>
  <c r="AZ25" i="7"/>
  <c r="BA25" i="7" s="1"/>
  <c r="AX25" i="7"/>
  <c r="AY25" i="7" s="1"/>
  <c r="AV25" i="7"/>
  <c r="AW25" i="7" s="1"/>
  <c r="AT25" i="7"/>
  <c r="AU25" i="7" s="1"/>
  <c r="AR25" i="7"/>
  <c r="AS25" i="7" s="1"/>
  <c r="BJ24" i="7"/>
  <c r="BK24" i="7" s="1"/>
  <c r="BH24" i="7"/>
  <c r="BI24" i="7" s="1"/>
  <c r="BF24" i="7"/>
  <c r="BG24" i="7" s="1"/>
  <c r="BD24" i="7"/>
  <c r="BE24" i="7" s="1"/>
  <c r="BB24" i="7"/>
  <c r="BC24" i="7" s="1"/>
  <c r="AZ24" i="7"/>
  <c r="BA24" i="7" s="1"/>
  <c r="AX24" i="7"/>
  <c r="AY24" i="7" s="1"/>
  <c r="AV24" i="7"/>
  <c r="AW24" i="7" s="1"/>
  <c r="AT24" i="7"/>
  <c r="AU24" i="7" s="1"/>
  <c r="AR24" i="7"/>
  <c r="AS24" i="7" s="1"/>
  <c r="BJ23" i="7"/>
  <c r="BK23" i="7" s="1"/>
  <c r="BH23" i="7"/>
  <c r="BI23" i="7" s="1"/>
  <c r="BF23" i="7"/>
  <c r="BG23" i="7" s="1"/>
  <c r="BD23" i="7"/>
  <c r="BE23" i="7" s="1"/>
  <c r="BB23" i="7"/>
  <c r="BC23" i="7" s="1"/>
  <c r="AZ23" i="7"/>
  <c r="BA23" i="7" s="1"/>
  <c r="AX23" i="7"/>
  <c r="AY23" i="7" s="1"/>
  <c r="AV23" i="7"/>
  <c r="AW23" i="7" s="1"/>
  <c r="AT23" i="7"/>
  <c r="AU23" i="7" s="1"/>
  <c r="AR23" i="7"/>
  <c r="AS23" i="7" s="1"/>
  <c r="BJ22" i="7"/>
  <c r="BK22" i="7" s="1"/>
  <c r="BH22" i="7"/>
  <c r="BI22" i="7" s="1"/>
  <c r="BF22" i="7"/>
  <c r="BG22" i="7" s="1"/>
  <c r="BD22" i="7"/>
  <c r="BE22" i="7" s="1"/>
  <c r="BB22" i="7"/>
  <c r="BC22" i="7" s="1"/>
  <c r="AZ22" i="7"/>
  <c r="BA22" i="7" s="1"/>
  <c r="AX22" i="7"/>
  <c r="AY22" i="7" s="1"/>
  <c r="AV22" i="7"/>
  <c r="AW22" i="7" s="1"/>
  <c r="AT22" i="7"/>
  <c r="AU22" i="7" s="1"/>
  <c r="AR22" i="7"/>
  <c r="AS22" i="7" s="1"/>
  <c r="BJ21" i="7"/>
  <c r="BK21" i="7" s="1"/>
  <c r="BH21" i="7"/>
  <c r="BI21" i="7" s="1"/>
  <c r="BF21" i="7"/>
  <c r="BG21" i="7" s="1"/>
  <c r="BD21" i="7"/>
  <c r="BE21" i="7" s="1"/>
  <c r="BB21" i="7"/>
  <c r="BC21" i="7" s="1"/>
  <c r="AZ21" i="7"/>
  <c r="BA21" i="7" s="1"/>
  <c r="AX21" i="7"/>
  <c r="AY21" i="7" s="1"/>
  <c r="AV21" i="7"/>
  <c r="AW21" i="7" s="1"/>
  <c r="AT21" i="7"/>
  <c r="AU21" i="7" s="1"/>
  <c r="AR21" i="7"/>
  <c r="AS21" i="7" s="1"/>
  <c r="BJ20" i="7"/>
  <c r="BK20" i="7" s="1"/>
  <c r="BH20" i="7"/>
  <c r="BI20" i="7" s="1"/>
  <c r="BF20" i="7"/>
  <c r="BG20" i="7" s="1"/>
  <c r="BD20" i="7"/>
  <c r="BE20" i="7" s="1"/>
  <c r="BB20" i="7"/>
  <c r="BC20" i="7" s="1"/>
  <c r="AZ20" i="7"/>
  <c r="BA20" i="7" s="1"/>
  <c r="AX20" i="7"/>
  <c r="AY20" i="7" s="1"/>
  <c r="AV20" i="7"/>
  <c r="AW20" i="7" s="1"/>
  <c r="AT20" i="7"/>
  <c r="AU20" i="7" s="1"/>
  <c r="AR20" i="7"/>
  <c r="AS20" i="7" s="1"/>
  <c r="BJ19" i="7"/>
  <c r="BK19" i="7" s="1"/>
  <c r="BH19" i="7"/>
  <c r="BI19" i="7" s="1"/>
  <c r="BF19" i="7"/>
  <c r="BG19" i="7" s="1"/>
  <c r="BD19" i="7"/>
  <c r="BE19" i="7" s="1"/>
  <c r="BB19" i="7"/>
  <c r="BC19" i="7" s="1"/>
  <c r="AZ19" i="7"/>
  <c r="BA19" i="7" s="1"/>
  <c r="AX19" i="7"/>
  <c r="AY19" i="7" s="1"/>
  <c r="AV19" i="7"/>
  <c r="AW19" i="7" s="1"/>
  <c r="AT19" i="7"/>
  <c r="AU19" i="7" s="1"/>
  <c r="AR19" i="7"/>
  <c r="AS19" i="7" s="1"/>
  <c r="BJ18" i="7"/>
  <c r="BK18" i="7" s="1"/>
  <c r="BH18" i="7"/>
  <c r="BI18" i="7" s="1"/>
  <c r="BF18" i="7"/>
  <c r="BG18" i="7" s="1"/>
  <c r="BD18" i="7"/>
  <c r="BE18" i="7" s="1"/>
  <c r="BB18" i="7"/>
  <c r="BC18" i="7" s="1"/>
  <c r="AZ18" i="7"/>
  <c r="BA18" i="7" s="1"/>
  <c r="AX18" i="7"/>
  <c r="AY18" i="7" s="1"/>
  <c r="AV18" i="7"/>
  <c r="AW18" i="7" s="1"/>
  <c r="AT18" i="7"/>
  <c r="AU18" i="7" s="1"/>
  <c r="AR18" i="7"/>
  <c r="AS18" i="7" s="1"/>
  <c r="BJ17" i="7"/>
  <c r="BK17" i="7" s="1"/>
  <c r="BH17" i="7"/>
  <c r="BI17" i="7" s="1"/>
  <c r="BF17" i="7"/>
  <c r="BG17" i="7" s="1"/>
  <c r="BD17" i="7"/>
  <c r="BE17" i="7" s="1"/>
  <c r="BB17" i="7"/>
  <c r="BC17" i="7" s="1"/>
  <c r="AZ17" i="7"/>
  <c r="BA17" i="7" s="1"/>
  <c r="AX17" i="7"/>
  <c r="AY17" i="7" s="1"/>
  <c r="AV17" i="7"/>
  <c r="AW17" i="7" s="1"/>
  <c r="AT17" i="7"/>
  <c r="AU17" i="7" s="1"/>
  <c r="AR17" i="7"/>
  <c r="AS17" i="7" s="1"/>
  <c r="BJ16" i="7"/>
  <c r="BK16" i="7" s="1"/>
  <c r="BH16" i="7"/>
  <c r="BI16" i="7" s="1"/>
  <c r="BF16" i="7"/>
  <c r="BG16" i="7" s="1"/>
  <c r="BD16" i="7"/>
  <c r="BE16" i="7" s="1"/>
  <c r="BB16" i="7"/>
  <c r="BC16" i="7" s="1"/>
  <c r="AZ16" i="7"/>
  <c r="BA16" i="7" s="1"/>
  <c r="AX16" i="7"/>
  <c r="AY16" i="7" s="1"/>
  <c r="AV16" i="7"/>
  <c r="AW16" i="7" s="1"/>
  <c r="AT16" i="7"/>
  <c r="AU16" i="7" s="1"/>
  <c r="AR16" i="7"/>
  <c r="AS16" i="7" s="1"/>
  <c r="BJ15" i="7"/>
  <c r="BK15" i="7" s="1"/>
  <c r="BH15" i="7"/>
  <c r="BI15" i="7" s="1"/>
  <c r="BF15" i="7"/>
  <c r="BG15" i="7" s="1"/>
  <c r="BD15" i="7"/>
  <c r="BE15" i="7" s="1"/>
  <c r="BB15" i="7"/>
  <c r="BC15" i="7" s="1"/>
  <c r="AZ15" i="7"/>
  <c r="BA15" i="7" s="1"/>
  <c r="AX15" i="7"/>
  <c r="AY15" i="7" s="1"/>
  <c r="AV15" i="7"/>
  <c r="AW15" i="7" s="1"/>
  <c r="AT15" i="7"/>
  <c r="AU15" i="7" s="1"/>
  <c r="AR15" i="7"/>
  <c r="AS15" i="7" s="1"/>
  <c r="BJ14" i="7"/>
  <c r="BK14" i="7" s="1"/>
  <c r="BH14" i="7"/>
  <c r="BI14" i="7" s="1"/>
  <c r="BF14" i="7"/>
  <c r="BG14" i="7" s="1"/>
  <c r="BD14" i="7"/>
  <c r="BE14" i="7" s="1"/>
  <c r="BB14" i="7"/>
  <c r="BC14" i="7" s="1"/>
  <c r="AZ14" i="7"/>
  <c r="BA14" i="7" s="1"/>
  <c r="AX14" i="7"/>
  <c r="AY14" i="7" s="1"/>
  <c r="AV14" i="7"/>
  <c r="AW14" i="7" s="1"/>
  <c r="AT14" i="7"/>
  <c r="AU14" i="7" s="1"/>
  <c r="AR14" i="7"/>
  <c r="AS14" i="7" s="1"/>
  <c r="BJ13" i="7"/>
  <c r="BK13" i="7" s="1"/>
  <c r="BH13" i="7"/>
  <c r="BI13" i="7" s="1"/>
  <c r="BF13" i="7"/>
  <c r="BG13" i="7" s="1"/>
  <c r="BD13" i="7"/>
  <c r="BE13" i="7" s="1"/>
  <c r="BB13" i="7"/>
  <c r="BC13" i="7" s="1"/>
  <c r="AZ13" i="7"/>
  <c r="BA13" i="7" s="1"/>
  <c r="AX13" i="7"/>
  <c r="AY13" i="7" s="1"/>
  <c r="AV13" i="7"/>
  <c r="AW13" i="7" s="1"/>
  <c r="AT13" i="7"/>
  <c r="AU13" i="7" s="1"/>
  <c r="AR13" i="7"/>
  <c r="AS13" i="7" s="1"/>
  <c r="BJ12" i="7"/>
  <c r="BK12" i="7" s="1"/>
  <c r="BH12" i="7"/>
  <c r="BI12" i="7" s="1"/>
  <c r="BF12" i="7"/>
  <c r="BG12" i="7" s="1"/>
  <c r="BD12" i="7"/>
  <c r="BE12" i="7" s="1"/>
  <c r="BB12" i="7"/>
  <c r="BC12" i="7" s="1"/>
  <c r="AZ12" i="7"/>
  <c r="BA12" i="7" s="1"/>
  <c r="AX12" i="7"/>
  <c r="AY12" i="7" s="1"/>
  <c r="AV12" i="7"/>
  <c r="AW12" i="7" s="1"/>
  <c r="AT12" i="7"/>
  <c r="AU12" i="7" s="1"/>
  <c r="AR12" i="7"/>
  <c r="AS12" i="7" s="1"/>
  <c r="BJ11" i="7"/>
  <c r="BK11" i="7" s="1"/>
  <c r="BH11" i="7"/>
  <c r="BI11" i="7" s="1"/>
  <c r="BF11" i="7"/>
  <c r="BG11" i="7" s="1"/>
  <c r="BD11" i="7"/>
  <c r="BE11" i="7" s="1"/>
  <c r="BB11" i="7"/>
  <c r="BC11" i="7" s="1"/>
  <c r="AZ11" i="7"/>
  <c r="BA11" i="7" s="1"/>
  <c r="AX11" i="7"/>
  <c r="AY11" i="7" s="1"/>
  <c r="AV11" i="7"/>
  <c r="AW11" i="7" s="1"/>
  <c r="AT11" i="7"/>
  <c r="AU11" i="7" s="1"/>
  <c r="AR11" i="7"/>
  <c r="AS11" i="7" s="1"/>
  <c r="BJ10" i="7"/>
  <c r="BK10" i="7" s="1"/>
  <c r="BH10" i="7"/>
  <c r="BI10" i="7" s="1"/>
  <c r="BF10" i="7"/>
  <c r="BG10" i="7" s="1"/>
  <c r="BD10" i="7"/>
  <c r="BE10" i="7" s="1"/>
  <c r="BB10" i="7"/>
  <c r="BC10" i="7" s="1"/>
  <c r="AZ10" i="7"/>
  <c r="BA10" i="7" s="1"/>
  <c r="AX10" i="7"/>
  <c r="AY10" i="7" s="1"/>
  <c r="AV10" i="7"/>
  <c r="AW10" i="7" s="1"/>
  <c r="AT10" i="7"/>
  <c r="AU10" i="7" s="1"/>
  <c r="AR10" i="7"/>
  <c r="AS10" i="7" s="1"/>
  <c r="BJ9" i="7"/>
  <c r="BK9" i="7" s="1"/>
  <c r="BH9" i="7"/>
  <c r="BI9" i="7" s="1"/>
  <c r="BF9" i="7"/>
  <c r="BG9" i="7" s="1"/>
  <c r="BD9" i="7"/>
  <c r="BE9" i="7" s="1"/>
  <c r="BB9" i="7"/>
  <c r="BC9" i="7" s="1"/>
  <c r="AZ9" i="7"/>
  <c r="BA9" i="7" s="1"/>
  <c r="AX9" i="7"/>
  <c r="AY9" i="7" s="1"/>
  <c r="AV9" i="7"/>
  <c r="AW9" i="7" s="1"/>
  <c r="AT9" i="7"/>
  <c r="AU9" i="7" s="1"/>
  <c r="AR9" i="7"/>
  <c r="AS9" i="7" s="1"/>
  <c r="BJ8" i="7"/>
  <c r="BK8" i="7" s="1"/>
  <c r="BH8" i="7"/>
  <c r="BI8" i="7" s="1"/>
  <c r="BF8" i="7"/>
  <c r="BG8" i="7" s="1"/>
  <c r="BD8" i="7"/>
  <c r="BE8" i="7" s="1"/>
  <c r="BB8" i="7"/>
  <c r="BC8" i="7" s="1"/>
  <c r="AZ8" i="7"/>
  <c r="BA8" i="7" s="1"/>
  <c r="AX8" i="7"/>
  <c r="AY8" i="7" s="1"/>
  <c r="AV8" i="7"/>
  <c r="AW8" i="7" s="1"/>
  <c r="AT8" i="7"/>
  <c r="AU8" i="7" s="1"/>
  <c r="AR8" i="7"/>
  <c r="AS8" i="7" s="1"/>
  <c r="BJ7" i="7"/>
  <c r="BK7" i="7" s="1"/>
  <c r="BH7" i="7"/>
  <c r="BI7" i="7" s="1"/>
  <c r="BF7" i="7"/>
  <c r="BG7" i="7" s="1"/>
  <c r="BD7" i="7"/>
  <c r="BE7" i="7" s="1"/>
  <c r="BB7" i="7"/>
  <c r="BC7" i="7" s="1"/>
  <c r="AZ7" i="7"/>
  <c r="BA7" i="7" s="1"/>
  <c r="AX7" i="7"/>
  <c r="AY7" i="7" s="1"/>
  <c r="AV7" i="7"/>
  <c r="AW7" i="7" s="1"/>
  <c r="AT7" i="7"/>
  <c r="AU7" i="7" s="1"/>
  <c r="AR7" i="7"/>
  <c r="AS7" i="7" s="1"/>
  <c r="BJ6" i="7"/>
  <c r="BK6" i="7" s="1"/>
  <c r="BH6" i="7"/>
  <c r="BI6" i="7" s="1"/>
  <c r="BF6" i="7"/>
  <c r="BG6" i="7" s="1"/>
  <c r="BD6" i="7"/>
  <c r="BE6" i="7" s="1"/>
  <c r="BB6" i="7"/>
  <c r="BC6" i="7" s="1"/>
  <c r="AZ6" i="7"/>
  <c r="BA6" i="7" s="1"/>
  <c r="AX6" i="7"/>
  <c r="AY6" i="7" s="1"/>
  <c r="AV6" i="7"/>
  <c r="AW6" i="7" s="1"/>
  <c r="AT6" i="7"/>
  <c r="AU6" i="7" s="1"/>
  <c r="AR6" i="7"/>
  <c r="AS6" i="7" s="1"/>
  <c r="BJ5" i="7"/>
  <c r="BK5" i="7" s="1"/>
  <c r="BH5" i="7"/>
  <c r="BI5" i="7" s="1"/>
  <c r="BF5" i="7"/>
  <c r="BG5" i="7" s="1"/>
  <c r="BD5" i="7"/>
  <c r="BE5" i="7" s="1"/>
  <c r="BC5" i="7"/>
  <c r="BU11" i="7" l="1" a="1"/>
  <c r="BU11" i="7" s="1"/>
  <c r="BM16" i="7" a="1"/>
  <c r="BM16" i="7" s="1"/>
  <c r="BO16" i="7" a="1"/>
  <c r="BO16" i="7" s="1"/>
  <c r="BQ16" i="7" a="1"/>
  <c r="BQ16" i="7" s="1"/>
  <c r="BS14" i="7" a="1"/>
  <c r="BS14" i="7" s="1"/>
  <c r="BT13" i="7" a="1"/>
  <c r="BT13" i="7" s="1"/>
  <c r="CF13" i="7" s="1"/>
  <c r="BP20" i="7" a="1"/>
  <c r="BP20" i="7" s="1"/>
  <c r="BP19" i="7" a="1"/>
  <c r="BP19" i="7" s="1"/>
  <c r="CB19" i="7" s="1"/>
  <c r="BP18" i="7" a="1"/>
  <c r="BP18" i="7" s="1"/>
  <c r="CB18" i="7" s="1"/>
  <c r="BP17" i="7" a="1"/>
  <c r="BP17" i="7" s="1"/>
  <c r="CB17" i="7" s="1"/>
  <c r="BM5" i="7" a="1"/>
  <c r="BM5" i="7" s="1"/>
  <c r="BM6" i="7" a="1"/>
  <c r="BM6" i="7" s="1"/>
  <c r="BO6" i="7" a="1"/>
  <c r="BO6" i="7" s="1"/>
  <c r="BQ6" i="7" a="1"/>
  <c r="BQ6" i="7" s="1"/>
  <c r="BS6" i="7" a="1"/>
  <c r="BS6" i="7" s="1"/>
  <c r="BU6" i="7" a="1"/>
  <c r="BU6" i="7" s="1"/>
  <c r="BM7" i="7" a="1"/>
  <c r="BM7" i="7" s="1"/>
  <c r="BO7" i="7" a="1"/>
  <c r="BO7" i="7" s="1"/>
  <c r="BQ7" i="7" a="1"/>
  <c r="BQ7" i="7" s="1"/>
  <c r="BS7" i="7" a="1"/>
  <c r="BS7" i="7" s="1"/>
  <c r="BU7" i="7" a="1"/>
  <c r="BU7" i="7" s="1"/>
  <c r="BP10" i="7" a="1"/>
  <c r="BP10" i="7" s="1"/>
  <c r="CB10" i="7" s="1"/>
  <c r="BT10" i="7" a="1"/>
  <c r="BT10" i="7" s="1"/>
  <c r="CF10" i="7" s="1"/>
  <c r="BP11" i="7" a="1"/>
  <c r="BP11" i="7" s="1"/>
  <c r="CB11" i="7" s="1"/>
  <c r="BT11" i="7" a="1"/>
  <c r="BT11" i="7" s="1"/>
  <c r="CF11" i="7" s="1"/>
  <c r="BM14" i="7" a="1"/>
  <c r="BM14" i="7" s="1"/>
  <c r="BO14" i="7" a="1"/>
  <c r="BO14" i="7" s="1"/>
  <c r="BQ14" i="7" a="1"/>
  <c r="BQ14" i="7" s="1"/>
  <c r="BU14" i="7" a="1"/>
  <c r="BU14" i="7" s="1"/>
  <c r="BM15" i="7" a="1"/>
  <c r="BM15" i="7" s="1"/>
  <c r="BO15" i="7" a="1"/>
  <c r="BO15" i="7" s="1"/>
  <c r="BT15" i="7" a="1"/>
  <c r="BT15" i="7" s="1"/>
  <c r="CF15" i="7" s="1"/>
  <c r="BO17" i="7" a="1"/>
  <c r="BO17" i="7" s="1"/>
  <c r="BO20" i="7" a="1"/>
  <c r="BO20" i="7" s="1"/>
  <c r="BO19" i="7" a="1"/>
  <c r="BO19" i="7" s="1"/>
  <c r="BO18" i="7" a="1"/>
  <c r="BO18" i="7" s="1"/>
  <c r="BS17" i="7" a="1"/>
  <c r="BS17" i="7" s="1"/>
  <c r="BS16" i="7" a="1"/>
  <c r="BS16" i="7" s="1"/>
  <c r="BS15" i="7" a="1"/>
  <c r="BS15" i="7" s="1"/>
  <c r="BS20" i="7" a="1"/>
  <c r="BS20" i="7" s="1"/>
  <c r="BS19" i="7" a="1"/>
  <c r="BS19" i="7" s="1"/>
  <c r="BS18" i="7" a="1"/>
  <c r="BS18" i="7" s="1"/>
  <c r="BP5" i="7" a="1"/>
  <c r="BP5" i="7" s="1"/>
  <c r="CB5" i="7" s="1"/>
  <c r="BT5" i="7" a="1"/>
  <c r="BT5" i="7" s="1"/>
  <c r="CF5" i="7" s="1"/>
  <c r="BM8" i="7" a="1"/>
  <c r="BM8" i="7" s="1"/>
  <c r="BO8" i="7" a="1"/>
  <c r="BO8" i="7" s="1"/>
  <c r="BQ8" i="7" a="1"/>
  <c r="BQ8" i="7" s="1"/>
  <c r="BS8" i="7" a="1"/>
  <c r="BS8" i="7" s="1"/>
  <c r="BU8" i="7" a="1"/>
  <c r="BU8" i="7" s="1"/>
  <c r="BM9" i="7" a="1"/>
  <c r="BM9" i="7" s="1"/>
  <c r="BO9" i="7" a="1"/>
  <c r="BO9" i="7" s="1"/>
  <c r="BQ9" i="7" a="1"/>
  <c r="BQ9" i="7" s="1"/>
  <c r="BS9" i="7" a="1"/>
  <c r="BS9" i="7" s="1"/>
  <c r="BU9" i="7" a="1"/>
  <c r="BU9" i="7" s="1"/>
  <c r="BP12" i="7" a="1"/>
  <c r="BP12" i="7" s="1"/>
  <c r="CB12" i="7" s="1"/>
  <c r="BT12" i="7" a="1"/>
  <c r="BT12" i="7" s="1"/>
  <c r="CF12" i="7" s="1"/>
  <c r="BP13" i="7" a="1"/>
  <c r="BP13" i="7" s="1"/>
  <c r="CB13" i="7" s="1"/>
  <c r="BP16" i="7" a="1"/>
  <c r="BP16" i="7" s="1"/>
  <c r="CB16" i="7" s="1"/>
  <c r="BT20" i="7" a="1"/>
  <c r="BT20" i="7" s="1"/>
  <c r="BT19" i="7" a="1"/>
  <c r="BT19" i="7" s="1"/>
  <c r="CF19" i="7" s="1"/>
  <c r="BT18" i="7" a="1"/>
  <c r="BT18" i="7" s="1"/>
  <c r="CF18" i="7" s="1"/>
  <c r="BT17" i="7" a="1"/>
  <c r="BT17" i="7" s="1"/>
  <c r="CF17" i="7" s="1"/>
  <c r="BT16" i="7" a="1"/>
  <c r="BT16" i="7" s="1"/>
  <c r="CF16" i="7" s="1"/>
  <c r="BP6" i="7" a="1"/>
  <c r="BP6" i="7" s="1"/>
  <c r="CB6" i="7" s="1"/>
  <c r="BT6" i="7" a="1"/>
  <c r="BT6" i="7" s="1"/>
  <c r="CF6" i="7" s="1"/>
  <c r="BP7" i="7" a="1"/>
  <c r="BP7" i="7" s="1"/>
  <c r="CB7" i="7" s="1"/>
  <c r="BT7" i="7" a="1"/>
  <c r="BT7" i="7" s="1"/>
  <c r="CF7" i="7" s="1"/>
  <c r="BM10" i="7" a="1"/>
  <c r="BM10" i="7" s="1"/>
  <c r="BO10" i="7" a="1"/>
  <c r="BO10" i="7" s="1"/>
  <c r="BQ10" i="7" a="1"/>
  <c r="BQ10" i="7" s="1"/>
  <c r="BS10" i="7" a="1"/>
  <c r="BS10" i="7" s="1"/>
  <c r="BU10" i="7" a="1"/>
  <c r="BU10" i="7" s="1"/>
  <c r="BM11" i="7" a="1"/>
  <c r="BM11" i="7" s="1"/>
  <c r="BO11" i="7" a="1"/>
  <c r="BO11" i="7" s="1"/>
  <c r="BQ11" i="7" a="1"/>
  <c r="BQ11" i="7" s="1"/>
  <c r="BS11" i="7" a="1"/>
  <c r="BS11" i="7" s="1"/>
  <c r="BP14" i="7" a="1"/>
  <c r="BP14" i="7" s="1"/>
  <c r="CB14" i="7" s="1"/>
  <c r="BT14" i="7" a="1"/>
  <c r="BT14" i="7" s="1"/>
  <c r="CF14" i="7" s="1"/>
  <c r="BP15" i="7" a="1"/>
  <c r="BP15" i="7" s="1"/>
  <c r="CB15" i="7" s="1"/>
  <c r="BM17" i="7" a="1"/>
  <c r="BM17" i="7" s="1"/>
  <c r="BM20" i="7" a="1"/>
  <c r="BM20" i="7" s="1"/>
  <c r="BM19" i="7" a="1"/>
  <c r="BM19" i="7" s="1"/>
  <c r="BM18" i="7" a="1"/>
  <c r="BM18" i="7" s="1"/>
  <c r="BQ17" i="7" a="1"/>
  <c r="BQ17" i="7" s="1"/>
  <c r="BQ15" i="7" a="1"/>
  <c r="BQ15" i="7" s="1"/>
  <c r="BQ20" i="7" a="1"/>
  <c r="BQ20" i="7" s="1"/>
  <c r="BQ19" i="7" a="1"/>
  <c r="BQ19" i="7" s="1"/>
  <c r="BQ18" i="7" a="1"/>
  <c r="BQ18" i="7" s="1"/>
  <c r="BU17" i="7" a="1"/>
  <c r="BU17" i="7" s="1"/>
  <c r="BU16" i="7" a="1"/>
  <c r="BU16" i="7" s="1"/>
  <c r="BU15" i="7" a="1"/>
  <c r="BU15" i="7" s="1"/>
  <c r="BU20" i="7" a="1"/>
  <c r="BU20" i="7" s="1"/>
  <c r="BU19" i="7" a="1"/>
  <c r="BU19" i="7" s="1"/>
  <c r="BU18" i="7" a="1"/>
  <c r="BU18" i="7" s="1"/>
  <c r="BO5" i="7" a="1"/>
  <c r="BO5" i="7" s="1"/>
  <c r="BQ5" i="7" a="1"/>
  <c r="BQ5" i="7" s="1"/>
  <c r="BS5" i="7" a="1"/>
  <c r="BS5" i="7" s="1"/>
  <c r="BU5" i="7" a="1"/>
  <c r="BU5" i="7" s="1"/>
  <c r="BP8" i="7" a="1"/>
  <c r="BP8" i="7" s="1"/>
  <c r="CB8" i="7" s="1"/>
  <c r="BT8" i="7" a="1"/>
  <c r="BT8" i="7" s="1"/>
  <c r="CF8" i="7" s="1"/>
  <c r="BP9" i="7" a="1"/>
  <c r="BP9" i="7" s="1"/>
  <c r="CB9" i="7" s="1"/>
  <c r="BT9" i="7" a="1"/>
  <c r="BT9" i="7" s="1"/>
  <c r="CF9" i="7" s="1"/>
  <c r="BM12" i="7" a="1"/>
  <c r="BM12" i="7" s="1"/>
  <c r="BO12" i="7" a="1"/>
  <c r="BO12" i="7" s="1"/>
  <c r="BQ12" i="7" a="1"/>
  <c r="BQ12" i="7" s="1"/>
  <c r="BS12" i="7" a="1"/>
  <c r="BS12" i="7" s="1"/>
  <c r="BU12" i="7" a="1"/>
  <c r="BU12" i="7" s="1"/>
  <c r="BM13" i="7" a="1"/>
  <c r="BM13" i="7" s="1"/>
  <c r="BO13" i="7" a="1"/>
  <c r="BO13" i="7" s="1"/>
  <c r="BQ13" i="7" a="1"/>
  <c r="BQ13" i="7" s="1"/>
  <c r="BS13" i="7" a="1"/>
  <c r="BS13" i="7" s="1"/>
  <c r="BU13" i="7" a="1"/>
  <c r="BU13" i="7" s="1"/>
  <c r="BS300" i="3"/>
  <c r="BR300" i="3"/>
  <c r="BS299" i="3"/>
  <c r="BR299" i="3"/>
  <c r="BS298" i="3"/>
  <c r="BR298" i="3"/>
  <c r="BS297" i="3"/>
  <c r="BR297" i="3"/>
  <c r="BS296" i="3"/>
  <c r="BR296" i="3"/>
  <c r="BS295" i="3"/>
  <c r="BR295" i="3"/>
  <c r="BS294" i="3"/>
  <c r="BR294" i="3"/>
  <c r="BS293" i="3"/>
  <c r="BR293" i="3"/>
  <c r="BS292" i="3"/>
  <c r="BR292" i="3"/>
  <c r="BS291" i="3"/>
  <c r="BR291" i="3"/>
  <c r="BS290" i="3"/>
  <c r="BR290" i="3"/>
  <c r="BS289" i="3"/>
  <c r="BR289" i="3"/>
  <c r="BS288" i="3"/>
  <c r="BR288" i="3"/>
  <c r="BS287" i="3"/>
  <c r="BR287" i="3"/>
  <c r="BS286" i="3"/>
  <c r="BR286" i="3"/>
  <c r="BS285" i="3"/>
  <c r="BR285" i="3"/>
  <c r="BS284" i="3"/>
  <c r="BR284" i="3"/>
  <c r="BS283" i="3"/>
  <c r="BR283" i="3"/>
  <c r="BS282" i="3"/>
  <c r="BR282" i="3"/>
  <c r="BS281" i="3"/>
  <c r="BR281" i="3"/>
  <c r="BS280" i="3"/>
  <c r="BR280" i="3"/>
  <c r="BS279" i="3"/>
  <c r="BR279" i="3"/>
  <c r="BS278" i="3"/>
  <c r="BR278" i="3"/>
  <c r="BS277" i="3"/>
  <c r="BR277" i="3"/>
  <c r="BS276" i="3"/>
  <c r="BR276" i="3"/>
  <c r="BS275" i="3"/>
  <c r="BR275" i="3"/>
  <c r="BS274" i="3"/>
  <c r="BR274" i="3"/>
  <c r="BS273" i="3"/>
  <c r="BR273" i="3"/>
  <c r="BS272" i="3"/>
  <c r="BR272" i="3"/>
  <c r="BS271" i="3"/>
  <c r="BR271" i="3"/>
  <c r="BS270" i="3"/>
  <c r="BR270" i="3"/>
  <c r="BS269" i="3"/>
  <c r="BR269" i="3"/>
  <c r="BS268" i="3"/>
  <c r="BR268" i="3"/>
  <c r="BS267" i="3"/>
  <c r="BR267" i="3"/>
  <c r="BS266" i="3"/>
  <c r="BR266" i="3"/>
  <c r="BS265" i="3"/>
  <c r="BR265" i="3"/>
  <c r="BS264" i="3"/>
  <c r="BR264" i="3"/>
  <c r="BS263" i="3"/>
  <c r="BR263" i="3"/>
  <c r="BS262" i="3"/>
  <c r="BR262" i="3"/>
  <c r="BS261" i="3"/>
  <c r="BR261" i="3"/>
  <c r="BS260" i="3"/>
  <c r="BR260" i="3"/>
  <c r="BS259" i="3"/>
  <c r="BR259" i="3"/>
  <c r="BS258" i="3"/>
  <c r="BR258" i="3"/>
  <c r="BS257" i="3"/>
  <c r="BR257" i="3"/>
  <c r="BS256" i="3"/>
  <c r="BR256" i="3"/>
  <c r="BS255" i="3"/>
  <c r="BR255" i="3"/>
  <c r="BS254" i="3"/>
  <c r="BR254" i="3"/>
  <c r="BS253" i="3"/>
  <c r="BR253" i="3"/>
  <c r="BS252" i="3"/>
  <c r="BR252" i="3"/>
  <c r="BS251" i="3"/>
  <c r="BR251" i="3"/>
  <c r="BS250" i="3"/>
  <c r="BR250" i="3"/>
  <c r="BS249" i="3"/>
  <c r="BR249" i="3"/>
  <c r="BS248" i="3"/>
  <c r="BR248" i="3"/>
  <c r="BS247" i="3"/>
  <c r="BR247" i="3"/>
  <c r="BS246" i="3"/>
  <c r="BR246" i="3"/>
  <c r="BS245" i="3"/>
  <c r="BR245" i="3"/>
  <c r="BS244" i="3"/>
  <c r="BR244" i="3"/>
  <c r="BS243" i="3"/>
  <c r="BR243" i="3"/>
  <c r="BS242" i="3"/>
  <c r="BR242" i="3"/>
  <c r="BS241" i="3"/>
  <c r="BR241" i="3"/>
  <c r="BS240" i="3"/>
  <c r="BR240" i="3"/>
  <c r="BS239" i="3"/>
  <c r="BR239" i="3"/>
  <c r="BS238" i="3"/>
  <c r="BR238" i="3"/>
  <c r="BS237" i="3"/>
  <c r="BR237" i="3"/>
  <c r="BS236" i="3"/>
  <c r="BR236" i="3"/>
  <c r="BS235" i="3"/>
  <c r="BR235" i="3"/>
  <c r="BS234" i="3"/>
  <c r="BR234" i="3"/>
  <c r="BS233" i="3"/>
  <c r="BR233" i="3"/>
  <c r="BS232" i="3"/>
  <c r="BR232" i="3"/>
  <c r="BS231" i="3"/>
  <c r="BR231" i="3"/>
  <c r="BS230" i="3"/>
  <c r="BR230" i="3"/>
  <c r="BS229" i="3"/>
  <c r="BR229" i="3"/>
  <c r="BS228" i="3"/>
  <c r="BR228" i="3"/>
  <c r="BS227" i="3"/>
  <c r="BR227" i="3"/>
  <c r="BS226" i="3"/>
  <c r="BR226" i="3"/>
  <c r="BS225" i="3"/>
  <c r="BR225" i="3"/>
  <c r="BS224" i="3"/>
  <c r="BR224" i="3"/>
  <c r="BS223" i="3"/>
  <c r="BR223" i="3"/>
  <c r="BS222" i="3"/>
  <c r="BR222" i="3"/>
  <c r="BS221" i="3"/>
  <c r="BR221" i="3"/>
  <c r="BS220" i="3"/>
  <c r="BR220" i="3"/>
  <c r="BS219" i="3"/>
  <c r="BR219" i="3"/>
  <c r="BS218" i="3"/>
  <c r="BR218" i="3"/>
  <c r="BS217" i="3"/>
  <c r="BR217" i="3"/>
  <c r="BS216" i="3"/>
  <c r="BR216" i="3"/>
  <c r="BS215" i="3"/>
  <c r="BR215" i="3"/>
  <c r="BS214" i="3"/>
  <c r="BR214" i="3"/>
  <c r="BS213" i="3"/>
  <c r="BR213" i="3"/>
  <c r="BS212" i="3"/>
  <c r="BR212" i="3"/>
  <c r="BS211" i="3"/>
  <c r="BR211" i="3"/>
  <c r="BS210" i="3"/>
  <c r="BR210" i="3"/>
  <c r="BS209" i="3"/>
  <c r="BR209" i="3"/>
  <c r="BS208" i="3"/>
  <c r="BR208" i="3"/>
  <c r="BS207" i="3"/>
  <c r="BR207" i="3"/>
  <c r="BS206" i="3"/>
  <c r="BR206" i="3"/>
  <c r="BS205" i="3"/>
  <c r="BR205" i="3"/>
  <c r="BS204" i="3"/>
  <c r="BR204" i="3"/>
  <c r="BS203" i="3"/>
  <c r="BR203" i="3"/>
  <c r="BS202" i="3"/>
  <c r="BR202" i="3"/>
  <c r="BS201" i="3"/>
  <c r="BR201" i="3"/>
  <c r="BS200" i="3"/>
  <c r="BR200" i="3"/>
  <c r="BS199" i="3"/>
  <c r="BR199" i="3"/>
  <c r="BS198" i="3"/>
  <c r="BR198" i="3"/>
  <c r="BS197" i="3"/>
  <c r="BR197" i="3"/>
  <c r="BS196" i="3"/>
  <c r="BR196" i="3"/>
  <c r="BS195" i="3"/>
  <c r="BR195" i="3"/>
  <c r="BS194" i="3"/>
  <c r="BR194" i="3"/>
  <c r="BS193" i="3"/>
  <c r="BR193" i="3"/>
  <c r="BS192" i="3"/>
  <c r="BR192" i="3"/>
  <c r="BS191" i="3"/>
  <c r="BR191" i="3"/>
  <c r="BS190" i="3"/>
  <c r="BR190" i="3"/>
  <c r="BS189" i="3"/>
  <c r="BR189" i="3"/>
  <c r="BS188" i="3"/>
  <c r="BR188" i="3"/>
  <c r="BS187" i="3"/>
  <c r="BR187" i="3"/>
  <c r="BS186" i="3"/>
  <c r="BR186" i="3"/>
  <c r="BS185" i="3"/>
  <c r="BR185" i="3"/>
  <c r="BS184" i="3"/>
  <c r="BR184" i="3"/>
  <c r="BS183" i="3"/>
  <c r="BR183" i="3"/>
  <c r="BS182" i="3"/>
  <c r="BR182" i="3"/>
  <c r="BS181" i="3"/>
  <c r="BR181" i="3"/>
  <c r="BS180" i="3"/>
  <c r="BR180" i="3"/>
  <c r="BS179" i="3"/>
  <c r="BR179" i="3"/>
  <c r="BS178" i="3"/>
  <c r="BR178" i="3"/>
  <c r="BS177" i="3"/>
  <c r="BR177" i="3"/>
  <c r="BS176" i="3"/>
  <c r="BR176" i="3"/>
  <c r="BS175" i="3"/>
  <c r="BR175" i="3"/>
  <c r="BS174" i="3"/>
  <c r="BR174" i="3"/>
  <c r="BS173" i="3"/>
  <c r="BR173" i="3"/>
  <c r="BS172" i="3"/>
  <c r="BR172" i="3"/>
  <c r="BS171" i="3"/>
  <c r="BR171" i="3"/>
  <c r="BS170" i="3"/>
  <c r="BR170" i="3"/>
  <c r="BS169" i="3"/>
  <c r="BR169" i="3"/>
  <c r="BS168" i="3"/>
  <c r="BR168" i="3"/>
  <c r="BS167" i="3"/>
  <c r="BR167" i="3"/>
  <c r="BS166" i="3"/>
  <c r="BR166" i="3"/>
  <c r="BS165" i="3"/>
  <c r="BR165" i="3"/>
  <c r="BS164" i="3"/>
  <c r="BR164" i="3"/>
  <c r="BS163" i="3"/>
  <c r="BR163" i="3"/>
  <c r="BS162" i="3"/>
  <c r="BR162" i="3"/>
  <c r="BS161" i="3"/>
  <c r="BR161" i="3"/>
  <c r="BS160" i="3"/>
  <c r="BR160" i="3"/>
  <c r="BS159" i="3"/>
  <c r="BR159" i="3"/>
  <c r="BS158" i="3"/>
  <c r="BR158" i="3"/>
  <c r="BS157" i="3"/>
  <c r="BR157" i="3"/>
  <c r="BS156" i="3"/>
  <c r="BR156" i="3"/>
  <c r="BS155" i="3"/>
  <c r="BR155" i="3"/>
  <c r="BS154" i="3"/>
  <c r="BR154" i="3"/>
  <c r="EI153" i="3"/>
  <c r="EG153" i="3"/>
  <c r="ED153" i="3"/>
  <c r="EB153" i="3"/>
  <c r="DY153" i="3"/>
  <c r="DW153" i="3"/>
  <c r="DT153" i="3"/>
  <c r="DR153" i="3"/>
  <c r="DO153" i="3"/>
  <c r="DJ153" i="3"/>
  <c r="DE153" i="3"/>
  <c r="CZ153" i="3"/>
  <c r="CU153" i="3"/>
  <c r="CT153" i="3"/>
  <c r="CS153" i="3"/>
  <c r="CP153" i="3"/>
  <c r="CK153" i="3"/>
  <c r="CJ153" i="3"/>
  <c r="CI153" i="3"/>
  <c r="CF153" i="3"/>
  <c r="BS153" i="3"/>
  <c r="BR153" i="3"/>
  <c r="BO153" i="3"/>
  <c r="BM153" i="3"/>
  <c r="BJ153" i="3"/>
  <c r="BE153" i="3"/>
  <c r="AX153" i="3"/>
  <c r="AV153" i="3"/>
  <c r="AU153" i="3"/>
  <c r="AT153" i="3"/>
  <c r="AQ153" i="3"/>
  <c r="AO153" i="3"/>
  <c r="AL153" i="3"/>
  <c r="AG153" i="3"/>
  <c r="AE153" i="3"/>
  <c r="AB153" i="3"/>
  <c r="W153" i="3"/>
  <c r="U153" i="3"/>
  <c r="R153" i="3"/>
  <c r="M153" i="3"/>
  <c r="EI152" i="3"/>
  <c r="EG152" i="3"/>
  <c r="ED152" i="3"/>
  <c r="EB152" i="3"/>
  <c r="DY152" i="3"/>
  <c r="DW152" i="3"/>
  <c r="DT152" i="3"/>
  <c r="DR152" i="3"/>
  <c r="DO152" i="3"/>
  <c r="DJ152" i="3"/>
  <c r="DE152" i="3"/>
  <c r="CZ152" i="3"/>
  <c r="CU152" i="3"/>
  <c r="CS152" i="3"/>
  <c r="CT152" i="3" s="1"/>
  <c r="CP152" i="3"/>
  <c r="CK152" i="3"/>
  <c r="CI152" i="3"/>
  <c r="CJ152" i="3" s="1"/>
  <c r="CF152" i="3"/>
  <c r="BS152" i="3"/>
  <c r="BR152" i="3"/>
  <c r="BO152" i="3"/>
  <c r="BM152" i="3"/>
  <c r="BJ152" i="3"/>
  <c r="BE152" i="3"/>
  <c r="AV152" i="3"/>
  <c r="AU152" i="3"/>
  <c r="AT152" i="3"/>
  <c r="AQ152" i="3"/>
  <c r="AO152" i="3"/>
  <c r="AL152" i="3"/>
  <c r="AG152" i="3"/>
  <c r="AE152" i="3"/>
  <c r="AB152" i="3"/>
  <c r="W152" i="3"/>
  <c r="U152" i="3"/>
  <c r="R152" i="3"/>
  <c r="M152" i="3"/>
  <c r="EI151" i="3"/>
  <c r="EG151" i="3"/>
  <c r="ED151" i="3"/>
  <c r="EB151" i="3"/>
  <c r="DY151" i="3"/>
  <c r="DW151" i="3"/>
  <c r="DT151" i="3"/>
  <c r="DR151" i="3"/>
  <c r="DO151" i="3"/>
  <c r="DJ151" i="3"/>
  <c r="DE151" i="3"/>
  <c r="CZ151" i="3"/>
  <c r="CU151" i="3"/>
  <c r="CT151" i="3"/>
  <c r="CS151" i="3"/>
  <c r="CP151" i="3"/>
  <c r="CK151" i="3"/>
  <c r="CJ151" i="3"/>
  <c r="CI151" i="3"/>
  <c r="CF151" i="3"/>
  <c r="BS151" i="3"/>
  <c r="BR151" i="3"/>
  <c r="BO151" i="3"/>
  <c r="BM151" i="3"/>
  <c r="BJ151" i="3"/>
  <c r="BE151" i="3"/>
  <c r="AV151" i="3"/>
  <c r="AU151" i="3"/>
  <c r="AT151" i="3"/>
  <c r="AQ151" i="3"/>
  <c r="AO151" i="3"/>
  <c r="AL151" i="3"/>
  <c r="AG151" i="3"/>
  <c r="AE151" i="3"/>
  <c r="AB151" i="3"/>
  <c r="W151" i="3"/>
  <c r="U151" i="3"/>
  <c r="R151" i="3"/>
  <c r="M151" i="3"/>
  <c r="EI150" i="3"/>
  <c r="EG150" i="3"/>
  <c r="ED150" i="3"/>
  <c r="EB150" i="3"/>
  <c r="DY150" i="3"/>
  <c r="DW150" i="3"/>
  <c r="DT150" i="3"/>
  <c r="DR150" i="3"/>
  <c r="DO150" i="3"/>
  <c r="DJ150" i="3"/>
  <c r="DE150" i="3"/>
  <c r="CZ150" i="3"/>
  <c r="CU150" i="3"/>
  <c r="CS150" i="3"/>
  <c r="CT150" i="3" s="1"/>
  <c r="CP150" i="3"/>
  <c r="CK150" i="3"/>
  <c r="CJ150" i="3"/>
  <c r="CI150" i="3"/>
  <c r="CF150" i="3"/>
  <c r="BS150" i="3"/>
  <c r="BR150" i="3"/>
  <c r="BO150" i="3"/>
  <c r="BM150" i="3"/>
  <c r="BJ150" i="3"/>
  <c r="BE150" i="3"/>
  <c r="AX150" i="3"/>
  <c r="AV150" i="3"/>
  <c r="AU150" i="3"/>
  <c r="AT150" i="3"/>
  <c r="AQ150" i="3"/>
  <c r="AO150" i="3"/>
  <c r="AL150" i="3"/>
  <c r="AG150" i="3"/>
  <c r="AE150" i="3"/>
  <c r="AB150" i="3"/>
  <c r="W150" i="3"/>
  <c r="U150" i="3"/>
  <c r="R150" i="3"/>
  <c r="M150" i="3"/>
  <c r="EI149" i="3"/>
  <c r="EG149" i="3"/>
  <c r="ED149" i="3"/>
  <c r="EB149" i="3"/>
  <c r="DY149" i="3"/>
  <c r="DW149" i="3"/>
  <c r="DT149" i="3"/>
  <c r="DR149" i="3"/>
  <c r="DO149" i="3"/>
  <c r="DJ149" i="3"/>
  <c r="DE149" i="3"/>
  <c r="CZ149" i="3"/>
  <c r="CU149" i="3"/>
  <c r="CT149" i="3"/>
  <c r="CS149" i="3"/>
  <c r="CP149" i="3"/>
  <c r="CK149" i="3"/>
  <c r="CJ149" i="3"/>
  <c r="CI149" i="3"/>
  <c r="CF149" i="3"/>
  <c r="BS149" i="3"/>
  <c r="BR149" i="3"/>
  <c r="BO149" i="3"/>
  <c r="BM149" i="3"/>
  <c r="BJ149" i="3"/>
  <c r="BE149" i="3"/>
  <c r="AV149" i="3"/>
  <c r="AU149" i="3"/>
  <c r="AT149" i="3"/>
  <c r="AQ149" i="3"/>
  <c r="AO149" i="3"/>
  <c r="AL149" i="3"/>
  <c r="AG149" i="3"/>
  <c r="AE149" i="3"/>
  <c r="AB149" i="3"/>
  <c r="W149" i="3"/>
  <c r="U149" i="3"/>
  <c r="R149" i="3"/>
  <c r="M149" i="3"/>
  <c r="EI148" i="3"/>
  <c r="EG148" i="3"/>
  <c r="ED148" i="3"/>
  <c r="EB148" i="3"/>
  <c r="DY148" i="3"/>
  <c r="DW148" i="3"/>
  <c r="DT148" i="3"/>
  <c r="DR148" i="3"/>
  <c r="DO148" i="3"/>
  <c r="DJ148" i="3"/>
  <c r="DE148" i="3"/>
  <c r="CZ148" i="3"/>
  <c r="CU148" i="3"/>
  <c r="CS148" i="3"/>
  <c r="CT148" i="3" s="1"/>
  <c r="CP148" i="3"/>
  <c r="CK148" i="3"/>
  <c r="CJ148" i="3"/>
  <c r="CI148" i="3"/>
  <c r="CF148" i="3"/>
  <c r="BS148" i="3"/>
  <c r="BR148" i="3"/>
  <c r="BO148" i="3"/>
  <c r="BM148" i="3"/>
  <c r="BJ148" i="3"/>
  <c r="BE148" i="3"/>
  <c r="AV148" i="3"/>
  <c r="AX148" i="3" s="1"/>
  <c r="AU148" i="3"/>
  <c r="AT148" i="3"/>
  <c r="AQ148" i="3"/>
  <c r="AO148" i="3"/>
  <c r="AL148" i="3"/>
  <c r="AG148" i="3"/>
  <c r="AE148" i="3"/>
  <c r="AB148" i="3"/>
  <c r="W148" i="3"/>
  <c r="U148" i="3"/>
  <c r="R148" i="3"/>
  <c r="M148" i="3"/>
  <c r="EI147" i="3"/>
  <c r="EG147" i="3"/>
  <c r="ED147" i="3"/>
  <c r="EB147" i="3"/>
  <c r="DY147" i="3"/>
  <c r="DW147" i="3"/>
  <c r="DT147" i="3"/>
  <c r="DR147" i="3"/>
  <c r="DO147" i="3"/>
  <c r="DJ147" i="3"/>
  <c r="DE147" i="3"/>
  <c r="CZ147" i="3"/>
  <c r="CU147" i="3"/>
  <c r="CS147" i="3"/>
  <c r="CT147" i="3" s="1"/>
  <c r="CP147" i="3"/>
  <c r="CK147" i="3"/>
  <c r="CI147" i="3"/>
  <c r="CJ147" i="3" s="1"/>
  <c r="CF147" i="3"/>
  <c r="BS147" i="3"/>
  <c r="BR147" i="3"/>
  <c r="BO147" i="3"/>
  <c r="BM147" i="3"/>
  <c r="BJ147" i="3"/>
  <c r="BE147" i="3"/>
  <c r="AV147" i="3"/>
  <c r="AU147" i="3"/>
  <c r="AT147" i="3"/>
  <c r="AQ147" i="3"/>
  <c r="AO147" i="3"/>
  <c r="AL147" i="3"/>
  <c r="AG147" i="3"/>
  <c r="AE147" i="3"/>
  <c r="AB147" i="3"/>
  <c r="W147" i="3"/>
  <c r="U147" i="3"/>
  <c r="R147" i="3"/>
  <c r="M147" i="3"/>
  <c r="EI146" i="3"/>
  <c r="EG146" i="3"/>
  <c r="ED146" i="3"/>
  <c r="EB146" i="3"/>
  <c r="DY146" i="3"/>
  <c r="DW146" i="3"/>
  <c r="DT146" i="3"/>
  <c r="DR146" i="3"/>
  <c r="DO146" i="3"/>
  <c r="DJ146" i="3"/>
  <c r="DE146" i="3"/>
  <c r="CZ146" i="3"/>
  <c r="CU146" i="3"/>
  <c r="CT146" i="3"/>
  <c r="CS146" i="3"/>
  <c r="CP146" i="3"/>
  <c r="CK146" i="3"/>
  <c r="CJ146" i="3"/>
  <c r="CI146" i="3"/>
  <c r="CF146" i="3"/>
  <c r="BS146" i="3"/>
  <c r="BR146" i="3"/>
  <c r="BO146" i="3"/>
  <c r="BM146" i="3"/>
  <c r="BJ146" i="3"/>
  <c r="BE146" i="3"/>
  <c r="AV146" i="3"/>
  <c r="AX146" i="3" s="1"/>
  <c r="AU146" i="3"/>
  <c r="AT146" i="3"/>
  <c r="AQ146" i="3"/>
  <c r="AO146" i="3"/>
  <c r="AL146" i="3"/>
  <c r="AG146" i="3"/>
  <c r="AE146" i="3"/>
  <c r="AB146" i="3"/>
  <c r="W146" i="3"/>
  <c r="U146" i="3"/>
  <c r="R146" i="3"/>
  <c r="M146" i="3"/>
  <c r="EI145" i="3"/>
  <c r="EG145" i="3"/>
  <c r="ED145" i="3"/>
  <c r="EB145" i="3"/>
  <c r="DY145" i="3"/>
  <c r="DW145" i="3"/>
  <c r="DT145" i="3"/>
  <c r="DR145" i="3"/>
  <c r="DO145" i="3"/>
  <c r="DJ145" i="3"/>
  <c r="DE145" i="3"/>
  <c r="CZ145" i="3"/>
  <c r="CU145" i="3"/>
  <c r="CS145" i="3"/>
  <c r="CT145" i="3" s="1"/>
  <c r="CP145" i="3"/>
  <c r="CK145" i="3"/>
  <c r="CI145" i="3"/>
  <c r="CJ145" i="3" s="1"/>
  <c r="CF145" i="3"/>
  <c r="BS145" i="3"/>
  <c r="BR145" i="3"/>
  <c r="BO145" i="3"/>
  <c r="BM145" i="3"/>
  <c r="BJ145" i="3"/>
  <c r="BE145" i="3"/>
  <c r="BC145" i="3"/>
  <c r="AV145" i="3"/>
  <c r="AX145" i="3" s="1"/>
  <c r="AU145" i="3"/>
  <c r="AT145" i="3"/>
  <c r="AQ145" i="3"/>
  <c r="AO145" i="3"/>
  <c r="AL145" i="3"/>
  <c r="AG145" i="3"/>
  <c r="AE145" i="3"/>
  <c r="AB145" i="3"/>
  <c r="W145" i="3"/>
  <c r="U145" i="3"/>
  <c r="R145" i="3"/>
  <c r="M145" i="3"/>
  <c r="EI144" i="3"/>
  <c r="EG144" i="3"/>
  <c r="ED144" i="3"/>
  <c r="EB144" i="3"/>
  <c r="DY144" i="3"/>
  <c r="DW144" i="3"/>
  <c r="DT144" i="3"/>
  <c r="DR144" i="3"/>
  <c r="DO144" i="3"/>
  <c r="DJ144" i="3"/>
  <c r="DE144" i="3"/>
  <c r="CZ144" i="3"/>
  <c r="CU144" i="3"/>
  <c r="CS144" i="3"/>
  <c r="CT144" i="3" s="1"/>
  <c r="CP144" i="3"/>
  <c r="CK144" i="3"/>
  <c r="CI144" i="3"/>
  <c r="CJ144" i="3" s="1"/>
  <c r="CF144" i="3"/>
  <c r="BS144" i="3"/>
  <c r="BR144" i="3"/>
  <c r="BO144" i="3"/>
  <c r="BM144" i="3"/>
  <c r="BJ144" i="3"/>
  <c r="BE144" i="3"/>
  <c r="AV144" i="3"/>
  <c r="AU144" i="3"/>
  <c r="AT144" i="3"/>
  <c r="AQ144" i="3"/>
  <c r="AO144" i="3"/>
  <c r="AL144" i="3"/>
  <c r="AG144" i="3"/>
  <c r="AE144" i="3"/>
  <c r="AB144" i="3"/>
  <c r="W144" i="3"/>
  <c r="U144" i="3"/>
  <c r="R144" i="3"/>
  <c r="M144" i="3"/>
  <c r="EI143" i="3"/>
  <c r="EG143" i="3"/>
  <c r="ED143" i="3"/>
  <c r="EB143" i="3"/>
  <c r="DY143" i="3"/>
  <c r="DW143" i="3"/>
  <c r="DT143" i="3"/>
  <c r="DR143" i="3"/>
  <c r="DO143" i="3"/>
  <c r="DJ143" i="3"/>
  <c r="DE143" i="3"/>
  <c r="CZ143" i="3"/>
  <c r="CU143" i="3"/>
  <c r="CS143" i="3"/>
  <c r="CT143" i="3" s="1"/>
  <c r="CP143" i="3"/>
  <c r="CK143" i="3"/>
  <c r="CI143" i="3"/>
  <c r="CJ143" i="3" s="1"/>
  <c r="CF143" i="3"/>
  <c r="BS143" i="3"/>
  <c r="BR143" i="3"/>
  <c r="BO143" i="3"/>
  <c r="BM143" i="3"/>
  <c r="BJ143" i="3"/>
  <c r="BE143" i="3"/>
  <c r="BC143" i="3"/>
  <c r="AV143" i="3"/>
  <c r="AU143" i="3"/>
  <c r="AT143" i="3"/>
  <c r="AQ143" i="3"/>
  <c r="AO143" i="3"/>
  <c r="AL143" i="3"/>
  <c r="AG143" i="3"/>
  <c r="AE143" i="3"/>
  <c r="AB143" i="3"/>
  <c r="W143" i="3"/>
  <c r="U143" i="3"/>
  <c r="R143" i="3"/>
  <c r="M143" i="3"/>
  <c r="EI142" i="3"/>
  <c r="EG142" i="3"/>
  <c r="ED142" i="3"/>
  <c r="EB142" i="3"/>
  <c r="DY142" i="3"/>
  <c r="DW142" i="3"/>
  <c r="DT142" i="3"/>
  <c r="DR142" i="3"/>
  <c r="DO142" i="3"/>
  <c r="DJ142" i="3"/>
  <c r="DE142" i="3"/>
  <c r="CZ142" i="3"/>
  <c r="CU142" i="3"/>
  <c r="CS142" i="3"/>
  <c r="CT142" i="3" s="1"/>
  <c r="CP142" i="3"/>
  <c r="CK142" i="3"/>
  <c r="CI142" i="3"/>
  <c r="CJ142" i="3" s="1"/>
  <c r="CF142" i="3"/>
  <c r="BS142" i="3"/>
  <c r="BR142" i="3"/>
  <c r="BO142" i="3"/>
  <c r="BM142" i="3"/>
  <c r="BJ142" i="3"/>
  <c r="BE142" i="3"/>
  <c r="AW142" i="3"/>
  <c r="AV142" i="3"/>
  <c r="AU142" i="3"/>
  <c r="AT142" i="3"/>
  <c r="AQ142" i="3"/>
  <c r="AO142" i="3"/>
  <c r="AL142" i="3"/>
  <c r="AG142" i="3"/>
  <c r="AE142" i="3"/>
  <c r="AB142" i="3"/>
  <c r="W142" i="3"/>
  <c r="U142" i="3"/>
  <c r="R142" i="3"/>
  <c r="M142" i="3"/>
  <c r="EI141" i="3"/>
  <c r="EG141" i="3"/>
  <c r="ED141" i="3"/>
  <c r="EB141" i="3"/>
  <c r="DY141" i="3"/>
  <c r="DW141" i="3"/>
  <c r="DT141" i="3"/>
  <c r="DR141" i="3"/>
  <c r="DO141" i="3"/>
  <c r="DJ141" i="3"/>
  <c r="DE141" i="3"/>
  <c r="CZ141" i="3"/>
  <c r="CU141" i="3"/>
  <c r="CS141" i="3"/>
  <c r="CT141" i="3" s="1"/>
  <c r="CP141" i="3"/>
  <c r="CK141" i="3"/>
  <c r="CI141" i="3"/>
  <c r="CJ141" i="3" s="1"/>
  <c r="CF141" i="3"/>
  <c r="BS141" i="3"/>
  <c r="BR141" i="3"/>
  <c r="BO141" i="3"/>
  <c r="BM141" i="3"/>
  <c r="BJ141" i="3"/>
  <c r="BE141" i="3"/>
  <c r="BC141" i="3"/>
  <c r="AV141" i="3"/>
  <c r="AU141" i="3"/>
  <c r="AT141" i="3"/>
  <c r="AQ141" i="3"/>
  <c r="AO141" i="3"/>
  <c r="AL141" i="3"/>
  <c r="AG141" i="3"/>
  <c r="AE141" i="3"/>
  <c r="AB141" i="3"/>
  <c r="W141" i="3"/>
  <c r="U141" i="3"/>
  <c r="R141" i="3"/>
  <c r="M141" i="3"/>
  <c r="EI140" i="3"/>
  <c r="EG140" i="3"/>
  <c r="ED140" i="3"/>
  <c r="EB140" i="3"/>
  <c r="DY140" i="3"/>
  <c r="DW140" i="3"/>
  <c r="DT140" i="3"/>
  <c r="DR140" i="3"/>
  <c r="DO140" i="3"/>
  <c r="DJ140" i="3"/>
  <c r="DE140" i="3"/>
  <c r="CZ140" i="3"/>
  <c r="CU140" i="3"/>
  <c r="CS140" i="3"/>
  <c r="CT140" i="3" s="1"/>
  <c r="CP140" i="3"/>
  <c r="CK140" i="3"/>
  <c r="CI140" i="3"/>
  <c r="CJ140" i="3" s="1"/>
  <c r="CF140" i="3"/>
  <c r="BS140" i="3"/>
  <c r="BR140" i="3"/>
  <c r="BO140" i="3"/>
  <c r="BM140" i="3"/>
  <c r="BJ140" i="3"/>
  <c r="BE140" i="3"/>
  <c r="AW140" i="3"/>
  <c r="AV140" i="3"/>
  <c r="AU140" i="3"/>
  <c r="AT140" i="3"/>
  <c r="AX140" i="3" s="1"/>
  <c r="AQ140" i="3"/>
  <c r="AO140" i="3"/>
  <c r="AL140" i="3"/>
  <c r="AG140" i="3"/>
  <c r="AE140" i="3"/>
  <c r="AB140" i="3"/>
  <c r="W140" i="3"/>
  <c r="U140" i="3"/>
  <c r="R140" i="3"/>
  <c r="M140" i="3"/>
  <c r="EI139" i="3"/>
  <c r="EG139" i="3"/>
  <c r="ED139" i="3"/>
  <c r="EB139" i="3"/>
  <c r="DY139" i="3"/>
  <c r="DW139" i="3"/>
  <c r="DT139" i="3"/>
  <c r="DR139" i="3"/>
  <c r="DO139" i="3"/>
  <c r="DJ139" i="3"/>
  <c r="DE139" i="3"/>
  <c r="CZ139" i="3"/>
  <c r="CU139" i="3"/>
  <c r="CS139" i="3"/>
  <c r="CT139" i="3" s="1"/>
  <c r="CP139" i="3"/>
  <c r="CK139" i="3"/>
  <c r="CI139" i="3"/>
  <c r="CJ139" i="3" s="1"/>
  <c r="CF139" i="3"/>
  <c r="BS139" i="3"/>
  <c r="BR139" i="3"/>
  <c r="BO139" i="3"/>
  <c r="BM139" i="3"/>
  <c r="BJ139" i="3"/>
  <c r="BE139" i="3"/>
  <c r="AV139" i="3"/>
  <c r="AX139" i="3" s="1"/>
  <c r="AU139" i="3"/>
  <c r="AT139" i="3"/>
  <c r="AQ139" i="3"/>
  <c r="AO139" i="3"/>
  <c r="AL139" i="3"/>
  <c r="AG139" i="3"/>
  <c r="AE139" i="3"/>
  <c r="AB139" i="3"/>
  <c r="W139" i="3"/>
  <c r="U139" i="3"/>
  <c r="R139" i="3"/>
  <c r="M139" i="3"/>
  <c r="EI138" i="3"/>
  <c r="EG138" i="3"/>
  <c r="ED138" i="3"/>
  <c r="EB138" i="3"/>
  <c r="DY138" i="3"/>
  <c r="DW138" i="3"/>
  <c r="DT138" i="3"/>
  <c r="DR138" i="3"/>
  <c r="DO138" i="3"/>
  <c r="DJ138" i="3"/>
  <c r="DE138" i="3"/>
  <c r="CZ138" i="3"/>
  <c r="CU138" i="3"/>
  <c r="CS138" i="3"/>
  <c r="CT138" i="3" s="1"/>
  <c r="CP138" i="3"/>
  <c r="CK138" i="3"/>
  <c r="CI138" i="3"/>
  <c r="CJ138" i="3" s="1"/>
  <c r="CF138" i="3"/>
  <c r="BS138" i="3"/>
  <c r="BR138" i="3"/>
  <c r="BO138" i="3"/>
  <c r="BM138" i="3"/>
  <c r="BJ138" i="3"/>
  <c r="BE138" i="3"/>
  <c r="AW138" i="3"/>
  <c r="AV138" i="3"/>
  <c r="AU138" i="3"/>
  <c r="AT138" i="3"/>
  <c r="AQ138" i="3"/>
  <c r="AO138" i="3"/>
  <c r="AL138" i="3"/>
  <c r="AG138" i="3"/>
  <c r="AE138" i="3"/>
  <c r="AB138" i="3"/>
  <c r="W138" i="3"/>
  <c r="U138" i="3"/>
  <c r="R138" i="3"/>
  <c r="M138" i="3"/>
  <c r="EI137" i="3"/>
  <c r="EG137" i="3"/>
  <c r="ED137" i="3"/>
  <c r="EB137" i="3"/>
  <c r="DY137" i="3"/>
  <c r="DW137" i="3"/>
  <c r="DT137" i="3"/>
  <c r="DR137" i="3"/>
  <c r="DO137" i="3"/>
  <c r="DJ137" i="3"/>
  <c r="DE137" i="3"/>
  <c r="CZ137" i="3"/>
  <c r="CU137" i="3"/>
  <c r="CS137" i="3"/>
  <c r="CT137" i="3" s="1"/>
  <c r="CP137" i="3"/>
  <c r="CK137" i="3"/>
  <c r="CI137" i="3"/>
  <c r="CJ137" i="3" s="1"/>
  <c r="CF137" i="3"/>
  <c r="BS137" i="3"/>
  <c r="BR137" i="3"/>
  <c r="BO137" i="3"/>
  <c r="BM137" i="3"/>
  <c r="BJ137" i="3"/>
  <c r="BE137" i="3"/>
  <c r="AV137" i="3"/>
  <c r="AU137" i="3"/>
  <c r="AT137" i="3"/>
  <c r="AQ137" i="3"/>
  <c r="AO137" i="3"/>
  <c r="AL137" i="3"/>
  <c r="AG137" i="3"/>
  <c r="AE137" i="3"/>
  <c r="AB137" i="3"/>
  <c r="W137" i="3"/>
  <c r="U137" i="3"/>
  <c r="R137" i="3"/>
  <c r="M137" i="3"/>
  <c r="EI136" i="3"/>
  <c r="EG136" i="3"/>
  <c r="ED136" i="3"/>
  <c r="EB136" i="3"/>
  <c r="DY136" i="3"/>
  <c r="DW136" i="3"/>
  <c r="DT136" i="3"/>
  <c r="DR136" i="3"/>
  <c r="DO136" i="3"/>
  <c r="DJ136" i="3"/>
  <c r="DE136" i="3"/>
  <c r="CZ136" i="3"/>
  <c r="CU136" i="3"/>
  <c r="CT136" i="3"/>
  <c r="CS136" i="3"/>
  <c r="CP136" i="3"/>
  <c r="CK136" i="3"/>
  <c r="CJ136" i="3"/>
  <c r="CI136" i="3"/>
  <c r="CF136" i="3"/>
  <c r="BS136" i="3"/>
  <c r="BR136" i="3"/>
  <c r="BO136" i="3"/>
  <c r="BM136" i="3"/>
  <c r="BJ136" i="3"/>
  <c r="BE136" i="3"/>
  <c r="AV136" i="3"/>
  <c r="AU136" i="3"/>
  <c r="AT136" i="3"/>
  <c r="AW136" i="3" s="1"/>
  <c r="AQ136" i="3"/>
  <c r="AO136" i="3"/>
  <c r="AL136" i="3"/>
  <c r="AG136" i="3"/>
  <c r="AE136" i="3"/>
  <c r="AB136" i="3"/>
  <c r="W136" i="3"/>
  <c r="U136" i="3"/>
  <c r="R136" i="3"/>
  <c r="M136" i="3"/>
  <c r="EI135" i="3"/>
  <c r="EG135" i="3"/>
  <c r="ED135" i="3"/>
  <c r="EB135" i="3"/>
  <c r="DY135" i="3"/>
  <c r="DW135" i="3"/>
  <c r="DT135" i="3"/>
  <c r="DR135" i="3"/>
  <c r="DO135" i="3"/>
  <c r="DJ135" i="3"/>
  <c r="DE135" i="3"/>
  <c r="CZ135" i="3"/>
  <c r="CU135" i="3"/>
  <c r="CT135" i="3"/>
  <c r="CS135" i="3"/>
  <c r="CP135" i="3"/>
  <c r="CK135" i="3"/>
  <c r="CJ135" i="3"/>
  <c r="CI135" i="3"/>
  <c r="CF135" i="3"/>
  <c r="BS135" i="3"/>
  <c r="BR135" i="3"/>
  <c r="BO135" i="3"/>
  <c r="BM135" i="3"/>
  <c r="BJ135" i="3"/>
  <c r="BE135" i="3"/>
  <c r="AV135" i="3"/>
  <c r="AU135" i="3"/>
  <c r="AT135" i="3"/>
  <c r="AQ135" i="3"/>
  <c r="AO135" i="3"/>
  <c r="AL135" i="3"/>
  <c r="AG135" i="3"/>
  <c r="AE135" i="3"/>
  <c r="AB135" i="3"/>
  <c r="W135" i="3"/>
  <c r="U135" i="3"/>
  <c r="R135" i="3"/>
  <c r="M135" i="3"/>
  <c r="EI134" i="3"/>
  <c r="EG134" i="3"/>
  <c r="ED134" i="3"/>
  <c r="EB134" i="3"/>
  <c r="DY134" i="3"/>
  <c r="DW134" i="3"/>
  <c r="DT134" i="3"/>
  <c r="DR134" i="3"/>
  <c r="DO134" i="3"/>
  <c r="DJ134" i="3"/>
  <c r="DE134" i="3"/>
  <c r="CZ134" i="3"/>
  <c r="CU134" i="3"/>
  <c r="CS134" i="3"/>
  <c r="CT134" i="3" s="1"/>
  <c r="CP134" i="3"/>
  <c r="CK134" i="3"/>
  <c r="CI134" i="3"/>
  <c r="CJ134" i="3" s="1"/>
  <c r="CF134" i="3"/>
  <c r="BS134" i="3"/>
  <c r="BR134" i="3"/>
  <c r="BO134" i="3"/>
  <c r="BM134" i="3"/>
  <c r="BJ134" i="3"/>
  <c r="BE134" i="3"/>
  <c r="AX134" i="3"/>
  <c r="AV134" i="3"/>
  <c r="AU134" i="3"/>
  <c r="AT134" i="3"/>
  <c r="AQ134" i="3"/>
  <c r="AO134" i="3"/>
  <c r="AL134" i="3"/>
  <c r="AG134" i="3"/>
  <c r="AE134" i="3"/>
  <c r="AB134" i="3"/>
  <c r="W134" i="3"/>
  <c r="U134" i="3"/>
  <c r="R134" i="3"/>
  <c r="M134" i="3"/>
  <c r="EI133" i="3"/>
  <c r="EG133" i="3"/>
  <c r="ED133" i="3"/>
  <c r="EB133" i="3"/>
  <c r="DY133" i="3"/>
  <c r="DW133" i="3"/>
  <c r="DT133" i="3"/>
  <c r="DR133" i="3"/>
  <c r="DO133" i="3"/>
  <c r="DJ133" i="3"/>
  <c r="DE133" i="3"/>
  <c r="CZ133" i="3"/>
  <c r="CU133" i="3"/>
  <c r="CS133" i="3"/>
  <c r="CT133" i="3" s="1"/>
  <c r="CP133" i="3"/>
  <c r="CK133" i="3"/>
  <c r="CI133" i="3"/>
  <c r="CJ133" i="3" s="1"/>
  <c r="CF133" i="3"/>
  <c r="BS133" i="3"/>
  <c r="BR133" i="3"/>
  <c r="BO133" i="3"/>
  <c r="BM133" i="3"/>
  <c r="BJ133" i="3"/>
  <c r="BE133" i="3"/>
  <c r="AX133" i="3"/>
  <c r="AV133" i="3"/>
  <c r="AU133" i="3"/>
  <c r="AT133" i="3"/>
  <c r="AQ133" i="3"/>
  <c r="AO133" i="3"/>
  <c r="AL133" i="3"/>
  <c r="AG133" i="3"/>
  <c r="AE133" i="3"/>
  <c r="AB133" i="3"/>
  <c r="W133" i="3"/>
  <c r="U133" i="3"/>
  <c r="R133" i="3"/>
  <c r="M133" i="3"/>
  <c r="EI132" i="3"/>
  <c r="EG132" i="3"/>
  <c r="ED132" i="3"/>
  <c r="EB132" i="3"/>
  <c r="DY132" i="3"/>
  <c r="DW132" i="3"/>
  <c r="DT132" i="3"/>
  <c r="DR132" i="3"/>
  <c r="DO132" i="3"/>
  <c r="DJ132" i="3"/>
  <c r="DE132" i="3"/>
  <c r="CZ132" i="3"/>
  <c r="CU132" i="3"/>
  <c r="CS132" i="3"/>
  <c r="CT132" i="3" s="1"/>
  <c r="CP132" i="3"/>
  <c r="CK132" i="3"/>
  <c r="CI132" i="3"/>
  <c r="CJ132" i="3" s="1"/>
  <c r="CF132" i="3"/>
  <c r="BS132" i="3"/>
  <c r="BR132" i="3"/>
  <c r="BO132" i="3"/>
  <c r="BM132" i="3"/>
  <c r="BJ132" i="3"/>
  <c r="BE132" i="3"/>
  <c r="AV132" i="3"/>
  <c r="AU132" i="3"/>
  <c r="AT132" i="3"/>
  <c r="AQ132" i="3"/>
  <c r="AO132" i="3"/>
  <c r="AL132" i="3"/>
  <c r="AG132" i="3"/>
  <c r="AE132" i="3"/>
  <c r="AB132" i="3"/>
  <c r="W132" i="3"/>
  <c r="U132" i="3"/>
  <c r="R132" i="3"/>
  <c r="M132" i="3"/>
  <c r="EI131" i="3"/>
  <c r="EG131" i="3"/>
  <c r="ED131" i="3"/>
  <c r="EB131" i="3"/>
  <c r="DY131" i="3"/>
  <c r="DW131" i="3"/>
  <c r="DT131" i="3"/>
  <c r="DR131" i="3"/>
  <c r="DO131" i="3"/>
  <c r="DJ131" i="3"/>
  <c r="DE131" i="3"/>
  <c r="CZ131" i="3"/>
  <c r="CU131" i="3"/>
  <c r="CT131" i="3"/>
  <c r="CS131" i="3"/>
  <c r="CP131" i="3"/>
  <c r="CK131" i="3"/>
  <c r="CJ131" i="3"/>
  <c r="CI131" i="3"/>
  <c r="CF131" i="3"/>
  <c r="BS131" i="3"/>
  <c r="BR131" i="3"/>
  <c r="BO131" i="3"/>
  <c r="BM131" i="3"/>
  <c r="BJ131" i="3"/>
  <c r="BE131" i="3"/>
  <c r="AX131" i="3"/>
  <c r="AV131" i="3"/>
  <c r="AU131" i="3"/>
  <c r="BC131" i="3" s="1"/>
  <c r="AT131" i="3"/>
  <c r="AW131" i="3" s="1"/>
  <c r="AQ131" i="3"/>
  <c r="AO131" i="3"/>
  <c r="AL131" i="3"/>
  <c r="AG131" i="3"/>
  <c r="AE131" i="3"/>
  <c r="AB131" i="3"/>
  <c r="W131" i="3"/>
  <c r="U131" i="3"/>
  <c r="R131" i="3"/>
  <c r="M131" i="3"/>
  <c r="EI130" i="3"/>
  <c r="EG130" i="3"/>
  <c r="ED130" i="3"/>
  <c r="EB130" i="3"/>
  <c r="DY130" i="3"/>
  <c r="DW130" i="3"/>
  <c r="DT130" i="3"/>
  <c r="DR130" i="3"/>
  <c r="DO130" i="3"/>
  <c r="DJ130" i="3"/>
  <c r="DE130" i="3"/>
  <c r="CZ130" i="3"/>
  <c r="CU130" i="3"/>
  <c r="CT130" i="3"/>
  <c r="CS130" i="3"/>
  <c r="CP130" i="3"/>
  <c r="CK130" i="3"/>
  <c r="CJ130" i="3"/>
  <c r="CI130" i="3"/>
  <c r="CF130" i="3"/>
  <c r="BS130" i="3"/>
  <c r="BR130" i="3"/>
  <c r="BO130" i="3"/>
  <c r="BM130" i="3"/>
  <c r="BJ130" i="3"/>
  <c r="BE130" i="3"/>
  <c r="AV130" i="3"/>
  <c r="AX130" i="3" s="1"/>
  <c r="AU130" i="3"/>
  <c r="BC130" i="3" s="1"/>
  <c r="AT130" i="3"/>
  <c r="AQ130" i="3"/>
  <c r="AO130" i="3"/>
  <c r="AL130" i="3"/>
  <c r="AG130" i="3"/>
  <c r="AE130" i="3"/>
  <c r="AB130" i="3"/>
  <c r="W130" i="3"/>
  <c r="U130" i="3"/>
  <c r="R130" i="3"/>
  <c r="M130" i="3"/>
  <c r="EI129" i="3"/>
  <c r="EG129" i="3"/>
  <c r="ED129" i="3"/>
  <c r="EB129" i="3"/>
  <c r="DY129" i="3"/>
  <c r="DW129" i="3"/>
  <c r="DT129" i="3"/>
  <c r="DR129" i="3"/>
  <c r="DO129" i="3"/>
  <c r="DJ129" i="3"/>
  <c r="DE129" i="3"/>
  <c r="CZ129" i="3"/>
  <c r="CU129" i="3"/>
  <c r="CT129" i="3"/>
  <c r="CS129" i="3"/>
  <c r="CP129" i="3"/>
  <c r="CK129" i="3"/>
  <c r="CJ129" i="3"/>
  <c r="CI129" i="3"/>
  <c r="CF129" i="3"/>
  <c r="BS129" i="3"/>
  <c r="BR129" i="3"/>
  <c r="BO129" i="3"/>
  <c r="BM129" i="3"/>
  <c r="BJ129" i="3"/>
  <c r="BE129" i="3"/>
  <c r="AX129" i="3"/>
  <c r="AW129" i="3"/>
  <c r="AV129" i="3"/>
  <c r="AU129" i="3"/>
  <c r="BC129" i="3" s="1"/>
  <c r="AT129" i="3"/>
  <c r="AQ129" i="3"/>
  <c r="AO129" i="3"/>
  <c r="AL129" i="3"/>
  <c r="AG129" i="3"/>
  <c r="AE129" i="3"/>
  <c r="AB129" i="3"/>
  <c r="W129" i="3"/>
  <c r="U129" i="3"/>
  <c r="R129" i="3"/>
  <c r="M129" i="3"/>
  <c r="EI128" i="3"/>
  <c r="EG128" i="3"/>
  <c r="ED128" i="3"/>
  <c r="EB128" i="3"/>
  <c r="DY128" i="3"/>
  <c r="DW128" i="3"/>
  <c r="DT128" i="3"/>
  <c r="DR128" i="3"/>
  <c r="DO128" i="3"/>
  <c r="DJ128" i="3"/>
  <c r="DE128" i="3"/>
  <c r="CZ128" i="3"/>
  <c r="CU128" i="3"/>
  <c r="CS128" i="3"/>
  <c r="CT128" i="3" s="1"/>
  <c r="CP128" i="3"/>
  <c r="CK128" i="3"/>
  <c r="CI128" i="3"/>
  <c r="CJ128" i="3" s="1"/>
  <c r="CF128" i="3"/>
  <c r="BS128" i="3"/>
  <c r="BR128" i="3"/>
  <c r="BO128" i="3"/>
  <c r="BM128" i="3"/>
  <c r="BJ128" i="3"/>
  <c r="BE128" i="3"/>
  <c r="AV128" i="3"/>
  <c r="AX128" i="3" s="1"/>
  <c r="AU128" i="3"/>
  <c r="BC128" i="3" s="1"/>
  <c r="AT128" i="3"/>
  <c r="AQ128" i="3"/>
  <c r="AO128" i="3"/>
  <c r="AL128" i="3"/>
  <c r="AG128" i="3"/>
  <c r="AE128" i="3"/>
  <c r="AB128" i="3"/>
  <c r="W128" i="3"/>
  <c r="U128" i="3"/>
  <c r="R128" i="3"/>
  <c r="M128" i="3"/>
  <c r="EI127" i="3"/>
  <c r="EG127" i="3"/>
  <c r="ED127" i="3"/>
  <c r="EB127" i="3"/>
  <c r="DY127" i="3"/>
  <c r="DW127" i="3"/>
  <c r="DT127" i="3"/>
  <c r="DR127" i="3"/>
  <c r="DO127" i="3"/>
  <c r="DJ127" i="3"/>
  <c r="DE127" i="3"/>
  <c r="CZ127" i="3"/>
  <c r="CU127" i="3"/>
  <c r="CT127" i="3"/>
  <c r="CS127" i="3"/>
  <c r="CP127" i="3"/>
  <c r="CK127" i="3"/>
  <c r="CJ127" i="3"/>
  <c r="CI127" i="3"/>
  <c r="CF127" i="3"/>
  <c r="BS127" i="3"/>
  <c r="BR127" i="3"/>
  <c r="BO127" i="3"/>
  <c r="BM127" i="3"/>
  <c r="BJ127" i="3"/>
  <c r="BE127" i="3"/>
  <c r="AX127" i="3"/>
  <c r="AW127" i="3"/>
  <c r="AV127" i="3"/>
  <c r="AU127" i="3"/>
  <c r="AT127" i="3"/>
  <c r="AQ127" i="3"/>
  <c r="AO127" i="3"/>
  <c r="AL127" i="3"/>
  <c r="AG127" i="3"/>
  <c r="AE127" i="3"/>
  <c r="AB127" i="3"/>
  <c r="W127" i="3"/>
  <c r="U127" i="3"/>
  <c r="R127" i="3"/>
  <c r="M127" i="3"/>
  <c r="EI126" i="3"/>
  <c r="EG126" i="3"/>
  <c r="ED126" i="3"/>
  <c r="EB126" i="3"/>
  <c r="DY126" i="3"/>
  <c r="DW126" i="3"/>
  <c r="DT126" i="3"/>
  <c r="DR126" i="3"/>
  <c r="DO126" i="3"/>
  <c r="DJ126" i="3"/>
  <c r="DE126" i="3"/>
  <c r="CZ126" i="3"/>
  <c r="CU126" i="3"/>
  <c r="CS126" i="3"/>
  <c r="CT126" i="3" s="1"/>
  <c r="CP126" i="3"/>
  <c r="CK126" i="3"/>
  <c r="CI126" i="3"/>
  <c r="CJ126" i="3" s="1"/>
  <c r="CF126" i="3"/>
  <c r="BS126" i="3"/>
  <c r="BR126" i="3"/>
  <c r="BO126" i="3"/>
  <c r="BM126" i="3"/>
  <c r="BJ126" i="3"/>
  <c r="BE126" i="3"/>
  <c r="BC126" i="3"/>
  <c r="AV126" i="3"/>
  <c r="AX126" i="3" s="1"/>
  <c r="AU126" i="3"/>
  <c r="AT126" i="3"/>
  <c r="AQ126" i="3"/>
  <c r="AO126" i="3"/>
  <c r="AL126" i="3"/>
  <c r="AG126" i="3"/>
  <c r="AE126" i="3"/>
  <c r="AB126" i="3"/>
  <c r="W126" i="3"/>
  <c r="U126" i="3"/>
  <c r="R126" i="3"/>
  <c r="M126" i="3"/>
  <c r="EI125" i="3"/>
  <c r="EG125" i="3"/>
  <c r="ED125" i="3"/>
  <c r="EB125" i="3"/>
  <c r="DY125" i="3"/>
  <c r="DW125" i="3"/>
  <c r="DT125" i="3"/>
  <c r="DR125" i="3"/>
  <c r="DO125" i="3"/>
  <c r="DJ125" i="3"/>
  <c r="DE125" i="3"/>
  <c r="CZ125" i="3"/>
  <c r="CU125" i="3"/>
  <c r="CT125" i="3"/>
  <c r="CS125" i="3"/>
  <c r="CP125" i="3"/>
  <c r="CK125" i="3"/>
  <c r="CJ125" i="3"/>
  <c r="CI125" i="3"/>
  <c r="CF125" i="3"/>
  <c r="BS125" i="3"/>
  <c r="BR125" i="3"/>
  <c r="BO125" i="3"/>
  <c r="BM125" i="3"/>
  <c r="BJ125" i="3"/>
  <c r="BE125" i="3"/>
  <c r="AX125" i="3"/>
  <c r="AV125" i="3"/>
  <c r="AU125" i="3"/>
  <c r="AT125" i="3"/>
  <c r="AW125" i="3" s="1"/>
  <c r="AQ125" i="3"/>
  <c r="AO125" i="3"/>
  <c r="AL125" i="3"/>
  <c r="AG125" i="3"/>
  <c r="AE125" i="3"/>
  <c r="AB125" i="3"/>
  <c r="W125" i="3"/>
  <c r="U125" i="3"/>
  <c r="R125" i="3"/>
  <c r="M125" i="3"/>
  <c r="EI124" i="3"/>
  <c r="EG124" i="3"/>
  <c r="ED124" i="3"/>
  <c r="EB124" i="3"/>
  <c r="DY124" i="3"/>
  <c r="DW124" i="3"/>
  <c r="DT124" i="3"/>
  <c r="DR124" i="3"/>
  <c r="DO124" i="3"/>
  <c r="DJ124" i="3"/>
  <c r="DE124" i="3"/>
  <c r="CZ124" i="3"/>
  <c r="CU124" i="3"/>
  <c r="CT124" i="3"/>
  <c r="CS124" i="3"/>
  <c r="CP124" i="3"/>
  <c r="CK124" i="3"/>
  <c r="CJ124" i="3"/>
  <c r="CI124" i="3"/>
  <c r="CF124" i="3"/>
  <c r="BS124" i="3"/>
  <c r="BR124" i="3"/>
  <c r="BO124" i="3"/>
  <c r="BM124" i="3"/>
  <c r="BJ124" i="3"/>
  <c r="BE124" i="3"/>
  <c r="BC124" i="3"/>
  <c r="AV124" i="3"/>
  <c r="AX124" i="3" s="1"/>
  <c r="AU124" i="3"/>
  <c r="AT124" i="3"/>
  <c r="AW124" i="3" s="1"/>
  <c r="AQ124" i="3"/>
  <c r="AO124" i="3"/>
  <c r="AL124" i="3"/>
  <c r="AG124" i="3"/>
  <c r="AE124" i="3"/>
  <c r="AB124" i="3"/>
  <c r="W124" i="3"/>
  <c r="U124" i="3"/>
  <c r="R124" i="3"/>
  <c r="M124" i="3"/>
  <c r="EI123" i="3"/>
  <c r="EG123" i="3"/>
  <c r="ED123" i="3"/>
  <c r="EB123" i="3"/>
  <c r="DY123" i="3"/>
  <c r="DW123" i="3"/>
  <c r="DT123" i="3"/>
  <c r="DR123" i="3"/>
  <c r="DO123" i="3"/>
  <c r="DJ123" i="3"/>
  <c r="DE123" i="3"/>
  <c r="CZ123" i="3"/>
  <c r="CU123" i="3"/>
  <c r="CT123" i="3"/>
  <c r="CS123" i="3"/>
  <c r="CP123" i="3"/>
  <c r="CK123" i="3"/>
  <c r="CJ123" i="3"/>
  <c r="CI123" i="3"/>
  <c r="CF123" i="3"/>
  <c r="BS123" i="3"/>
  <c r="BR123" i="3"/>
  <c r="BO123" i="3"/>
  <c r="BM123" i="3"/>
  <c r="BJ123" i="3"/>
  <c r="BE123" i="3"/>
  <c r="AV123" i="3"/>
  <c r="AU123" i="3"/>
  <c r="BC123" i="3" s="1"/>
  <c r="AT123" i="3"/>
  <c r="AW123" i="3" s="1"/>
  <c r="AQ123" i="3"/>
  <c r="AO123" i="3"/>
  <c r="AL123" i="3"/>
  <c r="AG123" i="3"/>
  <c r="AE123" i="3"/>
  <c r="AB123" i="3"/>
  <c r="W123" i="3"/>
  <c r="U123" i="3"/>
  <c r="R123" i="3"/>
  <c r="M123" i="3"/>
  <c r="EI122" i="3"/>
  <c r="EG122" i="3"/>
  <c r="ED122" i="3"/>
  <c r="EB122" i="3"/>
  <c r="DY122" i="3"/>
  <c r="DW122" i="3"/>
  <c r="DT122" i="3"/>
  <c r="DR122" i="3"/>
  <c r="DO122" i="3"/>
  <c r="DJ122" i="3"/>
  <c r="DE122" i="3"/>
  <c r="CZ122" i="3"/>
  <c r="CU122" i="3"/>
  <c r="CT122" i="3"/>
  <c r="CS122" i="3"/>
  <c r="CP122" i="3"/>
  <c r="CK122" i="3"/>
  <c r="CJ122" i="3"/>
  <c r="CI122" i="3"/>
  <c r="CF122" i="3"/>
  <c r="BS122" i="3"/>
  <c r="BR122" i="3"/>
  <c r="BO122" i="3"/>
  <c r="BM122" i="3"/>
  <c r="BJ122" i="3"/>
  <c r="BE122" i="3"/>
  <c r="AV122" i="3"/>
  <c r="AU122" i="3"/>
  <c r="AT122" i="3"/>
  <c r="AQ122" i="3"/>
  <c r="AO122" i="3"/>
  <c r="AL122" i="3"/>
  <c r="AG122" i="3"/>
  <c r="AE122" i="3"/>
  <c r="AB122" i="3"/>
  <c r="W122" i="3"/>
  <c r="U122" i="3"/>
  <c r="R122" i="3"/>
  <c r="M122" i="3"/>
  <c r="EI121" i="3"/>
  <c r="EG121" i="3"/>
  <c r="ED121" i="3"/>
  <c r="EB121" i="3"/>
  <c r="DY121" i="3"/>
  <c r="DW121" i="3"/>
  <c r="DT121" i="3"/>
  <c r="DR121" i="3"/>
  <c r="DO121" i="3"/>
  <c r="DJ121" i="3"/>
  <c r="DE121" i="3"/>
  <c r="CZ121" i="3"/>
  <c r="CU121" i="3"/>
  <c r="CS121" i="3"/>
  <c r="CT121" i="3" s="1"/>
  <c r="CP121" i="3"/>
  <c r="CK121" i="3"/>
  <c r="CI121" i="3"/>
  <c r="CJ121" i="3" s="1"/>
  <c r="CF121" i="3"/>
  <c r="BS121" i="3"/>
  <c r="BR121" i="3"/>
  <c r="BO121" i="3"/>
  <c r="BM121" i="3"/>
  <c r="BJ121" i="3"/>
  <c r="BE121" i="3"/>
  <c r="AW121" i="3"/>
  <c r="AV121" i="3"/>
  <c r="AU121" i="3"/>
  <c r="AT121" i="3"/>
  <c r="AX121" i="3" s="1"/>
  <c r="AQ121" i="3"/>
  <c r="AO121" i="3"/>
  <c r="AL121" i="3"/>
  <c r="AG121" i="3"/>
  <c r="AE121" i="3"/>
  <c r="AB121" i="3"/>
  <c r="W121" i="3"/>
  <c r="U121" i="3"/>
  <c r="R121" i="3"/>
  <c r="M121" i="3"/>
  <c r="EI120" i="3"/>
  <c r="EG120" i="3"/>
  <c r="ED120" i="3"/>
  <c r="EB120" i="3"/>
  <c r="DY120" i="3"/>
  <c r="DW120" i="3"/>
  <c r="DT120" i="3"/>
  <c r="DR120" i="3"/>
  <c r="DO120" i="3"/>
  <c r="DJ120" i="3"/>
  <c r="DE120" i="3"/>
  <c r="CZ120" i="3"/>
  <c r="CU120" i="3"/>
  <c r="CS120" i="3"/>
  <c r="CT120" i="3" s="1"/>
  <c r="CP120" i="3"/>
  <c r="CK120" i="3"/>
  <c r="CI120" i="3"/>
  <c r="CJ120" i="3" s="1"/>
  <c r="CF120" i="3"/>
  <c r="BS120" i="3"/>
  <c r="BR120" i="3"/>
  <c r="BO120" i="3"/>
  <c r="BM120" i="3"/>
  <c r="BJ120" i="3"/>
  <c r="BE120" i="3"/>
  <c r="AV120" i="3"/>
  <c r="AU120" i="3"/>
  <c r="AT120" i="3"/>
  <c r="AQ120" i="3"/>
  <c r="AO120" i="3"/>
  <c r="AL120" i="3"/>
  <c r="AG120" i="3"/>
  <c r="AE120" i="3"/>
  <c r="AB120" i="3"/>
  <c r="W120" i="3"/>
  <c r="U120" i="3"/>
  <c r="R120" i="3"/>
  <c r="M120" i="3"/>
  <c r="EI119" i="3"/>
  <c r="EG119" i="3"/>
  <c r="ED119" i="3"/>
  <c r="EB119" i="3"/>
  <c r="DY119" i="3"/>
  <c r="DW119" i="3"/>
  <c r="DT119" i="3"/>
  <c r="DR119" i="3"/>
  <c r="DO119" i="3"/>
  <c r="DJ119" i="3"/>
  <c r="DE119" i="3"/>
  <c r="CZ119" i="3"/>
  <c r="CU119" i="3"/>
  <c r="CS119" i="3"/>
  <c r="CT119" i="3" s="1"/>
  <c r="CP119" i="3"/>
  <c r="CK119" i="3"/>
  <c r="CI119" i="3"/>
  <c r="CJ119" i="3" s="1"/>
  <c r="CF119" i="3"/>
  <c r="BS119" i="3"/>
  <c r="BR119" i="3"/>
  <c r="BO119" i="3"/>
  <c r="BM119" i="3"/>
  <c r="BJ119" i="3"/>
  <c r="BE119" i="3"/>
  <c r="AV119" i="3"/>
  <c r="AU119" i="3"/>
  <c r="BC119" i="3" s="1"/>
  <c r="AT119" i="3"/>
  <c r="AW119" i="3" s="1"/>
  <c r="AQ119" i="3"/>
  <c r="AO119" i="3"/>
  <c r="AL119" i="3"/>
  <c r="AG119" i="3"/>
  <c r="AE119" i="3"/>
  <c r="AB119" i="3"/>
  <c r="W119" i="3"/>
  <c r="U119" i="3"/>
  <c r="R119" i="3"/>
  <c r="M119" i="3"/>
  <c r="EI118" i="3"/>
  <c r="EG118" i="3"/>
  <c r="ED118" i="3"/>
  <c r="EB118" i="3"/>
  <c r="DY118" i="3"/>
  <c r="DW118" i="3"/>
  <c r="DT118" i="3"/>
  <c r="DR118" i="3"/>
  <c r="DO118" i="3"/>
  <c r="DJ118" i="3"/>
  <c r="DE118" i="3"/>
  <c r="CZ118" i="3"/>
  <c r="CU118" i="3"/>
  <c r="CT118" i="3"/>
  <c r="CS118" i="3"/>
  <c r="CP118" i="3"/>
  <c r="CK118" i="3"/>
  <c r="CJ118" i="3"/>
  <c r="CI118" i="3"/>
  <c r="CF118" i="3"/>
  <c r="BS118" i="3"/>
  <c r="BR118" i="3"/>
  <c r="BO118" i="3"/>
  <c r="BM118" i="3"/>
  <c r="BJ118" i="3"/>
  <c r="BE118" i="3"/>
  <c r="AV118" i="3"/>
  <c r="AU118" i="3"/>
  <c r="AT118" i="3"/>
  <c r="AQ118" i="3"/>
  <c r="AO118" i="3"/>
  <c r="AL118" i="3"/>
  <c r="AG118" i="3"/>
  <c r="AE118" i="3"/>
  <c r="AB118" i="3"/>
  <c r="W118" i="3"/>
  <c r="U118" i="3"/>
  <c r="R118" i="3"/>
  <c r="M118" i="3"/>
  <c r="EI117" i="3"/>
  <c r="EG117" i="3"/>
  <c r="ED117" i="3"/>
  <c r="EB117" i="3"/>
  <c r="DY117" i="3"/>
  <c r="DW117" i="3"/>
  <c r="DT117" i="3"/>
  <c r="DR117" i="3"/>
  <c r="DO117" i="3"/>
  <c r="DJ117" i="3"/>
  <c r="DE117" i="3"/>
  <c r="CZ117" i="3"/>
  <c r="CU117" i="3"/>
  <c r="CS117" i="3"/>
  <c r="CP117" i="3"/>
  <c r="CK117" i="3"/>
  <c r="CI117" i="3"/>
  <c r="CJ117" i="3" s="1"/>
  <c r="CF117" i="3"/>
  <c r="BS117" i="3"/>
  <c r="BR117" i="3"/>
  <c r="BO117" i="3"/>
  <c r="BM117" i="3"/>
  <c r="BJ117" i="3"/>
  <c r="BE117" i="3"/>
  <c r="AW117" i="3"/>
  <c r="AV117" i="3"/>
  <c r="AX117" i="3" s="1"/>
  <c r="AU117" i="3"/>
  <c r="AT117" i="3"/>
  <c r="AQ117" i="3"/>
  <c r="AO117" i="3"/>
  <c r="AL117" i="3"/>
  <c r="AG117" i="3"/>
  <c r="AE117" i="3"/>
  <c r="AB117" i="3"/>
  <c r="W117" i="3"/>
  <c r="U117" i="3"/>
  <c r="R117" i="3"/>
  <c r="M117" i="3"/>
  <c r="EI116" i="3"/>
  <c r="EG116" i="3"/>
  <c r="ED116" i="3"/>
  <c r="EB116" i="3"/>
  <c r="DY116" i="3"/>
  <c r="DW116" i="3"/>
  <c r="DT116" i="3"/>
  <c r="DR116" i="3"/>
  <c r="DO116" i="3"/>
  <c r="DJ116" i="3"/>
  <c r="DE116" i="3"/>
  <c r="CZ116" i="3"/>
  <c r="CU116" i="3"/>
  <c r="CS116" i="3"/>
  <c r="CP116" i="3"/>
  <c r="CK116" i="3"/>
  <c r="CJ116" i="3"/>
  <c r="CI116" i="3"/>
  <c r="CF116" i="3"/>
  <c r="BS116" i="3"/>
  <c r="BR116" i="3"/>
  <c r="BO116" i="3"/>
  <c r="BM116" i="3"/>
  <c r="BJ116" i="3"/>
  <c r="BE116" i="3"/>
  <c r="AV116" i="3"/>
  <c r="AU116" i="3"/>
  <c r="AT116" i="3"/>
  <c r="AQ116" i="3"/>
  <c r="AO116" i="3"/>
  <c r="AL116" i="3"/>
  <c r="AG116" i="3"/>
  <c r="AE116" i="3"/>
  <c r="AB116" i="3"/>
  <c r="W116" i="3"/>
  <c r="U116" i="3"/>
  <c r="R116" i="3"/>
  <c r="M116" i="3"/>
  <c r="EI115" i="3"/>
  <c r="EG115" i="3"/>
  <c r="ED115" i="3"/>
  <c r="EB115" i="3"/>
  <c r="DY115" i="3"/>
  <c r="DW115" i="3"/>
  <c r="DT115" i="3"/>
  <c r="DR115" i="3"/>
  <c r="DO115" i="3"/>
  <c r="DJ115" i="3"/>
  <c r="DE115" i="3"/>
  <c r="CZ115" i="3"/>
  <c r="CU115" i="3"/>
  <c r="CT115" i="3"/>
  <c r="CS115" i="3"/>
  <c r="CP115" i="3"/>
  <c r="CK115" i="3"/>
  <c r="CI115" i="3"/>
  <c r="CJ115" i="3" s="1"/>
  <c r="CF115" i="3"/>
  <c r="BS115" i="3"/>
  <c r="BR115" i="3"/>
  <c r="BO115" i="3"/>
  <c r="BM115" i="3"/>
  <c r="BJ115" i="3"/>
  <c r="BE115" i="3"/>
  <c r="BC115" i="3"/>
  <c r="AV115" i="3"/>
  <c r="AX115" i="3" s="1"/>
  <c r="AU115" i="3"/>
  <c r="AT115" i="3"/>
  <c r="AW115" i="3" s="1"/>
  <c r="AQ115" i="3"/>
  <c r="AO115" i="3"/>
  <c r="AL115" i="3"/>
  <c r="AG115" i="3"/>
  <c r="AE115" i="3"/>
  <c r="AB115" i="3"/>
  <c r="W115" i="3"/>
  <c r="U115" i="3"/>
  <c r="R115" i="3"/>
  <c r="M115" i="3"/>
  <c r="EI114" i="3"/>
  <c r="EG114" i="3"/>
  <c r="ED114" i="3"/>
  <c r="EB114" i="3"/>
  <c r="DY114" i="3"/>
  <c r="DW114" i="3"/>
  <c r="DT114" i="3"/>
  <c r="DR114" i="3"/>
  <c r="DO114" i="3"/>
  <c r="DJ114" i="3"/>
  <c r="DE114" i="3"/>
  <c r="CZ114" i="3"/>
  <c r="CU114" i="3"/>
  <c r="CT114" i="3"/>
  <c r="CS114" i="3"/>
  <c r="CP114" i="3"/>
  <c r="CK114" i="3"/>
  <c r="CJ114" i="3"/>
  <c r="CI114" i="3"/>
  <c r="CF114" i="3"/>
  <c r="BS114" i="3"/>
  <c r="BR114" i="3"/>
  <c r="BO114" i="3"/>
  <c r="BM114" i="3"/>
  <c r="BJ114" i="3"/>
  <c r="BE114" i="3"/>
  <c r="AV114" i="3"/>
  <c r="AU114" i="3"/>
  <c r="AT114" i="3"/>
  <c r="AQ114" i="3"/>
  <c r="AO114" i="3"/>
  <c r="AL114" i="3"/>
  <c r="AG114" i="3"/>
  <c r="AE114" i="3"/>
  <c r="AB114" i="3"/>
  <c r="W114" i="3"/>
  <c r="U114" i="3"/>
  <c r="R114" i="3"/>
  <c r="M114" i="3"/>
  <c r="EI113" i="3"/>
  <c r="EG113" i="3"/>
  <c r="ED113" i="3"/>
  <c r="EB113" i="3"/>
  <c r="DY113" i="3"/>
  <c r="DW113" i="3"/>
  <c r="DT113" i="3"/>
  <c r="DR113" i="3"/>
  <c r="DO113" i="3"/>
  <c r="DJ113" i="3"/>
  <c r="DE113" i="3"/>
  <c r="CZ113" i="3"/>
  <c r="CU113" i="3"/>
  <c r="CS113" i="3"/>
  <c r="CT113" i="3" s="1"/>
  <c r="CP113" i="3"/>
  <c r="CK113" i="3"/>
  <c r="CI113" i="3"/>
  <c r="CJ113" i="3" s="1"/>
  <c r="CF113" i="3"/>
  <c r="BS113" i="3"/>
  <c r="BR113" i="3"/>
  <c r="BO113" i="3"/>
  <c r="BM113" i="3"/>
  <c r="BJ113" i="3"/>
  <c r="BE113" i="3"/>
  <c r="AX113" i="3"/>
  <c r="AV113" i="3"/>
  <c r="AU113" i="3"/>
  <c r="AT113" i="3"/>
  <c r="AW113" i="3" s="1"/>
  <c r="AQ113" i="3"/>
  <c r="AO113" i="3"/>
  <c r="AL113" i="3"/>
  <c r="AG113" i="3"/>
  <c r="AE113" i="3"/>
  <c r="AB113" i="3"/>
  <c r="W113" i="3"/>
  <c r="U113" i="3"/>
  <c r="R113" i="3"/>
  <c r="M113" i="3"/>
  <c r="EI112" i="3"/>
  <c r="EG112" i="3"/>
  <c r="ED112" i="3"/>
  <c r="EB112" i="3"/>
  <c r="DY112" i="3"/>
  <c r="DW112" i="3"/>
  <c r="DT112" i="3"/>
  <c r="DR112" i="3"/>
  <c r="DO112" i="3"/>
  <c r="DJ112" i="3"/>
  <c r="DE112" i="3"/>
  <c r="CZ112" i="3"/>
  <c r="CU112" i="3"/>
  <c r="CT112" i="3"/>
  <c r="CS112" i="3"/>
  <c r="CP112" i="3"/>
  <c r="CK112" i="3"/>
  <c r="CJ112" i="3"/>
  <c r="CI112" i="3"/>
  <c r="CF112" i="3"/>
  <c r="BS112" i="3"/>
  <c r="BR112" i="3"/>
  <c r="BO112" i="3"/>
  <c r="BM112" i="3"/>
  <c r="BJ112" i="3"/>
  <c r="BE112" i="3"/>
  <c r="AV112" i="3"/>
  <c r="AX112" i="3" s="1"/>
  <c r="AU112" i="3"/>
  <c r="AT112" i="3"/>
  <c r="AQ112" i="3"/>
  <c r="AO112" i="3"/>
  <c r="AL112" i="3"/>
  <c r="AG112" i="3"/>
  <c r="AE112" i="3"/>
  <c r="AB112" i="3"/>
  <c r="W112" i="3"/>
  <c r="U112" i="3"/>
  <c r="R112" i="3"/>
  <c r="M112" i="3"/>
  <c r="EI111" i="3"/>
  <c r="EG111" i="3"/>
  <c r="ED111" i="3"/>
  <c r="EB111" i="3"/>
  <c r="DY111" i="3"/>
  <c r="DW111" i="3"/>
  <c r="DT111" i="3"/>
  <c r="DR111" i="3"/>
  <c r="DO111" i="3"/>
  <c r="DJ111" i="3"/>
  <c r="DE111" i="3"/>
  <c r="CZ111" i="3"/>
  <c r="CU111" i="3"/>
  <c r="CT111" i="3"/>
  <c r="CS111" i="3"/>
  <c r="CP111" i="3"/>
  <c r="CK111" i="3"/>
  <c r="CI111" i="3"/>
  <c r="CJ111" i="3" s="1"/>
  <c r="CF111" i="3"/>
  <c r="BS111" i="3"/>
  <c r="BR111" i="3"/>
  <c r="BO111" i="3"/>
  <c r="BM111" i="3"/>
  <c r="BJ111" i="3"/>
  <c r="BE111" i="3"/>
  <c r="AW111" i="3"/>
  <c r="AV111" i="3"/>
  <c r="AU111" i="3"/>
  <c r="AT111" i="3"/>
  <c r="AQ111" i="3"/>
  <c r="AO111" i="3"/>
  <c r="AL111" i="3"/>
  <c r="AG111" i="3"/>
  <c r="AE111" i="3"/>
  <c r="AB111" i="3"/>
  <c r="W111" i="3"/>
  <c r="U111" i="3"/>
  <c r="R111" i="3"/>
  <c r="M111" i="3"/>
  <c r="EI110" i="3"/>
  <c r="EG110" i="3"/>
  <c r="ED110" i="3"/>
  <c r="EB110" i="3"/>
  <c r="DY110" i="3"/>
  <c r="DW110" i="3"/>
  <c r="DT110" i="3"/>
  <c r="DR110" i="3"/>
  <c r="DO110" i="3"/>
  <c r="DJ110" i="3"/>
  <c r="DE110" i="3"/>
  <c r="CZ110" i="3"/>
  <c r="CU110" i="3"/>
  <c r="CS110" i="3"/>
  <c r="CT110" i="3" s="1"/>
  <c r="CP110" i="3"/>
  <c r="CK110" i="3"/>
  <c r="CI110" i="3"/>
  <c r="CJ110" i="3" s="1"/>
  <c r="CF110" i="3"/>
  <c r="BS110" i="3"/>
  <c r="BR110" i="3"/>
  <c r="BO110" i="3"/>
  <c r="BM110" i="3"/>
  <c r="BJ110" i="3"/>
  <c r="BE110" i="3"/>
  <c r="AV110" i="3"/>
  <c r="AU110" i="3"/>
  <c r="BC110" i="3" s="1"/>
  <c r="AT110" i="3"/>
  <c r="AQ110" i="3"/>
  <c r="AO110" i="3"/>
  <c r="AL110" i="3"/>
  <c r="AG110" i="3"/>
  <c r="AE110" i="3"/>
  <c r="AB110" i="3"/>
  <c r="W110" i="3"/>
  <c r="U110" i="3"/>
  <c r="R110" i="3"/>
  <c r="M110" i="3"/>
  <c r="EI109" i="3"/>
  <c r="EG109" i="3"/>
  <c r="ED109" i="3"/>
  <c r="EB109" i="3"/>
  <c r="DY109" i="3"/>
  <c r="DW109" i="3"/>
  <c r="DT109" i="3"/>
  <c r="DR109" i="3"/>
  <c r="DO109" i="3"/>
  <c r="DJ109" i="3"/>
  <c r="DE109" i="3"/>
  <c r="CZ109" i="3"/>
  <c r="CU109" i="3"/>
  <c r="CS109" i="3"/>
  <c r="CT109" i="3" s="1"/>
  <c r="CP109" i="3"/>
  <c r="CK109" i="3"/>
  <c r="CI109" i="3"/>
  <c r="CJ109" i="3" s="1"/>
  <c r="CF109" i="3"/>
  <c r="BS109" i="3"/>
  <c r="BR109" i="3"/>
  <c r="BO109" i="3"/>
  <c r="BM109" i="3"/>
  <c r="BJ109" i="3"/>
  <c r="BE109" i="3"/>
  <c r="AX109" i="3"/>
  <c r="AW109" i="3"/>
  <c r="AV109" i="3"/>
  <c r="AU109" i="3"/>
  <c r="BC109" i="3" s="1"/>
  <c r="AT109" i="3"/>
  <c r="AQ109" i="3"/>
  <c r="AO109" i="3"/>
  <c r="AL109" i="3"/>
  <c r="AG109" i="3"/>
  <c r="AE109" i="3"/>
  <c r="AB109" i="3"/>
  <c r="W109" i="3"/>
  <c r="U109" i="3"/>
  <c r="R109" i="3"/>
  <c r="M109" i="3"/>
  <c r="EI108" i="3"/>
  <c r="EG108" i="3"/>
  <c r="ED108" i="3"/>
  <c r="EB108" i="3"/>
  <c r="DY108" i="3"/>
  <c r="DW108" i="3"/>
  <c r="DT108" i="3"/>
  <c r="DR108" i="3"/>
  <c r="DO108" i="3"/>
  <c r="DJ108" i="3"/>
  <c r="DE108" i="3"/>
  <c r="CZ108" i="3"/>
  <c r="CU108" i="3"/>
  <c r="CS108" i="3"/>
  <c r="CT108" i="3" s="1"/>
  <c r="CP108" i="3"/>
  <c r="CK108" i="3"/>
  <c r="CI108" i="3"/>
  <c r="CJ108" i="3" s="1"/>
  <c r="CF108" i="3"/>
  <c r="BS108" i="3"/>
  <c r="BR108" i="3"/>
  <c r="BO108" i="3"/>
  <c r="BM108" i="3"/>
  <c r="BJ108" i="3"/>
  <c r="BE108" i="3"/>
  <c r="AV108" i="3"/>
  <c r="AX108" i="3" s="1"/>
  <c r="AU108" i="3"/>
  <c r="AT108" i="3"/>
  <c r="AQ108" i="3"/>
  <c r="AO108" i="3"/>
  <c r="AL108" i="3"/>
  <c r="AG108" i="3"/>
  <c r="AE108" i="3"/>
  <c r="AB108" i="3"/>
  <c r="W108" i="3"/>
  <c r="U108" i="3"/>
  <c r="R108" i="3"/>
  <c r="M108" i="3"/>
  <c r="EI107" i="3"/>
  <c r="EG107" i="3"/>
  <c r="ED107" i="3"/>
  <c r="EB107" i="3"/>
  <c r="DY107" i="3"/>
  <c r="DW107" i="3"/>
  <c r="DT107" i="3"/>
  <c r="DR107" i="3"/>
  <c r="DO107" i="3"/>
  <c r="DJ107" i="3"/>
  <c r="DE107" i="3"/>
  <c r="CZ107" i="3"/>
  <c r="CU107" i="3"/>
  <c r="CS107" i="3"/>
  <c r="CT107" i="3" s="1"/>
  <c r="CP107" i="3"/>
  <c r="CK107" i="3"/>
  <c r="CI107" i="3"/>
  <c r="CJ107" i="3" s="1"/>
  <c r="CF107" i="3"/>
  <c r="BS107" i="3"/>
  <c r="BR107" i="3"/>
  <c r="BO107" i="3"/>
  <c r="BM107" i="3"/>
  <c r="BJ107" i="3"/>
  <c r="BE107" i="3"/>
  <c r="AV107" i="3"/>
  <c r="AX107" i="3" s="1"/>
  <c r="AU107" i="3"/>
  <c r="AT107" i="3"/>
  <c r="AQ107" i="3"/>
  <c r="AO107" i="3"/>
  <c r="AL107" i="3"/>
  <c r="AG107" i="3"/>
  <c r="AE107" i="3"/>
  <c r="AB107" i="3"/>
  <c r="W107" i="3"/>
  <c r="U107" i="3"/>
  <c r="R107" i="3"/>
  <c r="M107" i="3"/>
  <c r="EI106" i="3"/>
  <c r="EG106" i="3"/>
  <c r="ED106" i="3"/>
  <c r="EB106" i="3"/>
  <c r="DY106" i="3"/>
  <c r="DW106" i="3"/>
  <c r="DT106" i="3"/>
  <c r="DR106" i="3"/>
  <c r="DO106" i="3"/>
  <c r="DJ106" i="3"/>
  <c r="DE106" i="3"/>
  <c r="CZ106" i="3"/>
  <c r="CU106" i="3"/>
  <c r="CS106" i="3"/>
  <c r="CT106" i="3" s="1"/>
  <c r="CP106" i="3"/>
  <c r="CK106" i="3"/>
  <c r="CI106" i="3"/>
  <c r="CJ106" i="3" s="1"/>
  <c r="CF106" i="3"/>
  <c r="BS106" i="3"/>
  <c r="BR106" i="3"/>
  <c r="BO106" i="3"/>
  <c r="BM106" i="3"/>
  <c r="BJ106" i="3"/>
  <c r="BE106" i="3"/>
  <c r="AV106" i="3"/>
  <c r="AU106" i="3"/>
  <c r="AT106" i="3"/>
  <c r="AQ106" i="3"/>
  <c r="AO106" i="3"/>
  <c r="AL106" i="3"/>
  <c r="AG106" i="3"/>
  <c r="AE106" i="3"/>
  <c r="AB106" i="3"/>
  <c r="W106" i="3"/>
  <c r="U106" i="3"/>
  <c r="R106" i="3"/>
  <c r="M106" i="3"/>
  <c r="EI105" i="3"/>
  <c r="EG105" i="3"/>
  <c r="ED105" i="3"/>
  <c r="EB105" i="3"/>
  <c r="DY105" i="3"/>
  <c r="DW105" i="3"/>
  <c r="DT105" i="3"/>
  <c r="DR105" i="3"/>
  <c r="DO105" i="3"/>
  <c r="DJ105" i="3"/>
  <c r="DE105" i="3"/>
  <c r="CZ105" i="3"/>
  <c r="CU105" i="3"/>
  <c r="CS105" i="3"/>
  <c r="CT105" i="3" s="1"/>
  <c r="CP105" i="3"/>
  <c r="CK105" i="3"/>
  <c r="CI105" i="3"/>
  <c r="CJ105" i="3" s="1"/>
  <c r="CF105" i="3"/>
  <c r="BS105" i="3"/>
  <c r="BR105" i="3"/>
  <c r="BO105" i="3"/>
  <c r="BM105" i="3"/>
  <c r="BJ105" i="3"/>
  <c r="BE105" i="3"/>
  <c r="AV105" i="3"/>
  <c r="AX105" i="3" s="1"/>
  <c r="AU105" i="3"/>
  <c r="AT105" i="3"/>
  <c r="AQ105" i="3"/>
  <c r="AO105" i="3"/>
  <c r="AL105" i="3"/>
  <c r="AG105" i="3"/>
  <c r="AE105" i="3"/>
  <c r="AB105" i="3"/>
  <c r="W105" i="3"/>
  <c r="U105" i="3"/>
  <c r="R105" i="3"/>
  <c r="M105" i="3"/>
  <c r="EI104" i="3"/>
  <c r="EG104" i="3"/>
  <c r="ED104" i="3"/>
  <c r="EB104" i="3"/>
  <c r="DY104" i="3"/>
  <c r="DW104" i="3"/>
  <c r="DT104" i="3"/>
  <c r="DR104" i="3"/>
  <c r="DO104" i="3"/>
  <c r="DJ104" i="3"/>
  <c r="DE104" i="3"/>
  <c r="CZ104" i="3"/>
  <c r="CU104" i="3"/>
  <c r="CS104" i="3"/>
  <c r="CT104" i="3" s="1"/>
  <c r="CP104" i="3"/>
  <c r="CK104" i="3"/>
  <c r="CI104" i="3"/>
  <c r="CJ104" i="3" s="1"/>
  <c r="CF104" i="3"/>
  <c r="BS104" i="3"/>
  <c r="BR104" i="3"/>
  <c r="BO104" i="3"/>
  <c r="BM104" i="3"/>
  <c r="BJ104" i="3"/>
  <c r="BE104" i="3"/>
  <c r="AV104" i="3"/>
  <c r="AX104" i="3" s="1"/>
  <c r="AU104" i="3"/>
  <c r="AT104" i="3"/>
  <c r="AQ104" i="3"/>
  <c r="AO104" i="3"/>
  <c r="AL104" i="3"/>
  <c r="AG104" i="3"/>
  <c r="AE104" i="3"/>
  <c r="AB104" i="3"/>
  <c r="W104" i="3"/>
  <c r="U104" i="3"/>
  <c r="R104" i="3"/>
  <c r="M104" i="3"/>
  <c r="EI103" i="3"/>
  <c r="EG103" i="3"/>
  <c r="ED103" i="3"/>
  <c r="EB103" i="3"/>
  <c r="DY103" i="3"/>
  <c r="DW103" i="3"/>
  <c r="DT103" i="3"/>
  <c r="DR103" i="3"/>
  <c r="DO103" i="3"/>
  <c r="DJ103" i="3"/>
  <c r="DE103" i="3"/>
  <c r="CZ103" i="3"/>
  <c r="CU103" i="3"/>
  <c r="CT103" i="3"/>
  <c r="CS103" i="3"/>
  <c r="CP103" i="3"/>
  <c r="CK103" i="3"/>
  <c r="CJ103" i="3"/>
  <c r="CI103" i="3"/>
  <c r="CF103" i="3"/>
  <c r="BS103" i="3"/>
  <c r="BR103" i="3"/>
  <c r="BO103" i="3"/>
  <c r="BM103" i="3"/>
  <c r="BJ103" i="3"/>
  <c r="BE103" i="3"/>
  <c r="AV103" i="3"/>
  <c r="AX103" i="3" s="1"/>
  <c r="AU103" i="3"/>
  <c r="AT103" i="3"/>
  <c r="AQ103" i="3"/>
  <c r="AO103" i="3"/>
  <c r="AL103" i="3"/>
  <c r="AG103" i="3"/>
  <c r="AE103" i="3"/>
  <c r="AB103" i="3"/>
  <c r="W103" i="3"/>
  <c r="U103" i="3"/>
  <c r="R103" i="3"/>
  <c r="M103" i="3"/>
  <c r="EI102" i="3"/>
  <c r="EG102" i="3"/>
  <c r="ED102" i="3"/>
  <c r="EB102" i="3"/>
  <c r="DY102" i="3"/>
  <c r="DW102" i="3"/>
  <c r="DT102" i="3"/>
  <c r="DR102" i="3"/>
  <c r="DO102" i="3"/>
  <c r="DJ102" i="3"/>
  <c r="DE102" i="3"/>
  <c r="CZ102" i="3"/>
  <c r="CU102" i="3"/>
  <c r="CS102" i="3"/>
  <c r="CT102" i="3" s="1"/>
  <c r="CP102" i="3"/>
  <c r="CK102" i="3"/>
  <c r="CI102" i="3"/>
  <c r="CJ102" i="3" s="1"/>
  <c r="CF102" i="3"/>
  <c r="BS102" i="3"/>
  <c r="BR102" i="3"/>
  <c r="BO102" i="3"/>
  <c r="BM102" i="3"/>
  <c r="BJ102" i="3"/>
  <c r="BE102" i="3"/>
  <c r="AV102" i="3"/>
  <c r="AU102" i="3"/>
  <c r="AT102" i="3"/>
  <c r="AQ102" i="3"/>
  <c r="AO102" i="3"/>
  <c r="AL102" i="3"/>
  <c r="AG102" i="3"/>
  <c r="AE102" i="3"/>
  <c r="AB102" i="3"/>
  <c r="W102" i="3"/>
  <c r="U102" i="3"/>
  <c r="R102" i="3"/>
  <c r="M102" i="3"/>
  <c r="EI101" i="3"/>
  <c r="EG101" i="3"/>
  <c r="ED101" i="3"/>
  <c r="EB101" i="3"/>
  <c r="DY101" i="3"/>
  <c r="DW101" i="3"/>
  <c r="DT101" i="3"/>
  <c r="DR101" i="3"/>
  <c r="DO101" i="3"/>
  <c r="DJ101" i="3"/>
  <c r="DE101" i="3"/>
  <c r="CZ101" i="3"/>
  <c r="CU101" i="3"/>
  <c r="CS101" i="3"/>
  <c r="CT101" i="3" s="1"/>
  <c r="CP101" i="3"/>
  <c r="CK101" i="3"/>
  <c r="CJ101" i="3"/>
  <c r="CI101" i="3"/>
  <c r="CF101" i="3"/>
  <c r="BS101" i="3"/>
  <c r="BR101" i="3"/>
  <c r="BO101" i="3"/>
  <c r="BM101" i="3"/>
  <c r="BJ101" i="3"/>
  <c r="BE101" i="3"/>
  <c r="AV101" i="3"/>
  <c r="AX101" i="3" s="1"/>
  <c r="AU101" i="3"/>
  <c r="AT101" i="3"/>
  <c r="AW101" i="3" s="1"/>
  <c r="AQ101" i="3"/>
  <c r="AO101" i="3"/>
  <c r="AL101" i="3"/>
  <c r="AG101" i="3"/>
  <c r="AE101" i="3"/>
  <c r="AB101" i="3"/>
  <c r="W101" i="3"/>
  <c r="U101" i="3"/>
  <c r="R101" i="3"/>
  <c r="M101" i="3"/>
  <c r="EI100" i="3"/>
  <c r="EG100" i="3"/>
  <c r="ED100" i="3"/>
  <c r="EB100" i="3"/>
  <c r="DY100" i="3"/>
  <c r="DW100" i="3"/>
  <c r="DT100" i="3"/>
  <c r="DR100" i="3"/>
  <c r="DO100" i="3"/>
  <c r="DJ100" i="3"/>
  <c r="DE100" i="3"/>
  <c r="CZ100" i="3"/>
  <c r="CU100" i="3"/>
  <c r="CS100" i="3"/>
  <c r="CT100" i="3" s="1"/>
  <c r="CP100" i="3"/>
  <c r="CK100" i="3"/>
  <c r="CI100" i="3"/>
  <c r="CJ100" i="3" s="1"/>
  <c r="CF100" i="3"/>
  <c r="BS100" i="3"/>
  <c r="BR100" i="3"/>
  <c r="BO100" i="3"/>
  <c r="BM100" i="3"/>
  <c r="BJ100" i="3"/>
  <c r="BE100" i="3"/>
  <c r="BC100" i="3"/>
  <c r="AV100" i="3"/>
  <c r="AX100" i="3" s="1"/>
  <c r="AU100" i="3"/>
  <c r="AW100" i="3" s="1"/>
  <c r="AT100" i="3"/>
  <c r="AQ100" i="3"/>
  <c r="AO100" i="3"/>
  <c r="AL100" i="3"/>
  <c r="AG100" i="3"/>
  <c r="AE100" i="3"/>
  <c r="AB100" i="3"/>
  <c r="W100" i="3"/>
  <c r="U100" i="3"/>
  <c r="R100" i="3"/>
  <c r="M100" i="3"/>
  <c r="EI99" i="3"/>
  <c r="EG99" i="3"/>
  <c r="ED99" i="3"/>
  <c r="EB99" i="3"/>
  <c r="DY99" i="3"/>
  <c r="DW99" i="3"/>
  <c r="DT99" i="3"/>
  <c r="DR99" i="3"/>
  <c r="DO99" i="3"/>
  <c r="DJ99" i="3"/>
  <c r="DE99" i="3"/>
  <c r="CZ99" i="3"/>
  <c r="CU99" i="3"/>
  <c r="CS99" i="3"/>
  <c r="CT99" i="3" s="1"/>
  <c r="CP99" i="3"/>
  <c r="CK99" i="3"/>
  <c r="CJ99" i="3"/>
  <c r="CI99" i="3"/>
  <c r="CF99" i="3"/>
  <c r="BS99" i="3"/>
  <c r="BR99" i="3"/>
  <c r="BO99" i="3"/>
  <c r="BM99" i="3"/>
  <c r="BJ99" i="3"/>
  <c r="BE99" i="3"/>
  <c r="AV99" i="3"/>
  <c r="AX99" i="3" s="1"/>
  <c r="AU99" i="3"/>
  <c r="AT99" i="3"/>
  <c r="AQ99" i="3"/>
  <c r="AO99" i="3"/>
  <c r="AL99" i="3"/>
  <c r="AG99" i="3"/>
  <c r="AE99" i="3"/>
  <c r="AB99" i="3"/>
  <c r="W99" i="3"/>
  <c r="U99" i="3"/>
  <c r="R99" i="3"/>
  <c r="M99" i="3"/>
  <c r="EI98" i="3"/>
  <c r="EG98" i="3"/>
  <c r="ED98" i="3"/>
  <c r="EB98" i="3"/>
  <c r="DY98" i="3"/>
  <c r="DW98" i="3"/>
  <c r="DT98" i="3"/>
  <c r="DR98" i="3"/>
  <c r="DO98" i="3"/>
  <c r="DJ98" i="3"/>
  <c r="DE98" i="3"/>
  <c r="CZ98" i="3"/>
  <c r="CU98" i="3"/>
  <c r="CS98" i="3"/>
  <c r="CT98" i="3" s="1"/>
  <c r="CP98" i="3"/>
  <c r="CK98" i="3"/>
  <c r="CI98" i="3"/>
  <c r="CJ98" i="3" s="1"/>
  <c r="CF98" i="3"/>
  <c r="BS98" i="3"/>
  <c r="BR98" i="3"/>
  <c r="BO98" i="3"/>
  <c r="BM98" i="3"/>
  <c r="BJ98" i="3"/>
  <c r="BE98" i="3"/>
  <c r="AV98" i="3"/>
  <c r="AX98" i="3" s="1"/>
  <c r="AU98" i="3"/>
  <c r="BC98" i="3" s="1"/>
  <c r="AT98" i="3"/>
  <c r="AQ98" i="3"/>
  <c r="AO98" i="3"/>
  <c r="AL98" i="3"/>
  <c r="AG98" i="3"/>
  <c r="AE98" i="3"/>
  <c r="AB98" i="3"/>
  <c r="W98" i="3"/>
  <c r="U98" i="3"/>
  <c r="R98" i="3"/>
  <c r="M98" i="3"/>
  <c r="EI97" i="3"/>
  <c r="EG97" i="3"/>
  <c r="ED97" i="3"/>
  <c r="EB97" i="3"/>
  <c r="DY97" i="3"/>
  <c r="DW97" i="3"/>
  <c r="DT97" i="3"/>
  <c r="DR97" i="3"/>
  <c r="DO97" i="3"/>
  <c r="DJ97" i="3"/>
  <c r="DE97" i="3"/>
  <c r="CZ97" i="3"/>
  <c r="CU97" i="3"/>
  <c r="CT97" i="3"/>
  <c r="CS97" i="3"/>
  <c r="CP97" i="3"/>
  <c r="CK97" i="3"/>
  <c r="CI97" i="3"/>
  <c r="CJ97" i="3" s="1"/>
  <c r="CF97" i="3"/>
  <c r="BS97" i="3"/>
  <c r="BR97" i="3"/>
  <c r="BO97" i="3"/>
  <c r="BM97" i="3"/>
  <c r="BJ97" i="3"/>
  <c r="BE97" i="3"/>
  <c r="AV97" i="3"/>
  <c r="AX97" i="3" s="1"/>
  <c r="AU97" i="3"/>
  <c r="AT97" i="3"/>
  <c r="AQ97" i="3"/>
  <c r="AO97" i="3"/>
  <c r="AL97" i="3"/>
  <c r="AG97" i="3"/>
  <c r="AE97" i="3"/>
  <c r="AB97" i="3"/>
  <c r="W97" i="3"/>
  <c r="U97" i="3"/>
  <c r="R97" i="3"/>
  <c r="M97" i="3"/>
  <c r="EI96" i="3"/>
  <c r="EG96" i="3"/>
  <c r="ED96" i="3"/>
  <c r="EB96" i="3"/>
  <c r="DY96" i="3"/>
  <c r="DW96" i="3"/>
  <c r="DT96" i="3"/>
  <c r="DR96" i="3"/>
  <c r="DO96" i="3"/>
  <c r="DJ96" i="3"/>
  <c r="DE96" i="3"/>
  <c r="CZ96" i="3"/>
  <c r="CU96" i="3"/>
  <c r="CS96" i="3"/>
  <c r="CT96" i="3" s="1"/>
  <c r="CP96" i="3"/>
  <c r="CK96" i="3"/>
  <c r="CI96" i="3"/>
  <c r="CJ96" i="3" s="1"/>
  <c r="CF96" i="3"/>
  <c r="BS96" i="3"/>
  <c r="BR96" i="3"/>
  <c r="BO96" i="3"/>
  <c r="BM96" i="3"/>
  <c r="BJ96" i="3"/>
  <c r="BE96" i="3"/>
  <c r="AX96" i="3"/>
  <c r="AV96" i="3"/>
  <c r="AU96" i="3"/>
  <c r="BC96" i="3" s="1"/>
  <c r="AT96" i="3"/>
  <c r="AW96" i="3" s="1"/>
  <c r="AQ96" i="3"/>
  <c r="AO96" i="3"/>
  <c r="AL96" i="3"/>
  <c r="AG96" i="3"/>
  <c r="AE96" i="3"/>
  <c r="AB96" i="3"/>
  <c r="W96" i="3"/>
  <c r="U96" i="3"/>
  <c r="R96" i="3"/>
  <c r="M96" i="3"/>
  <c r="EI95" i="3"/>
  <c r="EG95" i="3"/>
  <c r="ED95" i="3"/>
  <c r="EB95" i="3"/>
  <c r="DY95" i="3"/>
  <c r="DW95" i="3"/>
  <c r="DT95" i="3"/>
  <c r="DR95" i="3"/>
  <c r="DO95" i="3"/>
  <c r="DJ95" i="3"/>
  <c r="DE95" i="3"/>
  <c r="CZ95" i="3"/>
  <c r="CU95" i="3"/>
  <c r="CT95" i="3"/>
  <c r="CS95" i="3"/>
  <c r="CP95" i="3"/>
  <c r="CK95" i="3"/>
  <c r="CI95" i="3"/>
  <c r="CJ95" i="3" s="1"/>
  <c r="CF95" i="3"/>
  <c r="BS95" i="3"/>
  <c r="BR95" i="3"/>
  <c r="BO95" i="3"/>
  <c r="BM95" i="3"/>
  <c r="BJ95" i="3"/>
  <c r="BE95" i="3"/>
  <c r="AV95" i="3"/>
  <c r="AU95" i="3"/>
  <c r="AW95" i="3" s="1"/>
  <c r="AT95" i="3"/>
  <c r="AX95" i="3" s="1"/>
  <c r="AQ95" i="3"/>
  <c r="AO95" i="3"/>
  <c r="AL95" i="3"/>
  <c r="AG95" i="3"/>
  <c r="AE95" i="3"/>
  <c r="AB95" i="3"/>
  <c r="W95" i="3"/>
  <c r="U95" i="3"/>
  <c r="R95" i="3"/>
  <c r="M95" i="3"/>
  <c r="EI94" i="3"/>
  <c r="EG94" i="3"/>
  <c r="ED94" i="3"/>
  <c r="EB94" i="3"/>
  <c r="DY94" i="3"/>
  <c r="DW94" i="3"/>
  <c r="DT94" i="3"/>
  <c r="DR94" i="3"/>
  <c r="DO94" i="3"/>
  <c r="DJ94" i="3"/>
  <c r="DE94" i="3"/>
  <c r="CZ94" i="3"/>
  <c r="CU94" i="3"/>
  <c r="CS94" i="3"/>
  <c r="CT94" i="3" s="1"/>
  <c r="CP94" i="3"/>
  <c r="CK94" i="3"/>
  <c r="CI94" i="3"/>
  <c r="CJ94" i="3" s="1"/>
  <c r="CF94" i="3"/>
  <c r="BS94" i="3"/>
  <c r="BR94" i="3"/>
  <c r="BO94" i="3"/>
  <c r="BM94" i="3"/>
  <c r="BJ94" i="3"/>
  <c r="BE94" i="3"/>
  <c r="AV94" i="3"/>
  <c r="AX94" i="3" s="1"/>
  <c r="AU94" i="3"/>
  <c r="BC94" i="3" s="1"/>
  <c r="AT94" i="3"/>
  <c r="AQ94" i="3"/>
  <c r="AO94" i="3"/>
  <c r="AL94" i="3"/>
  <c r="AG94" i="3"/>
  <c r="AE94" i="3"/>
  <c r="AB94" i="3"/>
  <c r="W94" i="3"/>
  <c r="U94" i="3"/>
  <c r="R94" i="3"/>
  <c r="M94" i="3"/>
  <c r="EI93" i="3"/>
  <c r="EG93" i="3"/>
  <c r="ED93" i="3"/>
  <c r="EB93" i="3"/>
  <c r="DY93" i="3"/>
  <c r="DW93" i="3"/>
  <c r="DT93" i="3"/>
  <c r="DR93" i="3"/>
  <c r="DO93" i="3"/>
  <c r="DJ93" i="3"/>
  <c r="DE93" i="3"/>
  <c r="CZ93" i="3"/>
  <c r="CU93" i="3"/>
  <c r="CT93" i="3"/>
  <c r="CS93" i="3"/>
  <c r="CP93" i="3"/>
  <c r="CK93" i="3"/>
  <c r="CI93" i="3"/>
  <c r="CJ93" i="3" s="1"/>
  <c r="CF93" i="3"/>
  <c r="BS93" i="3"/>
  <c r="BR93" i="3"/>
  <c r="BO93" i="3"/>
  <c r="BM93" i="3"/>
  <c r="BJ93" i="3"/>
  <c r="BE93" i="3"/>
  <c r="AV93" i="3"/>
  <c r="AU93" i="3"/>
  <c r="AT93" i="3"/>
  <c r="AQ93" i="3"/>
  <c r="AO93" i="3"/>
  <c r="AL93" i="3"/>
  <c r="AG93" i="3"/>
  <c r="AE93" i="3"/>
  <c r="AB93" i="3"/>
  <c r="W93" i="3"/>
  <c r="U93" i="3"/>
  <c r="R93" i="3"/>
  <c r="M93" i="3"/>
  <c r="EI92" i="3"/>
  <c r="EG92" i="3"/>
  <c r="ED92" i="3"/>
  <c r="EB92" i="3"/>
  <c r="DY92" i="3"/>
  <c r="DW92" i="3"/>
  <c r="DT92" i="3"/>
  <c r="DR92" i="3"/>
  <c r="DO92" i="3"/>
  <c r="DJ92" i="3"/>
  <c r="DE92" i="3"/>
  <c r="CZ92" i="3"/>
  <c r="CU92" i="3"/>
  <c r="CT92" i="3"/>
  <c r="CS92" i="3"/>
  <c r="CP92" i="3"/>
  <c r="CK92" i="3"/>
  <c r="CJ92" i="3"/>
  <c r="CI92" i="3"/>
  <c r="CF92" i="3"/>
  <c r="BS92" i="3"/>
  <c r="BR92" i="3"/>
  <c r="BO92" i="3"/>
  <c r="BM92" i="3"/>
  <c r="BJ92" i="3"/>
  <c r="BE92" i="3"/>
  <c r="AV92" i="3"/>
  <c r="AU92" i="3"/>
  <c r="AW92" i="3" s="1"/>
  <c r="AT92" i="3"/>
  <c r="AQ92" i="3"/>
  <c r="AO92" i="3"/>
  <c r="AL92" i="3"/>
  <c r="AG92" i="3"/>
  <c r="AE92" i="3"/>
  <c r="AB92" i="3"/>
  <c r="W92" i="3"/>
  <c r="U92" i="3"/>
  <c r="R92" i="3"/>
  <c r="M92" i="3"/>
  <c r="EI91" i="3"/>
  <c r="EG91" i="3"/>
  <c r="ED91" i="3"/>
  <c r="EB91" i="3"/>
  <c r="DY91" i="3"/>
  <c r="DW91" i="3"/>
  <c r="DT91" i="3"/>
  <c r="DR91" i="3"/>
  <c r="DO91" i="3"/>
  <c r="DJ91" i="3"/>
  <c r="DE91" i="3"/>
  <c r="CZ91" i="3"/>
  <c r="CU91" i="3"/>
  <c r="CS91" i="3"/>
  <c r="CT91" i="3" s="1"/>
  <c r="CP91" i="3"/>
  <c r="CK91" i="3"/>
  <c r="CI91" i="3"/>
  <c r="CJ91" i="3" s="1"/>
  <c r="CF91" i="3"/>
  <c r="BS91" i="3"/>
  <c r="BR91" i="3"/>
  <c r="BO91" i="3"/>
  <c r="BM91" i="3"/>
  <c r="BJ91" i="3"/>
  <c r="BE91" i="3"/>
  <c r="AW91" i="3"/>
  <c r="AV91" i="3"/>
  <c r="AU91" i="3"/>
  <c r="AT91" i="3"/>
  <c r="BC91" i="3" s="1"/>
  <c r="AQ91" i="3"/>
  <c r="AO91" i="3"/>
  <c r="AL91" i="3"/>
  <c r="AG91" i="3"/>
  <c r="AE91" i="3"/>
  <c r="AB91" i="3"/>
  <c r="W91" i="3"/>
  <c r="U91" i="3"/>
  <c r="R91" i="3"/>
  <c r="M91" i="3"/>
  <c r="EI90" i="3"/>
  <c r="EG90" i="3"/>
  <c r="ED90" i="3"/>
  <c r="EB90" i="3"/>
  <c r="DY90" i="3"/>
  <c r="DW90" i="3"/>
  <c r="DT90" i="3"/>
  <c r="DR90" i="3"/>
  <c r="DO90" i="3"/>
  <c r="DJ90" i="3"/>
  <c r="DE90" i="3"/>
  <c r="CZ90" i="3"/>
  <c r="CU90" i="3"/>
  <c r="CS90" i="3"/>
  <c r="CT90" i="3" s="1"/>
  <c r="CP90" i="3"/>
  <c r="CK90" i="3"/>
  <c r="CI90" i="3"/>
  <c r="CJ90" i="3" s="1"/>
  <c r="CF90" i="3"/>
  <c r="BS90" i="3"/>
  <c r="BR90" i="3"/>
  <c r="BO90" i="3"/>
  <c r="BM90" i="3"/>
  <c r="BJ90" i="3"/>
  <c r="BE90" i="3"/>
  <c r="AW90" i="3"/>
  <c r="AV90" i="3"/>
  <c r="AU90" i="3"/>
  <c r="AT90" i="3"/>
  <c r="BC90" i="3" s="1"/>
  <c r="AQ90" i="3"/>
  <c r="AO90" i="3"/>
  <c r="AL90" i="3"/>
  <c r="AG90" i="3"/>
  <c r="AE90" i="3"/>
  <c r="AB90" i="3"/>
  <c r="W90" i="3"/>
  <c r="U90" i="3"/>
  <c r="R90" i="3"/>
  <c r="M90" i="3"/>
  <c r="EI89" i="3"/>
  <c r="EG89" i="3"/>
  <c r="ED89" i="3"/>
  <c r="EB89" i="3"/>
  <c r="DY89" i="3"/>
  <c r="DW89" i="3"/>
  <c r="DT89" i="3"/>
  <c r="DR89" i="3"/>
  <c r="DO89" i="3"/>
  <c r="DJ89" i="3"/>
  <c r="DE89" i="3"/>
  <c r="CZ89" i="3"/>
  <c r="CU89" i="3"/>
  <c r="CS89" i="3"/>
  <c r="CT89" i="3" s="1"/>
  <c r="CP89" i="3"/>
  <c r="CK89" i="3"/>
  <c r="CI89" i="3"/>
  <c r="CJ89" i="3" s="1"/>
  <c r="CF89" i="3"/>
  <c r="BS89" i="3"/>
  <c r="BR89" i="3"/>
  <c r="BO89" i="3"/>
  <c r="BM89" i="3"/>
  <c r="BJ89" i="3"/>
  <c r="BE89" i="3"/>
  <c r="AX89" i="3"/>
  <c r="AW89" i="3"/>
  <c r="AV89" i="3"/>
  <c r="AU89" i="3"/>
  <c r="AT89" i="3"/>
  <c r="BC89" i="3" s="1"/>
  <c r="AQ89" i="3"/>
  <c r="AO89" i="3"/>
  <c r="AL89" i="3"/>
  <c r="AG89" i="3"/>
  <c r="AE89" i="3"/>
  <c r="AB89" i="3"/>
  <c r="W89" i="3"/>
  <c r="U89" i="3"/>
  <c r="R89" i="3"/>
  <c r="M89" i="3"/>
  <c r="EI88" i="3"/>
  <c r="EG88" i="3"/>
  <c r="ED88" i="3"/>
  <c r="EB88" i="3"/>
  <c r="DY88" i="3"/>
  <c r="DW88" i="3"/>
  <c r="DT88" i="3"/>
  <c r="DR88" i="3"/>
  <c r="DO88" i="3"/>
  <c r="DJ88" i="3"/>
  <c r="DE88" i="3"/>
  <c r="CZ88" i="3"/>
  <c r="CU88" i="3"/>
  <c r="CS88" i="3"/>
  <c r="CT88" i="3" s="1"/>
  <c r="CP88" i="3"/>
  <c r="CK88" i="3"/>
  <c r="CI88" i="3"/>
  <c r="CJ88" i="3" s="1"/>
  <c r="CF88" i="3"/>
  <c r="BS88" i="3"/>
  <c r="BR88" i="3"/>
  <c r="BO88" i="3"/>
  <c r="BM88" i="3"/>
  <c r="BJ88" i="3"/>
  <c r="BE88" i="3"/>
  <c r="AX88" i="3"/>
  <c r="AV88" i="3"/>
  <c r="AU88" i="3"/>
  <c r="AT88" i="3"/>
  <c r="AQ88" i="3"/>
  <c r="AO88" i="3"/>
  <c r="AL88" i="3"/>
  <c r="AG88" i="3"/>
  <c r="AE88" i="3"/>
  <c r="AB88" i="3"/>
  <c r="W88" i="3"/>
  <c r="U88" i="3"/>
  <c r="R88" i="3"/>
  <c r="M88" i="3"/>
  <c r="EI87" i="3"/>
  <c r="EG87" i="3"/>
  <c r="ED87" i="3"/>
  <c r="EB87" i="3"/>
  <c r="DY87" i="3"/>
  <c r="DW87" i="3"/>
  <c r="DT87" i="3"/>
  <c r="DR87" i="3"/>
  <c r="DO87" i="3"/>
  <c r="DJ87" i="3"/>
  <c r="DE87" i="3"/>
  <c r="CZ87" i="3"/>
  <c r="CU87" i="3"/>
  <c r="CT87" i="3"/>
  <c r="CS87" i="3"/>
  <c r="CP87" i="3"/>
  <c r="CK87" i="3"/>
  <c r="CJ87" i="3"/>
  <c r="CI87" i="3"/>
  <c r="CF87" i="3"/>
  <c r="BS87" i="3"/>
  <c r="BR87" i="3"/>
  <c r="BO87" i="3"/>
  <c r="BM87" i="3"/>
  <c r="BJ87" i="3"/>
  <c r="BE87" i="3"/>
  <c r="AV87" i="3"/>
  <c r="AU87" i="3"/>
  <c r="AT87" i="3"/>
  <c r="AQ87" i="3"/>
  <c r="AO87" i="3"/>
  <c r="AL87" i="3"/>
  <c r="AG87" i="3"/>
  <c r="AE87" i="3"/>
  <c r="AB87" i="3"/>
  <c r="W87" i="3"/>
  <c r="U87" i="3"/>
  <c r="R87" i="3"/>
  <c r="M87" i="3"/>
  <c r="EI86" i="3"/>
  <c r="EG86" i="3"/>
  <c r="ED86" i="3"/>
  <c r="EB86" i="3"/>
  <c r="DY86" i="3"/>
  <c r="DW86" i="3"/>
  <c r="DT86" i="3"/>
  <c r="DR86" i="3"/>
  <c r="DO86" i="3"/>
  <c r="DJ86" i="3"/>
  <c r="DE86" i="3"/>
  <c r="CZ86" i="3"/>
  <c r="CU86" i="3"/>
  <c r="CT86" i="3"/>
  <c r="CS86" i="3"/>
  <c r="CP86" i="3"/>
  <c r="CK86" i="3"/>
  <c r="CI86" i="3"/>
  <c r="CJ86" i="3" s="1"/>
  <c r="CF86" i="3"/>
  <c r="BS86" i="3"/>
  <c r="BR86" i="3"/>
  <c r="BO86" i="3"/>
  <c r="BM86" i="3"/>
  <c r="BJ86" i="3"/>
  <c r="BE86" i="3"/>
  <c r="AX86" i="3"/>
  <c r="AV86" i="3"/>
  <c r="AU86" i="3"/>
  <c r="AT86" i="3"/>
  <c r="AQ86" i="3"/>
  <c r="AO86" i="3"/>
  <c r="AL86" i="3"/>
  <c r="AG86" i="3"/>
  <c r="AE86" i="3"/>
  <c r="AB86" i="3"/>
  <c r="W86" i="3"/>
  <c r="U86" i="3"/>
  <c r="R86" i="3"/>
  <c r="M86" i="3"/>
  <c r="EI85" i="3"/>
  <c r="EG85" i="3"/>
  <c r="ED85" i="3"/>
  <c r="EB85" i="3"/>
  <c r="DY85" i="3"/>
  <c r="DW85" i="3"/>
  <c r="DT85" i="3"/>
  <c r="DR85" i="3"/>
  <c r="DO85" i="3"/>
  <c r="DJ85" i="3"/>
  <c r="DE85" i="3"/>
  <c r="CZ85" i="3"/>
  <c r="CU85" i="3"/>
  <c r="CT85" i="3"/>
  <c r="CS85" i="3"/>
  <c r="CP85" i="3"/>
  <c r="CK85" i="3"/>
  <c r="CI85" i="3"/>
  <c r="CJ85" i="3" s="1"/>
  <c r="CF85" i="3"/>
  <c r="BS85" i="3"/>
  <c r="BR85" i="3"/>
  <c r="BO85" i="3"/>
  <c r="BM85" i="3"/>
  <c r="BJ85" i="3"/>
  <c r="BE85" i="3"/>
  <c r="AV85" i="3"/>
  <c r="AX85" i="3" s="1"/>
  <c r="AU85" i="3"/>
  <c r="AT85" i="3"/>
  <c r="AQ85" i="3"/>
  <c r="AO85" i="3"/>
  <c r="AL85" i="3"/>
  <c r="AG85" i="3"/>
  <c r="AE85" i="3"/>
  <c r="AB85" i="3"/>
  <c r="W85" i="3"/>
  <c r="U85" i="3"/>
  <c r="R85" i="3"/>
  <c r="M85" i="3"/>
  <c r="EI84" i="3"/>
  <c r="EG84" i="3"/>
  <c r="ED84" i="3"/>
  <c r="EB84" i="3"/>
  <c r="DY84" i="3"/>
  <c r="DW84" i="3"/>
  <c r="DT84" i="3"/>
  <c r="DR84" i="3"/>
  <c r="DO84" i="3"/>
  <c r="DJ84" i="3"/>
  <c r="DE84" i="3"/>
  <c r="CZ84" i="3"/>
  <c r="CU84" i="3"/>
  <c r="CT84" i="3"/>
  <c r="CS84" i="3"/>
  <c r="CP84" i="3"/>
  <c r="CK84" i="3"/>
  <c r="CJ84" i="3"/>
  <c r="CI84" i="3"/>
  <c r="CF84" i="3"/>
  <c r="BS84" i="3"/>
  <c r="BR84" i="3"/>
  <c r="BO84" i="3"/>
  <c r="BM84" i="3"/>
  <c r="BJ84" i="3"/>
  <c r="BE84" i="3"/>
  <c r="AV84" i="3"/>
  <c r="AX84" i="3" s="1"/>
  <c r="AU84" i="3"/>
  <c r="AT84" i="3"/>
  <c r="AQ84" i="3"/>
  <c r="AO84" i="3"/>
  <c r="AL84" i="3"/>
  <c r="AG84" i="3"/>
  <c r="AE84" i="3"/>
  <c r="AB84" i="3"/>
  <c r="W84" i="3"/>
  <c r="U84" i="3"/>
  <c r="R84" i="3"/>
  <c r="M84" i="3"/>
  <c r="EI83" i="3"/>
  <c r="EG83" i="3"/>
  <c r="ED83" i="3"/>
  <c r="EB83" i="3"/>
  <c r="DY83" i="3"/>
  <c r="DW83" i="3"/>
  <c r="DT83" i="3"/>
  <c r="DR83" i="3"/>
  <c r="DO83" i="3"/>
  <c r="DJ83" i="3"/>
  <c r="DE83" i="3"/>
  <c r="CZ83" i="3"/>
  <c r="CU83" i="3"/>
  <c r="CS83" i="3"/>
  <c r="CP83" i="3"/>
  <c r="CK83" i="3"/>
  <c r="CI83" i="3"/>
  <c r="CJ83" i="3" s="1"/>
  <c r="CF83" i="3"/>
  <c r="BS83" i="3"/>
  <c r="BR83" i="3"/>
  <c r="BO83" i="3"/>
  <c r="BM83" i="3"/>
  <c r="BJ83" i="3"/>
  <c r="BE83" i="3"/>
  <c r="AV83" i="3"/>
  <c r="AX83" i="3" s="1"/>
  <c r="AU83" i="3"/>
  <c r="AT83" i="3"/>
  <c r="AQ83" i="3"/>
  <c r="AO83" i="3"/>
  <c r="AL83" i="3"/>
  <c r="AG83" i="3"/>
  <c r="AE83" i="3"/>
  <c r="AB83" i="3"/>
  <c r="W83" i="3"/>
  <c r="U83" i="3"/>
  <c r="R83" i="3"/>
  <c r="M83" i="3"/>
  <c r="EI82" i="3"/>
  <c r="EG82" i="3"/>
  <c r="ED82" i="3"/>
  <c r="EB82" i="3"/>
  <c r="DY82" i="3"/>
  <c r="DW82" i="3"/>
  <c r="DT82" i="3"/>
  <c r="DR82" i="3"/>
  <c r="DO82" i="3"/>
  <c r="DJ82" i="3"/>
  <c r="DE82" i="3"/>
  <c r="CZ82" i="3"/>
  <c r="CU82" i="3"/>
  <c r="CT82" i="3"/>
  <c r="CS82" i="3"/>
  <c r="CP82" i="3"/>
  <c r="CK82" i="3"/>
  <c r="CI82" i="3"/>
  <c r="CJ82" i="3" s="1"/>
  <c r="CF82" i="3"/>
  <c r="BS82" i="3"/>
  <c r="BR82" i="3"/>
  <c r="BO82" i="3"/>
  <c r="BM82" i="3"/>
  <c r="BJ82" i="3"/>
  <c r="BE82" i="3"/>
  <c r="AX82" i="3"/>
  <c r="AV82" i="3"/>
  <c r="AU82" i="3"/>
  <c r="AT82" i="3"/>
  <c r="AQ82" i="3"/>
  <c r="AO82" i="3"/>
  <c r="AL82" i="3"/>
  <c r="AG82" i="3"/>
  <c r="AE82" i="3"/>
  <c r="AB82" i="3"/>
  <c r="W82" i="3"/>
  <c r="U82" i="3"/>
  <c r="R82" i="3"/>
  <c r="M82" i="3"/>
  <c r="EI81" i="3"/>
  <c r="EG81" i="3"/>
  <c r="ED81" i="3"/>
  <c r="EB81" i="3"/>
  <c r="DY81" i="3"/>
  <c r="DW81" i="3"/>
  <c r="DT81" i="3"/>
  <c r="DR81" i="3"/>
  <c r="DO81" i="3"/>
  <c r="DJ81" i="3"/>
  <c r="DE81" i="3"/>
  <c r="CZ81" i="3"/>
  <c r="CU81" i="3"/>
  <c r="CT81" i="3"/>
  <c r="CS81" i="3"/>
  <c r="CP81" i="3"/>
  <c r="CK81" i="3"/>
  <c r="CI81" i="3"/>
  <c r="CJ81" i="3" s="1"/>
  <c r="CF81" i="3"/>
  <c r="BS81" i="3"/>
  <c r="BR81" i="3"/>
  <c r="BO81" i="3"/>
  <c r="BM81" i="3"/>
  <c r="BJ81" i="3"/>
  <c r="BE81" i="3"/>
  <c r="AV81" i="3"/>
  <c r="AX81" i="3" s="1"/>
  <c r="AU81" i="3"/>
  <c r="AT81" i="3"/>
  <c r="AQ81" i="3"/>
  <c r="AO81" i="3"/>
  <c r="AL81" i="3"/>
  <c r="AG81" i="3"/>
  <c r="AE81" i="3"/>
  <c r="AB81" i="3"/>
  <c r="W81" i="3"/>
  <c r="U81" i="3"/>
  <c r="R81" i="3"/>
  <c r="M81" i="3"/>
  <c r="EI80" i="3"/>
  <c r="EG80" i="3"/>
  <c r="ED80" i="3"/>
  <c r="EB80" i="3"/>
  <c r="DY80" i="3"/>
  <c r="DW80" i="3"/>
  <c r="DT80" i="3"/>
  <c r="DR80" i="3"/>
  <c r="DO80" i="3"/>
  <c r="DJ80" i="3"/>
  <c r="DE80" i="3"/>
  <c r="CZ80" i="3"/>
  <c r="CU80" i="3"/>
  <c r="CT80" i="3"/>
  <c r="CS80" i="3"/>
  <c r="CP80" i="3"/>
  <c r="CK80" i="3"/>
  <c r="CJ80" i="3"/>
  <c r="CI80" i="3"/>
  <c r="CF80" i="3"/>
  <c r="BS80" i="3"/>
  <c r="BR80" i="3"/>
  <c r="BO80" i="3"/>
  <c r="BM80" i="3"/>
  <c r="BJ80" i="3"/>
  <c r="BE80" i="3"/>
  <c r="AV80" i="3"/>
  <c r="AU80" i="3"/>
  <c r="AT80" i="3"/>
  <c r="AQ80" i="3"/>
  <c r="AO80" i="3"/>
  <c r="AL80" i="3"/>
  <c r="AG80" i="3"/>
  <c r="AE80" i="3"/>
  <c r="AB80" i="3"/>
  <c r="W80" i="3"/>
  <c r="U80" i="3"/>
  <c r="R80" i="3"/>
  <c r="M80" i="3"/>
  <c r="EI79" i="3"/>
  <c r="EG79" i="3"/>
  <c r="ED79" i="3"/>
  <c r="EB79" i="3"/>
  <c r="DY79" i="3"/>
  <c r="DW79" i="3"/>
  <c r="DT79" i="3"/>
  <c r="DR79" i="3"/>
  <c r="DO79" i="3"/>
  <c r="DJ79" i="3"/>
  <c r="DE79" i="3"/>
  <c r="CZ79" i="3"/>
  <c r="CU79" i="3"/>
  <c r="CS79" i="3"/>
  <c r="CT79" i="3" s="1"/>
  <c r="CP79" i="3"/>
  <c r="CK79" i="3"/>
  <c r="CI79" i="3"/>
  <c r="CJ79" i="3" s="1"/>
  <c r="CF79" i="3"/>
  <c r="BS79" i="3"/>
  <c r="BR79" i="3"/>
  <c r="BO79" i="3"/>
  <c r="BM79" i="3"/>
  <c r="BJ79" i="3"/>
  <c r="BE79" i="3"/>
  <c r="AV79" i="3"/>
  <c r="AX79" i="3" s="1"/>
  <c r="AU79" i="3"/>
  <c r="AT79" i="3"/>
  <c r="AQ79" i="3"/>
  <c r="AO79" i="3"/>
  <c r="AL79" i="3"/>
  <c r="AG79" i="3"/>
  <c r="AE79" i="3"/>
  <c r="AB79" i="3"/>
  <c r="W79" i="3"/>
  <c r="U79" i="3"/>
  <c r="R79" i="3"/>
  <c r="M79" i="3"/>
  <c r="EI78" i="3"/>
  <c r="EG78" i="3"/>
  <c r="ED78" i="3"/>
  <c r="EB78" i="3"/>
  <c r="DY78" i="3"/>
  <c r="DW78" i="3"/>
  <c r="DT78" i="3"/>
  <c r="DR78" i="3"/>
  <c r="DO78" i="3"/>
  <c r="DJ78" i="3"/>
  <c r="DE78" i="3"/>
  <c r="CZ78" i="3"/>
  <c r="CU78" i="3"/>
  <c r="CT78" i="3"/>
  <c r="CS78" i="3"/>
  <c r="CP78" i="3"/>
  <c r="CK78" i="3"/>
  <c r="CJ78" i="3"/>
  <c r="CI78" i="3"/>
  <c r="CF78" i="3"/>
  <c r="BS78" i="3"/>
  <c r="BR78" i="3"/>
  <c r="BO78" i="3"/>
  <c r="BM78" i="3"/>
  <c r="BJ78" i="3"/>
  <c r="BE78" i="3"/>
  <c r="AV78" i="3"/>
  <c r="AX78" i="3" s="1"/>
  <c r="AU78" i="3"/>
  <c r="AT78" i="3"/>
  <c r="AQ78" i="3"/>
  <c r="AO78" i="3"/>
  <c r="AL78" i="3"/>
  <c r="AG78" i="3"/>
  <c r="AE78" i="3"/>
  <c r="AB78" i="3"/>
  <c r="W78" i="3"/>
  <c r="U78" i="3"/>
  <c r="R78" i="3"/>
  <c r="M78" i="3"/>
  <c r="EI77" i="3"/>
  <c r="EG77" i="3"/>
  <c r="ED77" i="3"/>
  <c r="EB77" i="3"/>
  <c r="DY77" i="3"/>
  <c r="DW77" i="3"/>
  <c r="DT77" i="3"/>
  <c r="DR77" i="3"/>
  <c r="DO77" i="3"/>
  <c r="DJ77" i="3"/>
  <c r="DE77" i="3"/>
  <c r="CZ77" i="3"/>
  <c r="CU77" i="3"/>
  <c r="CT77" i="3"/>
  <c r="CS77" i="3"/>
  <c r="CP77" i="3"/>
  <c r="CK77" i="3"/>
  <c r="CI77" i="3"/>
  <c r="CJ77" i="3" s="1"/>
  <c r="CF77" i="3"/>
  <c r="BS77" i="3"/>
  <c r="BR77" i="3"/>
  <c r="BO77" i="3"/>
  <c r="BM77" i="3"/>
  <c r="BJ77" i="3"/>
  <c r="BE77" i="3"/>
  <c r="BC77" i="3"/>
  <c r="AV77" i="3"/>
  <c r="AU77" i="3"/>
  <c r="AW77" i="3" s="1"/>
  <c r="AT77" i="3"/>
  <c r="AX77" i="3" s="1"/>
  <c r="AQ77" i="3"/>
  <c r="AO77" i="3"/>
  <c r="AL77" i="3"/>
  <c r="AG77" i="3"/>
  <c r="AE77" i="3"/>
  <c r="AB77" i="3"/>
  <c r="W77" i="3"/>
  <c r="U77" i="3"/>
  <c r="R77" i="3"/>
  <c r="M77" i="3"/>
  <c r="EI76" i="3"/>
  <c r="EG76" i="3"/>
  <c r="ED76" i="3"/>
  <c r="EB76" i="3"/>
  <c r="DY76" i="3"/>
  <c r="DW76" i="3"/>
  <c r="DT76" i="3"/>
  <c r="DR76" i="3"/>
  <c r="DO76" i="3"/>
  <c r="DJ76" i="3"/>
  <c r="DE76" i="3"/>
  <c r="CZ76" i="3"/>
  <c r="CU76" i="3"/>
  <c r="CS76" i="3"/>
  <c r="CT76" i="3" s="1"/>
  <c r="CP76" i="3"/>
  <c r="CK76" i="3"/>
  <c r="CI76" i="3"/>
  <c r="CJ76" i="3" s="1"/>
  <c r="CF76" i="3"/>
  <c r="BS76" i="3"/>
  <c r="BR76" i="3"/>
  <c r="BO76" i="3"/>
  <c r="BM76" i="3"/>
  <c r="BJ76" i="3"/>
  <c r="BE76" i="3"/>
  <c r="AV76" i="3"/>
  <c r="AX76" i="3" s="1"/>
  <c r="AU76" i="3"/>
  <c r="AT76" i="3"/>
  <c r="AW76" i="3" s="1"/>
  <c r="AQ76" i="3"/>
  <c r="AO76" i="3"/>
  <c r="AL76" i="3"/>
  <c r="AG76" i="3"/>
  <c r="AE76" i="3"/>
  <c r="AB76" i="3"/>
  <c r="W76" i="3"/>
  <c r="U76" i="3"/>
  <c r="R76" i="3"/>
  <c r="M76" i="3"/>
  <c r="EI75" i="3"/>
  <c r="EG75" i="3"/>
  <c r="ED75" i="3"/>
  <c r="EB75" i="3"/>
  <c r="DY75" i="3"/>
  <c r="DW75" i="3"/>
  <c r="DT75" i="3"/>
  <c r="DR75" i="3"/>
  <c r="DO75" i="3"/>
  <c r="DJ75" i="3"/>
  <c r="DE75" i="3"/>
  <c r="CZ75" i="3"/>
  <c r="CU75" i="3"/>
  <c r="CT75" i="3"/>
  <c r="CS75" i="3"/>
  <c r="CP75" i="3"/>
  <c r="CK75" i="3"/>
  <c r="CI75" i="3"/>
  <c r="CJ75" i="3" s="1"/>
  <c r="CF75" i="3"/>
  <c r="BS75" i="3"/>
  <c r="BR75" i="3"/>
  <c r="BO75" i="3"/>
  <c r="BM75" i="3"/>
  <c r="BJ75" i="3"/>
  <c r="BE75" i="3"/>
  <c r="BC75" i="3"/>
  <c r="AV75" i="3"/>
  <c r="AU75" i="3"/>
  <c r="AT75" i="3"/>
  <c r="AW75" i="3" s="1"/>
  <c r="AQ75" i="3"/>
  <c r="AO75" i="3"/>
  <c r="AL75" i="3"/>
  <c r="AG75" i="3"/>
  <c r="AE75" i="3"/>
  <c r="AB75" i="3"/>
  <c r="W75" i="3"/>
  <c r="U75" i="3"/>
  <c r="R75" i="3"/>
  <c r="M75" i="3"/>
  <c r="EI74" i="3"/>
  <c r="EG74" i="3"/>
  <c r="ED74" i="3"/>
  <c r="EB74" i="3"/>
  <c r="DY74" i="3"/>
  <c r="DW74" i="3"/>
  <c r="DT74" i="3"/>
  <c r="DR74" i="3"/>
  <c r="DO74" i="3"/>
  <c r="DJ74" i="3"/>
  <c r="DE74" i="3"/>
  <c r="CZ74" i="3"/>
  <c r="CU74" i="3"/>
  <c r="CT74" i="3"/>
  <c r="CS74" i="3"/>
  <c r="CP74" i="3"/>
  <c r="CK74" i="3"/>
  <c r="CJ74" i="3"/>
  <c r="CI74" i="3"/>
  <c r="CF74" i="3"/>
  <c r="BS74" i="3"/>
  <c r="BR74" i="3"/>
  <c r="BO74" i="3"/>
  <c r="BM74" i="3"/>
  <c r="BJ74" i="3"/>
  <c r="BE74" i="3"/>
  <c r="AV74" i="3"/>
  <c r="AX74" i="3" s="1"/>
  <c r="AU74" i="3"/>
  <c r="AT74" i="3"/>
  <c r="AQ74" i="3"/>
  <c r="AO74" i="3"/>
  <c r="AL74" i="3"/>
  <c r="AG74" i="3"/>
  <c r="AE74" i="3"/>
  <c r="AB74" i="3"/>
  <c r="W74" i="3"/>
  <c r="U74" i="3"/>
  <c r="R74" i="3"/>
  <c r="M74" i="3"/>
  <c r="EI73" i="3"/>
  <c r="EG73" i="3"/>
  <c r="ED73" i="3"/>
  <c r="EB73" i="3"/>
  <c r="DY73" i="3"/>
  <c r="DW73" i="3"/>
  <c r="DT73" i="3"/>
  <c r="DR73" i="3"/>
  <c r="DO73" i="3"/>
  <c r="DJ73" i="3"/>
  <c r="DE73" i="3"/>
  <c r="CZ73" i="3"/>
  <c r="CU73" i="3"/>
  <c r="CS73" i="3"/>
  <c r="CT73" i="3" s="1"/>
  <c r="CP73" i="3"/>
  <c r="CK73" i="3"/>
  <c r="CI73" i="3"/>
  <c r="CJ73" i="3" s="1"/>
  <c r="CF73" i="3"/>
  <c r="BS73" i="3"/>
  <c r="BR73" i="3"/>
  <c r="BO73" i="3"/>
  <c r="BM73" i="3"/>
  <c r="BJ73" i="3"/>
  <c r="BE73" i="3"/>
  <c r="AW73" i="3"/>
  <c r="AV73" i="3"/>
  <c r="AU73" i="3"/>
  <c r="AT73" i="3"/>
  <c r="AX73" i="3" s="1"/>
  <c r="AQ73" i="3"/>
  <c r="AO73" i="3"/>
  <c r="AL73" i="3"/>
  <c r="AG73" i="3"/>
  <c r="AE73" i="3"/>
  <c r="AB73" i="3"/>
  <c r="W73" i="3"/>
  <c r="U73" i="3"/>
  <c r="R73" i="3"/>
  <c r="M73" i="3"/>
  <c r="EI72" i="3"/>
  <c r="EG72" i="3"/>
  <c r="ED72" i="3"/>
  <c r="EB72" i="3"/>
  <c r="DY72" i="3"/>
  <c r="DW72" i="3"/>
  <c r="DT72" i="3"/>
  <c r="DR72" i="3"/>
  <c r="DO72" i="3"/>
  <c r="DJ72" i="3"/>
  <c r="DE72" i="3"/>
  <c r="CZ72" i="3"/>
  <c r="CU72" i="3"/>
  <c r="CS72" i="3"/>
  <c r="CT72" i="3" s="1"/>
  <c r="CP72" i="3"/>
  <c r="CK72" i="3"/>
  <c r="CI72" i="3"/>
  <c r="CJ72" i="3" s="1"/>
  <c r="CF72" i="3"/>
  <c r="BS72" i="3"/>
  <c r="BR72" i="3"/>
  <c r="BO72" i="3"/>
  <c r="BM72" i="3"/>
  <c r="BJ72" i="3"/>
  <c r="BE72" i="3"/>
  <c r="AV72" i="3"/>
  <c r="AX72" i="3" s="1"/>
  <c r="AU72" i="3"/>
  <c r="AT72" i="3"/>
  <c r="AQ72" i="3"/>
  <c r="AO72" i="3"/>
  <c r="AL72" i="3"/>
  <c r="AG72" i="3"/>
  <c r="AE72" i="3"/>
  <c r="AB72" i="3"/>
  <c r="W72" i="3"/>
  <c r="U72" i="3"/>
  <c r="R72" i="3"/>
  <c r="M72" i="3"/>
  <c r="EI71" i="3"/>
  <c r="EG71" i="3"/>
  <c r="ED71" i="3"/>
  <c r="EB71" i="3"/>
  <c r="DY71" i="3"/>
  <c r="DW71" i="3"/>
  <c r="DT71" i="3"/>
  <c r="DR71" i="3"/>
  <c r="DO71" i="3"/>
  <c r="DJ71" i="3"/>
  <c r="DE71" i="3"/>
  <c r="CZ71" i="3"/>
  <c r="CU71" i="3"/>
  <c r="CT71" i="3"/>
  <c r="CS71" i="3"/>
  <c r="CP71" i="3"/>
  <c r="CK71" i="3"/>
  <c r="CI71" i="3"/>
  <c r="CJ71" i="3" s="1"/>
  <c r="CF71" i="3"/>
  <c r="BS71" i="3"/>
  <c r="BR71" i="3"/>
  <c r="BO71" i="3"/>
  <c r="BM71" i="3"/>
  <c r="BJ71" i="3"/>
  <c r="BE71" i="3"/>
  <c r="AV71" i="3"/>
  <c r="AX71" i="3" s="1"/>
  <c r="AU71" i="3"/>
  <c r="AT71" i="3"/>
  <c r="AQ71" i="3"/>
  <c r="AO71" i="3"/>
  <c r="AL71" i="3"/>
  <c r="AG71" i="3"/>
  <c r="AE71" i="3"/>
  <c r="AB71" i="3"/>
  <c r="W71" i="3"/>
  <c r="U71" i="3"/>
  <c r="R71" i="3"/>
  <c r="M71" i="3"/>
  <c r="EI70" i="3"/>
  <c r="EG70" i="3"/>
  <c r="ED70" i="3"/>
  <c r="EB70" i="3"/>
  <c r="DY70" i="3"/>
  <c r="DW70" i="3"/>
  <c r="DT70" i="3"/>
  <c r="DR70" i="3"/>
  <c r="DO70" i="3"/>
  <c r="DJ70" i="3"/>
  <c r="DE70" i="3"/>
  <c r="CZ70" i="3"/>
  <c r="CU70" i="3"/>
  <c r="CS70" i="3"/>
  <c r="CT70" i="3" s="1"/>
  <c r="CP70" i="3"/>
  <c r="CK70" i="3"/>
  <c r="CI70" i="3"/>
  <c r="CJ70" i="3" s="1"/>
  <c r="CF70" i="3"/>
  <c r="BS70" i="3"/>
  <c r="BR70" i="3"/>
  <c r="BO70" i="3"/>
  <c r="BM70" i="3"/>
  <c r="BJ70" i="3"/>
  <c r="BE70" i="3"/>
  <c r="AX70" i="3"/>
  <c r="AW70" i="3"/>
  <c r="AV70" i="3"/>
  <c r="AU70" i="3"/>
  <c r="BC70" i="3" s="1"/>
  <c r="AT70" i="3"/>
  <c r="AQ70" i="3"/>
  <c r="AO70" i="3"/>
  <c r="AL70" i="3"/>
  <c r="AG70" i="3"/>
  <c r="AE70" i="3"/>
  <c r="AB70" i="3"/>
  <c r="W70" i="3"/>
  <c r="U70" i="3"/>
  <c r="R70" i="3"/>
  <c r="M70" i="3"/>
  <c r="EI69" i="3"/>
  <c r="EG69" i="3"/>
  <c r="ED69" i="3"/>
  <c r="EB69" i="3"/>
  <c r="DY69" i="3"/>
  <c r="DW69" i="3"/>
  <c r="DT69" i="3"/>
  <c r="DR69" i="3"/>
  <c r="DO69" i="3"/>
  <c r="DJ69" i="3"/>
  <c r="DE69" i="3"/>
  <c r="CZ69" i="3"/>
  <c r="CU69" i="3"/>
  <c r="CS69" i="3"/>
  <c r="CT69" i="3" s="1"/>
  <c r="CP69" i="3"/>
  <c r="CK69" i="3"/>
  <c r="CI69" i="3"/>
  <c r="CJ69" i="3" s="1"/>
  <c r="CF69" i="3"/>
  <c r="BS69" i="3"/>
  <c r="BR69" i="3"/>
  <c r="BO69" i="3"/>
  <c r="BM69" i="3"/>
  <c r="BJ69" i="3"/>
  <c r="BE69" i="3"/>
  <c r="AV69" i="3"/>
  <c r="AU69" i="3"/>
  <c r="BC69" i="3" s="1"/>
  <c r="AT69" i="3"/>
  <c r="AQ69" i="3"/>
  <c r="AO69" i="3"/>
  <c r="AL69" i="3"/>
  <c r="AG69" i="3"/>
  <c r="AE69" i="3"/>
  <c r="AB69" i="3"/>
  <c r="W69" i="3"/>
  <c r="U69" i="3"/>
  <c r="R69" i="3"/>
  <c r="M69" i="3"/>
  <c r="EI68" i="3"/>
  <c r="EG68" i="3"/>
  <c r="ED68" i="3"/>
  <c r="EB68" i="3"/>
  <c r="DY68" i="3"/>
  <c r="DW68" i="3"/>
  <c r="DT68" i="3"/>
  <c r="DR68" i="3"/>
  <c r="DO68" i="3"/>
  <c r="DJ68" i="3"/>
  <c r="DE68" i="3"/>
  <c r="CZ68" i="3"/>
  <c r="CU68" i="3"/>
  <c r="CS68" i="3"/>
  <c r="CT68" i="3" s="1"/>
  <c r="CP68" i="3"/>
  <c r="CK68" i="3"/>
  <c r="CJ68" i="3"/>
  <c r="CI68" i="3"/>
  <c r="CF68" i="3"/>
  <c r="BS68" i="3"/>
  <c r="BR68" i="3"/>
  <c r="BO68" i="3"/>
  <c r="BM68" i="3"/>
  <c r="BJ68" i="3"/>
  <c r="BE68" i="3"/>
  <c r="AV68" i="3"/>
  <c r="AX68" i="3" s="1"/>
  <c r="AU68" i="3"/>
  <c r="AT68" i="3"/>
  <c r="AQ68" i="3"/>
  <c r="AO68" i="3"/>
  <c r="AL68" i="3"/>
  <c r="AG68" i="3"/>
  <c r="AE68" i="3"/>
  <c r="AB68" i="3"/>
  <c r="W68" i="3"/>
  <c r="U68" i="3"/>
  <c r="R68" i="3"/>
  <c r="M68" i="3"/>
  <c r="EI67" i="3"/>
  <c r="EG67" i="3"/>
  <c r="ED67" i="3"/>
  <c r="EB67" i="3"/>
  <c r="DY67" i="3"/>
  <c r="DW67" i="3"/>
  <c r="DT67" i="3"/>
  <c r="DR67" i="3"/>
  <c r="DO67" i="3"/>
  <c r="DJ67" i="3"/>
  <c r="DE67" i="3"/>
  <c r="CZ67" i="3"/>
  <c r="CU67" i="3"/>
  <c r="CS67" i="3"/>
  <c r="CT67" i="3" s="1"/>
  <c r="CP67" i="3"/>
  <c r="CK67" i="3"/>
  <c r="CI67" i="3"/>
  <c r="CJ67" i="3" s="1"/>
  <c r="CF67" i="3"/>
  <c r="BS67" i="3"/>
  <c r="BR67" i="3"/>
  <c r="BO67" i="3"/>
  <c r="BM67" i="3"/>
  <c r="BJ67" i="3"/>
  <c r="BE67" i="3"/>
  <c r="AX67" i="3"/>
  <c r="AV67" i="3"/>
  <c r="AU67" i="3"/>
  <c r="AT67" i="3"/>
  <c r="AW67" i="3" s="1"/>
  <c r="AQ67" i="3"/>
  <c r="AO67" i="3"/>
  <c r="AL67" i="3"/>
  <c r="AG67" i="3"/>
  <c r="AE67" i="3"/>
  <c r="AB67" i="3"/>
  <c r="W67" i="3"/>
  <c r="U67" i="3"/>
  <c r="R67" i="3"/>
  <c r="M67" i="3"/>
  <c r="EI66" i="3"/>
  <c r="EG66" i="3"/>
  <c r="ED66" i="3"/>
  <c r="EB66" i="3"/>
  <c r="DY66" i="3"/>
  <c r="DW66" i="3"/>
  <c r="DT66" i="3"/>
  <c r="DR66" i="3"/>
  <c r="DO66" i="3"/>
  <c r="DJ66" i="3"/>
  <c r="DE66" i="3"/>
  <c r="CZ66" i="3"/>
  <c r="CU66" i="3"/>
  <c r="CS66" i="3"/>
  <c r="CT66" i="3" s="1"/>
  <c r="CP66" i="3"/>
  <c r="CK66" i="3"/>
  <c r="CI66" i="3"/>
  <c r="CJ66" i="3" s="1"/>
  <c r="CF66" i="3"/>
  <c r="BS66" i="3"/>
  <c r="BR66" i="3"/>
  <c r="BO66" i="3"/>
  <c r="BM66" i="3"/>
  <c r="BJ66" i="3"/>
  <c r="BE66" i="3"/>
  <c r="AX66" i="3"/>
  <c r="AV66" i="3"/>
  <c r="AU66" i="3"/>
  <c r="AT66" i="3"/>
  <c r="AQ66" i="3"/>
  <c r="AO66" i="3"/>
  <c r="AL66" i="3"/>
  <c r="AG66" i="3"/>
  <c r="AE66" i="3"/>
  <c r="AB66" i="3"/>
  <c r="W66" i="3"/>
  <c r="U66" i="3"/>
  <c r="R66" i="3"/>
  <c r="M66" i="3"/>
  <c r="EI65" i="3"/>
  <c r="EG65" i="3"/>
  <c r="ED65" i="3"/>
  <c r="EB65" i="3"/>
  <c r="DY65" i="3"/>
  <c r="DW65" i="3"/>
  <c r="DT65" i="3"/>
  <c r="DR65" i="3"/>
  <c r="DO65" i="3"/>
  <c r="DJ65" i="3"/>
  <c r="DE65" i="3"/>
  <c r="CZ65" i="3"/>
  <c r="CU65" i="3"/>
  <c r="CS65" i="3"/>
  <c r="CT65" i="3" s="1"/>
  <c r="CP65" i="3"/>
  <c r="CK65" i="3"/>
  <c r="CI65" i="3"/>
  <c r="CJ65" i="3" s="1"/>
  <c r="CF65" i="3"/>
  <c r="BS65" i="3"/>
  <c r="BR65" i="3"/>
  <c r="BO65" i="3"/>
  <c r="BM65" i="3"/>
  <c r="BJ65" i="3"/>
  <c r="BE65" i="3"/>
  <c r="AV65" i="3"/>
  <c r="AU65" i="3"/>
  <c r="AT65" i="3"/>
  <c r="AQ65" i="3"/>
  <c r="AO65" i="3"/>
  <c r="AL65" i="3"/>
  <c r="AG65" i="3"/>
  <c r="AE65" i="3"/>
  <c r="AB65" i="3"/>
  <c r="W65" i="3"/>
  <c r="U65" i="3"/>
  <c r="R65" i="3"/>
  <c r="M65" i="3"/>
  <c r="EI64" i="3"/>
  <c r="EG64" i="3"/>
  <c r="ED64" i="3"/>
  <c r="EB64" i="3"/>
  <c r="DY64" i="3"/>
  <c r="DW64" i="3"/>
  <c r="DT64" i="3"/>
  <c r="DR64" i="3"/>
  <c r="DO64" i="3"/>
  <c r="DJ64" i="3"/>
  <c r="DE64" i="3"/>
  <c r="CZ64" i="3"/>
  <c r="CU64" i="3"/>
  <c r="CS64" i="3"/>
  <c r="CT64" i="3" s="1"/>
  <c r="CP64" i="3"/>
  <c r="CK64" i="3"/>
  <c r="CI64" i="3"/>
  <c r="CJ64" i="3" s="1"/>
  <c r="CF64" i="3"/>
  <c r="BS64" i="3"/>
  <c r="BR64" i="3"/>
  <c r="BO64" i="3"/>
  <c r="BM64" i="3"/>
  <c r="BJ64" i="3"/>
  <c r="BE64" i="3"/>
  <c r="BC64" i="3"/>
  <c r="AV64" i="3"/>
  <c r="AU64" i="3"/>
  <c r="AT64" i="3"/>
  <c r="AQ64" i="3"/>
  <c r="AO64" i="3"/>
  <c r="AL64" i="3"/>
  <c r="AG64" i="3"/>
  <c r="AE64" i="3"/>
  <c r="AB64" i="3"/>
  <c r="W64" i="3"/>
  <c r="U64" i="3"/>
  <c r="R64" i="3"/>
  <c r="M64" i="3"/>
  <c r="EI63" i="3"/>
  <c r="EG63" i="3"/>
  <c r="ED63" i="3"/>
  <c r="EB63" i="3"/>
  <c r="DY63" i="3"/>
  <c r="DW63" i="3"/>
  <c r="DT63" i="3"/>
  <c r="DR63" i="3"/>
  <c r="DO63" i="3"/>
  <c r="DJ63" i="3"/>
  <c r="DE63" i="3"/>
  <c r="CZ63" i="3"/>
  <c r="CU63" i="3"/>
  <c r="CS63" i="3"/>
  <c r="CT63" i="3" s="1"/>
  <c r="CP63" i="3"/>
  <c r="CK63" i="3"/>
  <c r="CI63" i="3"/>
  <c r="CJ63" i="3" s="1"/>
  <c r="CF63" i="3"/>
  <c r="BS63" i="3"/>
  <c r="BR63" i="3"/>
  <c r="BO63" i="3"/>
  <c r="BM63" i="3"/>
  <c r="BJ63" i="3"/>
  <c r="BE63" i="3"/>
  <c r="AV63" i="3"/>
  <c r="AX63" i="3" s="1"/>
  <c r="AU63" i="3"/>
  <c r="AT63" i="3"/>
  <c r="AQ63" i="3"/>
  <c r="AO63" i="3"/>
  <c r="AL63" i="3"/>
  <c r="AG63" i="3"/>
  <c r="AE63" i="3"/>
  <c r="AB63" i="3"/>
  <c r="W63" i="3"/>
  <c r="U63" i="3"/>
  <c r="R63" i="3"/>
  <c r="M63" i="3"/>
  <c r="EI62" i="3"/>
  <c r="EG62" i="3"/>
  <c r="ED62" i="3"/>
  <c r="EB62" i="3"/>
  <c r="DY62" i="3"/>
  <c r="DW62" i="3"/>
  <c r="DT62" i="3"/>
  <c r="DR62" i="3"/>
  <c r="DO62" i="3"/>
  <c r="DJ62" i="3"/>
  <c r="DE62" i="3"/>
  <c r="CZ62" i="3"/>
  <c r="CU62" i="3"/>
  <c r="CS62" i="3"/>
  <c r="CT62" i="3" s="1"/>
  <c r="CP62" i="3"/>
  <c r="CK62" i="3"/>
  <c r="CI62" i="3"/>
  <c r="CJ62" i="3" s="1"/>
  <c r="CF62" i="3"/>
  <c r="BS62" i="3"/>
  <c r="BR62" i="3"/>
  <c r="BO62" i="3"/>
  <c r="BM62" i="3"/>
  <c r="BJ62" i="3"/>
  <c r="BE62" i="3"/>
  <c r="AV62" i="3"/>
  <c r="AX62" i="3" s="1"/>
  <c r="AU62" i="3"/>
  <c r="AT62" i="3"/>
  <c r="AQ62" i="3"/>
  <c r="AO62" i="3"/>
  <c r="AL62" i="3"/>
  <c r="AG62" i="3"/>
  <c r="AE62" i="3"/>
  <c r="AB62" i="3"/>
  <c r="W62" i="3"/>
  <c r="U62" i="3"/>
  <c r="R62" i="3"/>
  <c r="M62" i="3"/>
  <c r="EI61" i="3"/>
  <c r="EG61" i="3"/>
  <c r="ED61" i="3"/>
  <c r="EB61" i="3"/>
  <c r="DY61" i="3"/>
  <c r="DW61" i="3"/>
  <c r="DT61" i="3"/>
  <c r="DR61" i="3"/>
  <c r="DO61" i="3"/>
  <c r="DJ61" i="3"/>
  <c r="DE61" i="3"/>
  <c r="CZ61" i="3"/>
  <c r="CU61" i="3"/>
  <c r="CS61" i="3"/>
  <c r="CT61" i="3" s="1"/>
  <c r="CP61" i="3"/>
  <c r="CK61" i="3"/>
  <c r="CI61" i="3"/>
  <c r="CJ61" i="3" s="1"/>
  <c r="CF61" i="3"/>
  <c r="BS61" i="3"/>
  <c r="BR61" i="3"/>
  <c r="BO61" i="3"/>
  <c r="BM61" i="3"/>
  <c r="BJ61" i="3"/>
  <c r="BE61" i="3"/>
  <c r="AV61" i="3"/>
  <c r="AX61" i="3" s="1"/>
  <c r="AU61" i="3"/>
  <c r="AT61" i="3"/>
  <c r="AQ61" i="3"/>
  <c r="AO61" i="3"/>
  <c r="AL61" i="3"/>
  <c r="AG61" i="3"/>
  <c r="AE61" i="3"/>
  <c r="AB61" i="3"/>
  <c r="W61" i="3"/>
  <c r="U61" i="3"/>
  <c r="R61" i="3"/>
  <c r="M61" i="3"/>
  <c r="EI60" i="3"/>
  <c r="EG60" i="3"/>
  <c r="ED60" i="3"/>
  <c r="EB60" i="3"/>
  <c r="DY60" i="3"/>
  <c r="DW60" i="3"/>
  <c r="DT60" i="3"/>
  <c r="DR60" i="3"/>
  <c r="DO60" i="3"/>
  <c r="DJ60" i="3"/>
  <c r="DE60" i="3"/>
  <c r="CZ60" i="3"/>
  <c r="CU60" i="3"/>
  <c r="CS60" i="3"/>
  <c r="CT60" i="3" s="1"/>
  <c r="CP60" i="3"/>
  <c r="CK60" i="3"/>
  <c r="CI60" i="3"/>
  <c r="CJ60" i="3" s="1"/>
  <c r="CF60" i="3"/>
  <c r="BS60" i="3"/>
  <c r="BR60" i="3"/>
  <c r="BO60" i="3"/>
  <c r="BM60" i="3"/>
  <c r="BJ60" i="3"/>
  <c r="BE60" i="3"/>
  <c r="AV60" i="3"/>
  <c r="AU60" i="3"/>
  <c r="AT60" i="3"/>
  <c r="AQ60" i="3"/>
  <c r="AO60" i="3"/>
  <c r="AL60" i="3"/>
  <c r="AG60" i="3"/>
  <c r="AE60" i="3"/>
  <c r="AB60" i="3"/>
  <c r="W60" i="3"/>
  <c r="U60" i="3"/>
  <c r="R60" i="3"/>
  <c r="M60" i="3"/>
  <c r="EI59" i="3"/>
  <c r="EG59" i="3"/>
  <c r="ED59" i="3"/>
  <c r="EB59" i="3"/>
  <c r="DY59" i="3"/>
  <c r="DW59" i="3"/>
  <c r="DT59" i="3"/>
  <c r="DR59" i="3"/>
  <c r="DO59" i="3"/>
  <c r="DJ59" i="3"/>
  <c r="DE59" i="3"/>
  <c r="CZ59" i="3"/>
  <c r="CU59" i="3"/>
  <c r="CS59" i="3"/>
  <c r="CT59" i="3" s="1"/>
  <c r="CP59" i="3"/>
  <c r="CK59" i="3"/>
  <c r="CI59" i="3"/>
  <c r="CJ59" i="3" s="1"/>
  <c r="CF59" i="3"/>
  <c r="BS59" i="3"/>
  <c r="BR59" i="3"/>
  <c r="BO59" i="3"/>
  <c r="BM59" i="3"/>
  <c r="BJ59" i="3"/>
  <c r="BE59" i="3"/>
  <c r="AV59" i="3"/>
  <c r="AX59" i="3" s="1"/>
  <c r="AU59" i="3"/>
  <c r="AT59" i="3"/>
  <c r="AQ59" i="3"/>
  <c r="AO59" i="3"/>
  <c r="AL59" i="3"/>
  <c r="AG59" i="3"/>
  <c r="AE59" i="3"/>
  <c r="AB59" i="3"/>
  <c r="W59" i="3"/>
  <c r="U59" i="3"/>
  <c r="R59" i="3"/>
  <c r="M59" i="3"/>
  <c r="EI58" i="3"/>
  <c r="EG58" i="3"/>
  <c r="ED58" i="3"/>
  <c r="EB58" i="3"/>
  <c r="DY58" i="3"/>
  <c r="DW58" i="3"/>
  <c r="DT58" i="3"/>
  <c r="DR58" i="3"/>
  <c r="DO58" i="3"/>
  <c r="DJ58" i="3"/>
  <c r="DE58" i="3"/>
  <c r="CZ58" i="3"/>
  <c r="CU58" i="3"/>
  <c r="CS58" i="3"/>
  <c r="CT58" i="3" s="1"/>
  <c r="CP58" i="3"/>
  <c r="CK58" i="3"/>
  <c r="CI58" i="3"/>
  <c r="CJ58" i="3" s="1"/>
  <c r="CF58" i="3"/>
  <c r="BS58" i="3"/>
  <c r="BR58" i="3"/>
  <c r="BO58" i="3"/>
  <c r="BM58" i="3"/>
  <c r="BJ58" i="3"/>
  <c r="BE58" i="3"/>
  <c r="AV58" i="3"/>
  <c r="AX58" i="3" s="1"/>
  <c r="AU58" i="3"/>
  <c r="BC58" i="3" s="1"/>
  <c r="AT58" i="3"/>
  <c r="AQ58" i="3"/>
  <c r="AO58" i="3"/>
  <c r="AL58" i="3"/>
  <c r="AG58" i="3"/>
  <c r="AE58" i="3"/>
  <c r="AB58" i="3"/>
  <c r="W58" i="3"/>
  <c r="U58" i="3"/>
  <c r="R58" i="3"/>
  <c r="M58" i="3"/>
  <c r="EI57" i="3"/>
  <c r="EG57" i="3"/>
  <c r="ED57" i="3"/>
  <c r="EB57" i="3"/>
  <c r="DY57" i="3"/>
  <c r="DW57" i="3"/>
  <c r="DT57" i="3"/>
  <c r="DR57" i="3"/>
  <c r="DO57" i="3"/>
  <c r="DJ57" i="3"/>
  <c r="DE57" i="3"/>
  <c r="CZ57" i="3"/>
  <c r="CU57" i="3"/>
  <c r="CT57" i="3"/>
  <c r="CS57" i="3"/>
  <c r="CP57" i="3"/>
  <c r="CK57" i="3"/>
  <c r="CI57" i="3"/>
  <c r="CJ57" i="3" s="1"/>
  <c r="CF57" i="3"/>
  <c r="BS57" i="3"/>
  <c r="BR57" i="3"/>
  <c r="BO57" i="3"/>
  <c r="BM57" i="3"/>
  <c r="BJ57" i="3"/>
  <c r="BE57" i="3"/>
  <c r="AV57" i="3"/>
  <c r="AU57" i="3"/>
  <c r="BC57" i="3" s="1"/>
  <c r="AT57" i="3"/>
  <c r="AQ57" i="3"/>
  <c r="AO57" i="3"/>
  <c r="AL57" i="3"/>
  <c r="AG57" i="3"/>
  <c r="AE57" i="3"/>
  <c r="AB57" i="3"/>
  <c r="W57" i="3"/>
  <c r="U57" i="3"/>
  <c r="R57" i="3"/>
  <c r="M57" i="3"/>
  <c r="EI56" i="3"/>
  <c r="EG56" i="3"/>
  <c r="ED56" i="3"/>
  <c r="EB56" i="3"/>
  <c r="DY56" i="3"/>
  <c r="DW56" i="3"/>
  <c r="DT56" i="3"/>
  <c r="DR56" i="3"/>
  <c r="DO56" i="3"/>
  <c r="DJ56" i="3"/>
  <c r="DE56" i="3"/>
  <c r="CZ56" i="3"/>
  <c r="CU56" i="3"/>
  <c r="CS56" i="3"/>
  <c r="CT56" i="3" s="1"/>
  <c r="CP56" i="3"/>
  <c r="CK56" i="3"/>
  <c r="CI56" i="3"/>
  <c r="CJ56" i="3" s="1"/>
  <c r="CF56" i="3"/>
  <c r="BS56" i="3"/>
  <c r="BR56" i="3"/>
  <c r="BO56" i="3"/>
  <c r="BM56" i="3"/>
  <c r="BJ56" i="3"/>
  <c r="BE56" i="3"/>
  <c r="AV56" i="3"/>
  <c r="AX56" i="3" s="1"/>
  <c r="AU56" i="3"/>
  <c r="AT56" i="3"/>
  <c r="AQ56" i="3"/>
  <c r="AO56" i="3"/>
  <c r="AL56" i="3"/>
  <c r="AG56" i="3"/>
  <c r="AE56" i="3"/>
  <c r="AB56" i="3"/>
  <c r="W56" i="3"/>
  <c r="U56" i="3"/>
  <c r="R56" i="3"/>
  <c r="M56" i="3"/>
  <c r="EI55" i="3"/>
  <c r="EG55" i="3"/>
  <c r="ED55" i="3"/>
  <c r="EB55" i="3"/>
  <c r="DY55" i="3"/>
  <c r="DW55" i="3"/>
  <c r="DT55" i="3"/>
  <c r="DR55" i="3"/>
  <c r="DO55" i="3"/>
  <c r="DJ55" i="3"/>
  <c r="DE55" i="3"/>
  <c r="CZ55" i="3"/>
  <c r="CU55" i="3"/>
  <c r="CT55" i="3"/>
  <c r="CS55" i="3"/>
  <c r="CP55" i="3"/>
  <c r="CK55" i="3"/>
  <c r="CI55" i="3"/>
  <c r="CJ55" i="3" s="1"/>
  <c r="CF55" i="3"/>
  <c r="BS55" i="3"/>
  <c r="BR55" i="3"/>
  <c r="BO55" i="3"/>
  <c r="BM55" i="3"/>
  <c r="BJ55" i="3"/>
  <c r="BE55" i="3"/>
  <c r="AV55" i="3"/>
  <c r="AU55" i="3"/>
  <c r="AT55" i="3"/>
  <c r="AQ55" i="3"/>
  <c r="AO55" i="3"/>
  <c r="AL55" i="3"/>
  <c r="AG55" i="3"/>
  <c r="AE55" i="3"/>
  <c r="AB55" i="3"/>
  <c r="W55" i="3"/>
  <c r="U55" i="3"/>
  <c r="R55" i="3"/>
  <c r="M55" i="3"/>
  <c r="EI54" i="3"/>
  <c r="EG54" i="3"/>
  <c r="ED54" i="3"/>
  <c r="EB54" i="3"/>
  <c r="DY54" i="3"/>
  <c r="DW54" i="3"/>
  <c r="DT54" i="3"/>
  <c r="DR54" i="3"/>
  <c r="DO54" i="3"/>
  <c r="DJ54" i="3"/>
  <c r="DE54" i="3"/>
  <c r="CZ54" i="3"/>
  <c r="CU54" i="3"/>
  <c r="CT54" i="3"/>
  <c r="CS54" i="3"/>
  <c r="CP54" i="3"/>
  <c r="CK54" i="3"/>
  <c r="CJ54" i="3"/>
  <c r="CI54" i="3"/>
  <c r="CF54" i="3"/>
  <c r="BS54" i="3"/>
  <c r="BR54" i="3"/>
  <c r="BO54" i="3"/>
  <c r="BM54" i="3"/>
  <c r="BJ54" i="3"/>
  <c r="BE54" i="3"/>
  <c r="AX54" i="3"/>
  <c r="AV54" i="3"/>
  <c r="AU54" i="3"/>
  <c r="AT54" i="3"/>
  <c r="AW54" i="3" s="1"/>
  <c r="AQ54" i="3"/>
  <c r="AO54" i="3"/>
  <c r="AL54" i="3"/>
  <c r="AG54" i="3"/>
  <c r="AE54" i="3"/>
  <c r="AB54" i="3"/>
  <c r="W54" i="3"/>
  <c r="U54" i="3"/>
  <c r="R54" i="3"/>
  <c r="M54" i="3"/>
  <c r="EI53" i="3"/>
  <c r="EG53" i="3"/>
  <c r="ED53" i="3"/>
  <c r="EB53" i="3"/>
  <c r="DY53" i="3"/>
  <c r="DW53" i="3"/>
  <c r="DT53" i="3"/>
  <c r="DR53" i="3"/>
  <c r="DO53" i="3"/>
  <c r="DJ53" i="3"/>
  <c r="DE53" i="3"/>
  <c r="CZ53" i="3"/>
  <c r="CU53" i="3"/>
  <c r="CT53" i="3"/>
  <c r="CS53" i="3"/>
  <c r="CP53" i="3"/>
  <c r="CK53" i="3"/>
  <c r="CI53" i="3"/>
  <c r="CJ53" i="3" s="1"/>
  <c r="CF53" i="3"/>
  <c r="BS53" i="3"/>
  <c r="BR53" i="3"/>
  <c r="BO53" i="3"/>
  <c r="BM53" i="3"/>
  <c r="BJ53" i="3"/>
  <c r="BE53" i="3"/>
  <c r="AV53" i="3"/>
  <c r="AX53" i="3" s="1"/>
  <c r="AU53" i="3"/>
  <c r="AT53" i="3"/>
  <c r="AQ53" i="3"/>
  <c r="AO53" i="3"/>
  <c r="AL53" i="3"/>
  <c r="AG53" i="3"/>
  <c r="AE53" i="3"/>
  <c r="AB53" i="3"/>
  <c r="W53" i="3"/>
  <c r="U53" i="3"/>
  <c r="R53" i="3"/>
  <c r="M53" i="3"/>
  <c r="EI52" i="3"/>
  <c r="EG52" i="3"/>
  <c r="ED52" i="3"/>
  <c r="EB52" i="3"/>
  <c r="DY52" i="3"/>
  <c r="DW52" i="3"/>
  <c r="DT52" i="3"/>
  <c r="DR52" i="3"/>
  <c r="DO52" i="3"/>
  <c r="DJ52" i="3"/>
  <c r="DE52" i="3"/>
  <c r="CZ52" i="3"/>
  <c r="CU52" i="3"/>
  <c r="CS52" i="3"/>
  <c r="CT52" i="3" s="1"/>
  <c r="CP52" i="3"/>
  <c r="CK52" i="3"/>
  <c r="CJ52" i="3"/>
  <c r="CI52" i="3"/>
  <c r="CF52" i="3"/>
  <c r="BS52" i="3"/>
  <c r="BR52" i="3"/>
  <c r="BO52" i="3"/>
  <c r="BM52" i="3"/>
  <c r="BJ52" i="3"/>
  <c r="BE52" i="3"/>
  <c r="AV52" i="3"/>
  <c r="AX52" i="3" s="1"/>
  <c r="AU52" i="3"/>
  <c r="BC52" i="3" s="1"/>
  <c r="AT52" i="3"/>
  <c r="AQ52" i="3"/>
  <c r="AO52" i="3"/>
  <c r="AL52" i="3"/>
  <c r="AG52" i="3"/>
  <c r="AE52" i="3"/>
  <c r="AB52" i="3"/>
  <c r="W52" i="3"/>
  <c r="U52" i="3"/>
  <c r="R52" i="3"/>
  <c r="M52" i="3"/>
  <c r="EI51" i="3"/>
  <c r="EG51" i="3"/>
  <c r="ED51" i="3"/>
  <c r="EB51" i="3"/>
  <c r="DY51" i="3"/>
  <c r="DW51" i="3"/>
  <c r="DT51" i="3"/>
  <c r="DR51" i="3"/>
  <c r="DO51" i="3"/>
  <c r="DJ51" i="3"/>
  <c r="DE51" i="3"/>
  <c r="CZ51" i="3"/>
  <c r="CU51" i="3"/>
  <c r="CS51" i="3"/>
  <c r="CT51" i="3" s="1"/>
  <c r="CP51" i="3"/>
  <c r="CK51" i="3"/>
  <c r="CJ51" i="3"/>
  <c r="CI51" i="3"/>
  <c r="CF51" i="3"/>
  <c r="BS51" i="3"/>
  <c r="BR51" i="3"/>
  <c r="BO51" i="3"/>
  <c r="BM51" i="3"/>
  <c r="BJ51" i="3"/>
  <c r="BE51" i="3"/>
  <c r="AV51" i="3"/>
  <c r="AX51" i="3" s="1"/>
  <c r="AU51" i="3"/>
  <c r="BC51" i="3" s="1"/>
  <c r="AT51" i="3"/>
  <c r="AQ51" i="3"/>
  <c r="AO51" i="3"/>
  <c r="AL51" i="3"/>
  <c r="AG51" i="3"/>
  <c r="AE51" i="3"/>
  <c r="AB51" i="3"/>
  <c r="W51" i="3"/>
  <c r="U51" i="3"/>
  <c r="R51" i="3"/>
  <c r="M51" i="3"/>
  <c r="EI50" i="3"/>
  <c r="EG50" i="3"/>
  <c r="ED50" i="3"/>
  <c r="EB50" i="3"/>
  <c r="DY50" i="3"/>
  <c r="DW50" i="3"/>
  <c r="DT50" i="3"/>
  <c r="DR50" i="3"/>
  <c r="DO50" i="3"/>
  <c r="DJ50" i="3"/>
  <c r="DE50" i="3"/>
  <c r="CZ50" i="3"/>
  <c r="CU50" i="3"/>
  <c r="CS50" i="3"/>
  <c r="CT50" i="3" s="1"/>
  <c r="CP50" i="3"/>
  <c r="CK50" i="3"/>
  <c r="CJ50" i="3"/>
  <c r="CI50" i="3"/>
  <c r="CF50" i="3"/>
  <c r="BS50" i="3"/>
  <c r="BR50" i="3"/>
  <c r="BO50" i="3"/>
  <c r="BM50" i="3"/>
  <c r="BJ50" i="3"/>
  <c r="BE50" i="3"/>
  <c r="AX50" i="3"/>
  <c r="AV50" i="3"/>
  <c r="AU50" i="3"/>
  <c r="BC50" i="3" s="1"/>
  <c r="AT50" i="3"/>
  <c r="AQ50" i="3"/>
  <c r="AO50" i="3"/>
  <c r="AL50" i="3"/>
  <c r="AG50" i="3"/>
  <c r="AE50" i="3"/>
  <c r="AB50" i="3"/>
  <c r="W50" i="3"/>
  <c r="U50" i="3"/>
  <c r="R50" i="3"/>
  <c r="M50" i="3"/>
  <c r="EI49" i="3"/>
  <c r="EG49" i="3"/>
  <c r="ED49" i="3"/>
  <c r="EB49" i="3"/>
  <c r="DY49" i="3"/>
  <c r="DW49" i="3"/>
  <c r="DT49" i="3"/>
  <c r="DR49" i="3"/>
  <c r="DO49" i="3"/>
  <c r="DJ49" i="3"/>
  <c r="DE49" i="3"/>
  <c r="CZ49" i="3"/>
  <c r="CU49" i="3"/>
  <c r="CS49" i="3"/>
  <c r="CT49" i="3" s="1"/>
  <c r="CP49" i="3"/>
  <c r="CK49" i="3"/>
  <c r="CJ49" i="3"/>
  <c r="CI49" i="3"/>
  <c r="CF49" i="3"/>
  <c r="BS49" i="3"/>
  <c r="BR49" i="3"/>
  <c r="BO49" i="3"/>
  <c r="BM49" i="3"/>
  <c r="BJ49" i="3"/>
  <c r="BE49" i="3"/>
  <c r="AV49" i="3"/>
  <c r="AX49" i="3" s="1"/>
  <c r="AU49" i="3"/>
  <c r="AT49" i="3"/>
  <c r="AQ49" i="3"/>
  <c r="AO49" i="3"/>
  <c r="AL49" i="3"/>
  <c r="AG49" i="3"/>
  <c r="AE49" i="3"/>
  <c r="AB49" i="3"/>
  <c r="W49" i="3"/>
  <c r="U49" i="3"/>
  <c r="R49" i="3"/>
  <c r="M49" i="3"/>
  <c r="EI48" i="3"/>
  <c r="EG48" i="3"/>
  <c r="ED48" i="3"/>
  <c r="EB48" i="3"/>
  <c r="DY48" i="3"/>
  <c r="DW48" i="3"/>
  <c r="DT48" i="3"/>
  <c r="DR48" i="3"/>
  <c r="DO48" i="3"/>
  <c r="DJ48" i="3"/>
  <c r="DE48" i="3"/>
  <c r="CZ48" i="3"/>
  <c r="CU48" i="3"/>
  <c r="CS48" i="3"/>
  <c r="CT48" i="3" s="1"/>
  <c r="CP48" i="3"/>
  <c r="CK48" i="3"/>
  <c r="CJ48" i="3"/>
  <c r="CI48" i="3"/>
  <c r="CF48" i="3"/>
  <c r="BS48" i="3"/>
  <c r="BR48" i="3"/>
  <c r="BO48" i="3"/>
  <c r="BM48" i="3"/>
  <c r="BJ48" i="3"/>
  <c r="BE48" i="3"/>
  <c r="AV48" i="3"/>
  <c r="AX48" i="3" s="1"/>
  <c r="AU48" i="3"/>
  <c r="AT48" i="3"/>
  <c r="AQ48" i="3"/>
  <c r="AO48" i="3"/>
  <c r="AL48" i="3"/>
  <c r="AG48" i="3"/>
  <c r="AE48" i="3"/>
  <c r="AB48" i="3"/>
  <c r="W48" i="3"/>
  <c r="U48" i="3"/>
  <c r="R48" i="3"/>
  <c r="M48" i="3"/>
  <c r="EI47" i="3"/>
  <c r="EG47" i="3"/>
  <c r="ED47" i="3"/>
  <c r="EB47" i="3"/>
  <c r="DY47" i="3"/>
  <c r="DW47" i="3"/>
  <c r="DT47" i="3"/>
  <c r="DR47" i="3"/>
  <c r="DO47" i="3"/>
  <c r="DJ47" i="3"/>
  <c r="DE47" i="3"/>
  <c r="CZ47" i="3"/>
  <c r="CU47" i="3"/>
  <c r="CS47" i="3"/>
  <c r="CT47" i="3" s="1"/>
  <c r="CP47" i="3"/>
  <c r="CK47" i="3"/>
  <c r="CJ47" i="3"/>
  <c r="CI47" i="3"/>
  <c r="CF47" i="3"/>
  <c r="BS47" i="3"/>
  <c r="BR47" i="3"/>
  <c r="BO47" i="3"/>
  <c r="BM47" i="3"/>
  <c r="BJ47" i="3"/>
  <c r="BE47" i="3"/>
  <c r="AV47" i="3"/>
  <c r="AX47" i="3" s="1"/>
  <c r="AU47" i="3"/>
  <c r="AT47" i="3"/>
  <c r="AW47" i="3" s="1"/>
  <c r="AQ47" i="3"/>
  <c r="AO47" i="3"/>
  <c r="AL47" i="3"/>
  <c r="AG47" i="3"/>
  <c r="AE47" i="3"/>
  <c r="AB47" i="3"/>
  <c r="W47" i="3"/>
  <c r="U47" i="3"/>
  <c r="R47" i="3"/>
  <c r="M47" i="3"/>
  <c r="EI46" i="3"/>
  <c r="EG46" i="3"/>
  <c r="ED46" i="3"/>
  <c r="EB46" i="3"/>
  <c r="DY46" i="3"/>
  <c r="DW46" i="3"/>
  <c r="DT46" i="3"/>
  <c r="DR46" i="3"/>
  <c r="DO46" i="3"/>
  <c r="DJ46" i="3"/>
  <c r="DE46" i="3"/>
  <c r="CZ46" i="3"/>
  <c r="CU46" i="3"/>
  <c r="CS46" i="3"/>
  <c r="CT46" i="3" s="1"/>
  <c r="CP46" i="3"/>
  <c r="CK46" i="3"/>
  <c r="CI46" i="3"/>
  <c r="CJ46" i="3" s="1"/>
  <c r="CF46" i="3"/>
  <c r="BS46" i="3"/>
  <c r="BR46" i="3"/>
  <c r="BO46" i="3"/>
  <c r="BM46" i="3"/>
  <c r="BJ46" i="3"/>
  <c r="BE46" i="3"/>
  <c r="BC46" i="3"/>
  <c r="AV46" i="3"/>
  <c r="AU46" i="3"/>
  <c r="AT46" i="3"/>
  <c r="AW46" i="3" s="1"/>
  <c r="AQ46" i="3"/>
  <c r="AO46" i="3"/>
  <c r="AL46" i="3"/>
  <c r="AG46" i="3"/>
  <c r="AE46" i="3"/>
  <c r="AB46" i="3"/>
  <c r="W46" i="3"/>
  <c r="U46" i="3"/>
  <c r="R46" i="3"/>
  <c r="M46" i="3"/>
  <c r="EI45" i="3"/>
  <c r="EG45" i="3"/>
  <c r="ED45" i="3"/>
  <c r="EB45" i="3"/>
  <c r="DY45" i="3"/>
  <c r="DW45" i="3"/>
  <c r="DT45" i="3"/>
  <c r="DR45" i="3"/>
  <c r="DO45" i="3"/>
  <c r="DJ45" i="3"/>
  <c r="DE45" i="3"/>
  <c r="CZ45" i="3"/>
  <c r="CU45" i="3"/>
  <c r="CS45" i="3"/>
  <c r="CT45" i="3" s="1"/>
  <c r="CP45" i="3"/>
  <c r="CK45" i="3"/>
  <c r="CI45" i="3"/>
  <c r="CJ45" i="3" s="1"/>
  <c r="CF45" i="3"/>
  <c r="BS45" i="3"/>
  <c r="BR45" i="3"/>
  <c r="BO45" i="3"/>
  <c r="BM45" i="3"/>
  <c r="BJ45" i="3"/>
  <c r="BE45" i="3"/>
  <c r="BC45" i="3"/>
  <c r="AV45" i="3"/>
  <c r="AX45" i="3" s="1"/>
  <c r="AU45" i="3"/>
  <c r="AT45" i="3"/>
  <c r="AW45" i="3" s="1"/>
  <c r="AQ45" i="3"/>
  <c r="AO45" i="3"/>
  <c r="AL45" i="3"/>
  <c r="AG45" i="3"/>
  <c r="AE45" i="3"/>
  <c r="AB45" i="3"/>
  <c r="W45" i="3"/>
  <c r="U45" i="3"/>
  <c r="R45" i="3"/>
  <c r="M45" i="3"/>
  <c r="EI44" i="3"/>
  <c r="EG44" i="3"/>
  <c r="ED44" i="3"/>
  <c r="EB44" i="3"/>
  <c r="DY44" i="3"/>
  <c r="DW44" i="3"/>
  <c r="DT44" i="3"/>
  <c r="DR44" i="3"/>
  <c r="DO44" i="3"/>
  <c r="DJ44" i="3"/>
  <c r="DE44" i="3"/>
  <c r="CZ44" i="3"/>
  <c r="CU44" i="3"/>
  <c r="CS44" i="3"/>
  <c r="CT44" i="3" s="1"/>
  <c r="CP44" i="3"/>
  <c r="CK44" i="3"/>
  <c r="CI44" i="3"/>
  <c r="CJ44" i="3" s="1"/>
  <c r="CF44" i="3"/>
  <c r="BS44" i="3"/>
  <c r="BR44" i="3"/>
  <c r="BO44" i="3"/>
  <c r="BM44" i="3"/>
  <c r="BJ44" i="3"/>
  <c r="BE44" i="3"/>
  <c r="AV44" i="3"/>
  <c r="AX44" i="3" s="1"/>
  <c r="AU44" i="3"/>
  <c r="BC44" i="3" s="1"/>
  <c r="AT44" i="3"/>
  <c r="AQ44" i="3"/>
  <c r="AO44" i="3"/>
  <c r="AL44" i="3"/>
  <c r="AG44" i="3"/>
  <c r="AE44" i="3"/>
  <c r="AB44" i="3"/>
  <c r="W44" i="3"/>
  <c r="U44" i="3"/>
  <c r="R44" i="3"/>
  <c r="M44" i="3"/>
  <c r="EI43" i="3"/>
  <c r="EG43" i="3"/>
  <c r="ED43" i="3"/>
  <c r="EB43" i="3"/>
  <c r="DY43" i="3"/>
  <c r="DW43" i="3"/>
  <c r="DT43" i="3"/>
  <c r="DR43" i="3"/>
  <c r="DO43" i="3"/>
  <c r="DJ43" i="3"/>
  <c r="DE43" i="3"/>
  <c r="CZ43" i="3"/>
  <c r="CU43" i="3"/>
  <c r="CS43" i="3"/>
  <c r="CT43" i="3" s="1"/>
  <c r="CP43" i="3"/>
  <c r="CK43" i="3"/>
  <c r="CJ43" i="3"/>
  <c r="CI43" i="3"/>
  <c r="CF43" i="3"/>
  <c r="BS43" i="3"/>
  <c r="BR43" i="3"/>
  <c r="BO43" i="3"/>
  <c r="BM43" i="3"/>
  <c r="BJ43" i="3"/>
  <c r="BE43" i="3"/>
  <c r="AV43" i="3"/>
  <c r="AX43" i="3" s="1"/>
  <c r="AU43" i="3"/>
  <c r="BC43" i="3" s="1"/>
  <c r="AT43" i="3"/>
  <c r="AW43" i="3" s="1"/>
  <c r="AQ43" i="3"/>
  <c r="AO43" i="3"/>
  <c r="AL43" i="3"/>
  <c r="AG43" i="3"/>
  <c r="AE43" i="3"/>
  <c r="AB43" i="3"/>
  <c r="W43" i="3"/>
  <c r="U43" i="3"/>
  <c r="R43" i="3"/>
  <c r="M43" i="3"/>
  <c r="EI42" i="3"/>
  <c r="EG42" i="3"/>
  <c r="ED42" i="3"/>
  <c r="EB42" i="3"/>
  <c r="DY42" i="3"/>
  <c r="DW42" i="3"/>
  <c r="DT42" i="3"/>
  <c r="DR42" i="3"/>
  <c r="DO42" i="3"/>
  <c r="DJ42" i="3"/>
  <c r="DE42" i="3"/>
  <c r="CZ42" i="3"/>
  <c r="CU42" i="3"/>
  <c r="CS42" i="3"/>
  <c r="CT42" i="3" s="1"/>
  <c r="CP42" i="3"/>
  <c r="CK42" i="3"/>
  <c r="CI42" i="3"/>
  <c r="CJ42" i="3" s="1"/>
  <c r="CF42" i="3"/>
  <c r="BS42" i="3"/>
  <c r="BR42" i="3"/>
  <c r="BO42" i="3"/>
  <c r="BM42" i="3"/>
  <c r="BJ42" i="3"/>
  <c r="BE42" i="3"/>
  <c r="AV42" i="3"/>
  <c r="AU42" i="3"/>
  <c r="AT42" i="3"/>
  <c r="AQ42" i="3"/>
  <c r="AO42" i="3"/>
  <c r="AL42" i="3"/>
  <c r="AG42" i="3"/>
  <c r="AE42" i="3"/>
  <c r="AB42" i="3"/>
  <c r="W42" i="3"/>
  <c r="U42" i="3"/>
  <c r="R42" i="3"/>
  <c r="M42" i="3"/>
  <c r="EI41" i="3"/>
  <c r="EG41" i="3"/>
  <c r="ED41" i="3"/>
  <c r="EB41" i="3"/>
  <c r="DY41" i="3"/>
  <c r="DW41" i="3"/>
  <c r="DT41" i="3"/>
  <c r="DR41" i="3"/>
  <c r="DO41" i="3"/>
  <c r="DJ41" i="3"/>
  <c r="DE41" i="3"/>
  <c r="CZ41" i="3"/>
  <c r="CU41" i="3"/>
  <c r="CS41" i="3"/>
  <c r="CT41" i="3" s="1"/>
  <c r="CP41" i="3"/>
  <c r="CK41" i="3"/>
  <c r="CI41" i="3"/>
  <c r="CJ41" i="3" s="1"/>
  <c r="CF41" i="3"/>
  <c r="BS41" i="3"/>
  <c r="BR41" i="3"/>
  <c r="BO41" i="3"/>
  <c r="BM41" i="3"/>
  <c r="BJ41" i="3"/>
  <c r="BE41" i="3"/>
  <c r="AV41" i="3"/>
  <c r="AU41" i="3"/>
  <c r="AT41" i="3"/>
  <c r="AQ41" i="3"/>
  <c r="AO41" i="3"/>
  <c r="AL41" i="3"/>
  <c r="AG41" i="3"/>
  <c r="AE41" i="3"/>
  <c r="AB41" i="3"/>
  <c r="W41" i="3"/>
  <c r="U41" i="3"/>
  <c r="R41" i="3"/>
  <c r="M41" i="3"/>
  <c r="EI40" i="3"/>
  <c r="EG40" i="3"/>
  <c r="ED40" i="3"/>
  <c r="EB40" i="3"/>
  <c r="DY40" i="3"/>
  <c r="DW40" i="3"/>
  <c r="DT40" i="3"/>
  <c r="DR40" i="3"/>
  <c r="DO40" i="3"/>
  <c r="DJ40" i="3"/>
  <c r="DE40" i="3"/>
  <c r="CZ40" i="3"/>
  <c r="CU40" i="3"/>
  <c r="CS40" i="3"/>
  <c r="CT40" i="3" s="1"/>
  <c r="CP40" i="3"/>
  <c r="CK40" i="3"/>
  <c r="CI40" i="3"/>
  <c r="CJ40" i="3" s="1"/>
  <c r="CF40" i="3"/>
  <c r="BS40" i="3"/>
  <c r="BR40" i="3"/>
  <c r="BO40" i="3"/>
  <c r="BM40" i="3"/>
  <c r="BJ40" i="3"/>
  <c r="BE40" i="3"/>
  <c r="AV40" i="3"/>
  <c r="AU40" i="3"/>
  <c r="AT40" i="3"/>
  <c r="AQ40" i="3"/>
  <c r="AO40" i="3"/>
  <c r="AL40" i="3"/>
  <c r="AG40" i="3"/>
  <c r="AE40" i="3"/>
  <c r="AB40" i="3"/>
  <c r="W40" i="3"/>
  <c r="U40" i="3"/>
  <c r="R40" i="3"/>
  <c r="M40" i="3"/>
  <c r="EI39" i="3"/>
  <c r="EG39" i="3"/>
  <c r="ED39" i="3"/>
  <c r="EB39" i="3"/>
  <c r="DY39" i="3"/>
  <c r="DW39" i="3"/>
  <c r="DT39" i="3"/>
  <c r="DR39" i="3"/>
  <c r="DO39" i="3"/>
  <c r="DJ39" i="3"/>
  <c r="DE39" i="3"/>
  <c r="CZ39" i="3"/>
  <c r="CU39" i="3"/>
  <c r="CS39" i="3"/>
  <c r="CT39" i="3" s="1"/>
  <c r="CP39" i="3"/>
  <c r="CK39" i="3"/>
  <c r="CJ39" i="3"/>
  <c r="CI39" i="3"/>
  <c r="CF39" i="3"/>
  <c r="BS39" i="3"/>
  <c r="BR39" i="3"/>
  <c r="BO39" i="3"/>
  <c r="BM39" i="3"/>
  <c r="BJ39" i="3"/>
  <c r="BE39" i="3"/>
  <c r="AV39" i="3"/>
  <c r="AX39" i="3" s="1"/>
  <c r="AU39" i="3"/>
  <c r="AT39" i="3"/>
  <c r="AQ39" i="3"/>
  <c r="AO39" i="3"/>
  <c r="AL39" i="3"/>
  <c r="AG39" i="3"/>
  <c r="AE39" i="3"/>
  <c r="AB39" i="3"/>
  <c r="W39" i="3"/>
  <c r="U39" i="3"/>
  <c r="R39" i="3"/>
  <c r="M39" i="3"/>
  <c r="EI38" i="3"/>
  <c r="EG38" i="3"/>
  <c r="ED38" i="3"/>
  <c r="EB38" i="3"/>
  <c r="DY38" i="3"/>
  <c r="DW38" i="3"/>
  <c r="DT38" i="3"/>
  <c r="DR38" i="3"/>
  <c r="DO38" i="3"/>
  <c r="DJ38" i="3"/>
  <c r="DE38" i="3"/>
  <c r="CZ38" i="3"/>
  <c r="CU38" i="3"/>
  <c r="CS38" i="3"/>
  <c r="CT38" i="3" s="1"/>
  <c r="CP38" i="3"/>
  <c r="CK38" i="3"/>
  <c r="CJ38" i="3"/>
  <c r="CI38" i="3"/>
  <c r="CF38" i="3"/>
  <c r="BS38" i="3"/>
  <c r="BR38" i="3"/>
  <c r="BO38" i="3"/>
  <c r="BM38" i="3"/>
  <c r="BJ38" i="3"/>
  <c r="BE38" i="3"/>
  <c r="AV38" i="3"/>
  <c r="AX38" i="3" s="1"/>
  <c r="AU38" i="3"/>
  <c r="AT38" i="3"/>
  <c r="AQ38" i="3"/>
  <c r="AO38" i="3"/>
  <c r="AL38" i="3"/>
  <c r="AG38" i="3"/>
  <c r="AE38" i="3"/>
  <c r="AB38" i="3"/>
  <c r="W38" i="3"/>
  <c r="U38" i="3"/>
  <c r="R38" i="3"/>
  <c r="M38" i="3"/>
  <c r="EI37" i="3"/>
  <c r="EG37" i="3"/>
  <c r="ED37" i="3"/>
  <c r="EB37" i="3"/>
  <c r="DY37" i="3"/>
  <c r="DW37" i="3"/>
  <c r="DT37" i="3"/>
  <c r="DR37" i="3"/>
  <c r="DO37" i="3"/>
  <c r="DJ37" i="3"/>
  <c r="DE37" i="3"/>
  <c r="CZ37" i="3"/>
  <c r="CU37" i="3"/>
  <c r="CS37" i="3"/>
  <c r="CT37" i="3" s="1"/>
  <c r="CP37" i="3"/>
  <c r="CK37" i="3"/>
  <c r="CI37" i="3"/>
  <c r="CJ37" i="3" s="1"/>
  <c r="CF37" i="3"/>
  <c r="BS37" i="3"/>
  <c r="BR37" i="3"/>
  <c r="BO37" i="3"/>
  <c r="BM37" i="3"/>
  <c r="BJ37" i="3"/>
  <c r="BE37" i="3"/>
  <c r="AV37" i="3"/>
  <c r="AU37" i="3"/>
  <c r="AT37" i="3"/>
  <c r="AQ37" i="3"/>
  <c r="AO37" i="3"/>
  <c r="AL37" i="3"/>
  <c r="AG37" i="3"/>
  <c r="AE37" i="3"/>
  <c r="AB37" i="3"/>
  <c r="W37" i="3"/>
  <c r="U37" i="3"/>
  <c r="R37" i="3"/>
  <c r="M37" i="3"/>
  <c r="EI36" i="3"/>
  <c r="EG36" i="3"/>
  <c r="ED36" i="3"/>
  <c r="EB36" i="3"/>
  <c r="DY36" i="3"/>
  <c r="DW36" i="3"/>
  <c r="DT36" i="3"/>
  <c r="DR36" i="3"/>
  <c r="DO36" i="3"/>
  <c r="DJ36" i="3"/>
  <c r="DE36" i="3"/>
  <c r="CZ36" i="3"/>
  <c r="CU36" i="3"/>
  <c r="CS36" i="3"/>
  <c r="CT36" i="3" s="1"/>
  <c r="CP36" i="3"/>
  <c r="CK36" i="3"/>
  <c r="CI36" i="3"/>
  <c r="CJ36" i="3" s="1"/>
  <c r="CF36" i="3"/>
  <c r="BS36" i="3"/>
  <c r="BR36" i="3"/>
  <c r="BO36" i="3"/>
  <c r="BM36" i="3"/>
  <c r="BJ36" i="3"/>
  <c r="BE36" i="3"/>
  <c r="AV36" i="3"/>
  <c r="AU36" i="3"/>
  <c r="AT36" i="3"/>
  <c r="AW36" i="3" s="1"/>
  <c r="AQ36" i="3"/>
  <c r="AO36" i="3"/>
  <c r="AL36" i="3"/>
  <c r="AG36" i="3"/>
  <c r="AE36" i="3"/>
  <c r="AB36" i="3"/>
  <c r="W36" i="3"/>
  <c r="U36" i="3"/>
  <c r="R36" i="3"/>
  <c r="M36" i="3"/>
  <c r="EI35" i="3"/>
  <c r="EG35" i="3"/>
  <c r="ED35" i="3"/>
  <c r="EB35" i="3"/>
  <c r="DY35" i="3"/>
  <c r="DW35" i="3"/>
  <c r="DT35" i="3"/>
  <c r="DR35" i="3"/>
  <c r="DO35" i="3"/>
  <c r="DJ35" i="3"/>
  <c r="DE35" i="3"/>
  <c r="CZ35" i="3"/>
  <c r="CU35" i="3"/>
  <c r="CS35" i="3"/>
  <c r="CT35" i="3" s="1"/>
  <c r="CP35" i="3"/>
  <c r="CK35" i="3"/>
  <c r="CI35" i="3"/>
  <c r="CJ35" i="3" s="1"/>
  <c r="CF35" i="3"/>
  <c r="BS35" i="3"/>
  <c r="BR35" i="3"/>
  <c r="BO35" i="3"/>
  <c r="BM35" i="3"/>
  <c r="BJ35" i="3"/>
  <c r="BE35" i="3"/>
  <c r="AX35" i="3"/>
  <c r="AV35" i="3"/>
  <c r="AU35" i="3"/>
  <c r="AT35" i="3"/>
  <c r="AW35" i="3" s="1"/>
  <c r="AQ35" i="3"/>
  <c r="AO35" i="3"/>
  <c r="AL35" i="3"/>
  <c r="AG35" i="3"/>
  <c r="AE35" i="3"/>
  <c r="AB35" i="3"/>
  <c r="W35" i="3"/>
  <c r="U35" i="3"/>
  <c r="R35" i="3"/>
  <c r="M35" i="3"/>
  <c r="EI34" i="3"/>
  <c r="EG34" i="3"/>
  <c r="ED34" i="3"/>
  <c r="EB34" i="3"/>
  <c r="DY34" i="3"/>
  <c r="DW34" i="3"/>
  <c r="DT34" i="3"/>
  <c r="DR34" i="3"/>
  <c r="DO34" i="3"/>
  <c r="DJ34" i="3"/>
  <c r="DE34" i="3"/>
  <c r="CZ34" i="3"/>
  <c r="CU34" i="3"/>
  <c r="CS34" i="3"/>
  <c r="CT34" i="3" s="1"/>
  <c r="CP34" i="3"/>
  <c r="CK34" i="3"/>
  <c r="CI34" i="3"/>
  <c r="CJ34" i="3" s="1"/>
  <c r="CF34" i="3"/>
  <c r="BS34" i="3"/>
  <c r="BR34" i="3"/>
  <c r="BO34" i="3"/>
  <c r="BM34" i="3"/>
  <c r="BJ34" i="3"/>
  <c r="BE34" i="3"/>
  <c r="BC34" i="3"/>
  <c r="AV34" i="3"/>
  <c r="AU34" i="3"/>
  <c r="AT34" i="3"/>
  <c r="AQ34" i="3"/>
  <c r="AO34" i="3"/>
  <c r="AL34" i="3"/>
  <c r="AG34" i="3"/>
  <c r="AE34" i="3"/>
  <c r="AB34" i="3"/>
  <c r="W34" i="3"/>
  <c r="U34" i="3"/>
  <c r="R34" i="3"/>
  <c r="M34" i="3"/>
  <c r="EI33" i="3"/>
  <c r="EG33" i="3"/>
  <c r="ED33" i="3"/>
  <c r="EB33" i="3"/>
  <c r="DY33" i="3"/>
  <c r="DW33" i="3"/>
  <c r="DT33" i="3"/>
  <c r="DR33" i="3"/>
  <c r="DO33" i="3"/>
  <c r="DJ33" i="3"/>
  <c r="DE33" i="3"/>
  <c r="CZ33" i="3"/>
  <c r="CU33" i="3"/>
  <c r="CS33" i="3"/>
  <c r="CT33" i="3" s="1"/>
  <c r="CP33" i="3"/>
  <c r="CK33" i="3"/>
  <c r="CI33" i="3"/>
  <c r="CJ33" i="3" s="1"/>
  <c r="CF33" i="3"/>
  <c r="BS33" i="3"/>
  <c r="BR33" i="3"/>
  <c r="BO33" i="3"/>
  <c r="BM33" i="3"/>
  <c r="BJ33" i="3"/>
  <c r="BE33" i="3"/>
  <c r="AV33" i="3"/>
  <c r="AX33" i="3" s="1"/>
  <c r="AU33" i="3"/>
  <c r="AT33" i="3"/>
  <c r="AQ33" i="3"/>
  <c r="AO33" i="3"/>
  <c r="AL33" i="3"/>
  <c r="AG33" i="3"/>
  <c r="AE33" i="3"/>
  <c r="AB33" i="3"/>
  <c r="W33" i="3"/>
  <c r="U33" i="3"/>
  <c r="R33" i="3"/>
  <c r="M33" i="3"/>
  <c r="EI32" i="3"/>
  <c r="EG32" i="3"/>
  <c r="ED32" i="3"/>
  <c r="EB32" i="3"/>
  <c r="DY32" i="3"/>
  <c r="DW32" i="3"/>
  <c r="DT32" i="3"/>
  <c r="DR32" i="3"/>
  <c r="DO32" i="3"/>
  <c r="DJ32" i="3"/>
  <c r="DE32" i="3"/>
  <c r="CZ32" i="3"/>
  <c r="CU32" i="3"/>
  <c r="CS32" i="3"/>
  <c r="CT32" i="3" s="1"/>
  <c r="CP32" i="3"/>
  <c r="CK32" i="3"/>
  <c r="CJ32" i="3"/>
  <c r="CI32" i="3"/>
  <c r="CF32" i="3"/>
  <c r="BS32" i="3"/>
  <c r="BR32" i="3"/>
  <c r="BO32" i="3"/>
  <c r="BM32" i="3"/>
  <c r="BJ32" i="3"/>
  <c r="BE32" i="3"/>
  <c r="AZ32" i="3"/>
  <c r="AV32" i="3"/>
  <c r="AX32" i="3" s="1"/>
  <c r="AU32" i="3"/>
  <c r="AW32" i="3" s="1"/>
  <c r="AT32" i="3"/>
  <c r="AQ32" i="3"/>
  <c r="AO32" i="3"/>
  <c r="AL32" i="3"/>
  <c r="AG32" i="3"/>
  <c r="AE32" i="3"/>
  <c r="AB32" i="3"/>
  <c r="W32" i="3"/>
  <c r="U32" i="3"/>
  <c r="R32" i="3"/>
  <c r="M32" i="3"/>
  <c r="EI31" i="3"/>
  <c r="EG31" i="3"/>
  <c r="ED31" i="3"/>
  <c r="EB31" i="3"/>
  <c r="DY31" i="3"/>
  <c r="DW31" i="3"/>
  <c r="DT31" i="3"/>
  <c r="DR31" i="3"/>
  <c r="DO31" i="3"/>
  <c r="DJ31" i="3"/>
  <c r="DE31" i="3"/>
  <c r="CZ31" i="3"/>
  <c r="CU31" i="3"/>
  <c r="CS31" i="3"/>
  <c r="CT31" i="3" s="1"/>
  <c r="CP31" i="3"/>
  <c r="CK31" i="3"/>
  <c r="CI31" i="3"/>
  <c r="CJ31" i="3" s="1"/>
  <c r="CF31" i="3"/>
  <c r="BS31" i="3"/>
  <c r="BR31" i="3"/>
  <c r="BO31" i="3"/>
  <c r="BM31" i="3"/>
  <c r="BJ31" i="3"/>
  <c r="BE31" i="3"/>
  <c r="AZ31" i="3"/>
  <c r="AV31" i="3"/>
  <c r="AU31" i="3"/>
  <c r="AT31" i="3"/>
  <c r="AQ31" i="3"/>
  <c r="AO31" i="3"/>
  <c r="AL31" i="3"/>
  <c r="AG31" i="3"/>
  <c r="AE31" i="3"/>
  <c r="AB31" i="3"/>
  <c r="W31" i="3"/>
  <c r="U31" i="3"/>
  <c r="R31" i="3"/>
  <c r="M31" i="3"/>
  <c r="EI30" i="3"/>
  <c r="EG30" i="3"/>
  <c r="ED30" i="3"/>
  <c r="EB30" i="3"/>
  <c r="DY30" i="3"/>
  <c r="DW30" i="3"/>
  <c r="DT30" i="3"/>
  <c r="DR30" i="3"/>
  <c r="DO30" i="3"/>
  <c r="DJ30" i="3"/>
  <c r="DE30" i="3"/>
  <c r="CZ30" i="3"/>
  <c r="CU30" i="3"/>
  <c r="CT30" i="3"/>
  <c r="CS30" i="3"/>
  <c r="CP30" i="3"/>
  <c r="CK30" i="3"/>
  <c r="CJ30" i="3"/>
  <c r="CI30" i="3"/>
  <c r="CF30" i="3"/>
  <c r="BS30" i="3"/>
  <c r="BR30" i="3"/>
  <c r="BO30" i="3"/>
  <c r="BM30" i="3"/>
  <c r="BJ30" i="3"/>
  <c r="BE30" i="3"/>
  <c r="AZ30" i="3"/>
  <c r="AV30" i="3"/>
  <c r="AX30" i="3" s="1"/>
  <c r="AU30" i="3"/>
  <c r="AT30" i="3"/>
  <c r="AQ30" i="3"/>
  <c r="AO30" i="3"/>
  <c r="AL30" i="3"/>
  <c r="AG30" i="3"/>
  <c r="AE30" i="3"/>
  <c r="AB30" i="3"/>
  <c r="W30" i="3"/>
  <c r="U30" i="3"/>
  <c r="R30" i="3"/>
  <c r="M30" i="3"/>
  <c r="EI29" i="3"/>
  <c r="EG29" i="3"/>
  <c r="ED29" i="3"/>
  <c r="EB29" i="3"/>
  <c r="DY29" i="3"/>
  <c r="DW29" i="3"/>
  <c r="DT29" i="3"/>
  <c r="DR29" i="3"/>
  <c r="DO29" i="3"/>
  <c r="DJ29" i="3"/>
  <c r="DE29" i="3"/>
  <c r="CZ29" i="3"/>
  <c r="CU29" i="3"/>
  <c r="CS29" i="3"/>
  <c r="CT29" i="3" s="1"/>
  <c r="CP29" i="3"/>
  <c r="CK29" i="3"/>
  <c r="CI29" i="3"/>
  <c r="CJ29" i="3" s="1"/>
  <c r="CF29" i="3"/>
  <c r="BS29" i="3"/>
  <c r="BR29" i="3"/>
  <c r="BO29" i="3"/>
  <c r="BM29" i="3"/>
  <c r="BJ29" i="3"/>
  <c r="BE29" i="3"/>
  <c r="AZ29" i="3"/>
  <c r="AV29" i="3"/>
  <c r="AX29" i="3" s="1"/>
  <c r="AU29" i="3"/>
  <c r="AT29" i="3"/>
  <c r="AQ29" i="3"/>
  <c r="AO29" i="3"/>
  <c r="AL29" i="3"/>
  <c r="AG29" i="3"/>
  <c r="AE29" i="3"/>
  <c r="AB29" i="3"/>
  <c r="W29" i="3"/>
  <c r="U29" i="3"/>
  <c r="R29" i="3"/>
  <c r="M29" i="3"/>
  <c r="EI28" i="3"/>
  <c r="EG28" i="3"/>
  <c r="ED28" i="3"/>
  <c r="EB28" i="3"/>
  <c r="DY28" i="3"/>
  <c r="DW28" i="3"/>
  <c r="DT28" i="3"/>
  <c r="DR28" i="3"/>
  <c r="DO28" i="3"/>
  <c r="DJ28" i="3"/>
  <c r="DE28" i="3"/>
  <c r="CZ28" i="3"/>
  <c r="CU28" i="3"/>
  <c r="CS28" i="3"/>
  <c r="CT28" i="3" s="1"/>
  <c r="CP28" i="3"/>
  <c r="CK28" i="3"/>
  <c r="CI28" i="3"/>
  <c r="CJ28" i="3" s="1"/>
  <c r="CF28" i="3"/>
  <c r="BS28" i="3"/>
  <c r="BR28" i="3"/>
  <c r="BO28" i="3"/>
  <c r="BM28" i="3"/>
  <c r="BJ28" i="3"/>
  <c r="BE28" i="3"/>
  <c r="AZ28" i="3"/>
  <c r="AV28" i="3"/>
  <c r="AU28" i="3"/>
  <c r="AT28" i="3"/>
  <c r="AQ28" i="3"/>
  <c r="AO28" i="3"/>
  <c r="AL28" i="3"/>
  <c r="AG28" i="3"/>
  <c r="AE28" i="3"/>
  <c r="AB28" i="3"/>
  <c r="W28" i="3"/>
  <c r="U28" i="3"/>
  <c r="R28" i="3"/>
  <c r="M28" i="3"/>
  <c r="EI27" i="3"/>
  <c r="EG27" i="3"/>
  <c r="ED27" i="3"/>
  <c r="EB27" i="3"/>
  <c r="DY27" i="3"/>
  <c r="DW27" i="3"/>
  <c r="DT27" i="3"/>
  <c r="DR27" i="3"/>
  <c r="DO27" i="3"/>
  <c r="DJ27" i="3"/>
  <c r="DE27" i="3"/>
  <c r="CZ27" i="3"/>
  <c r="CU27" i="3"/>
  <c r="CT27" i="3"/>
  <c r="CS27" i="3"/>
  <c r="CP27" i="3"/>
  <c r="CK27" i="3"/>
  <c r="CI27" i="3"/>
  <c r="CJ27" i="3" s="1"/>
  <c r="CF27" i="3"/>
  <c r="BS27" i="3"/>
  <c r="BR27" i="3"/>
  <c r="BO27" i="3"/>
  <c r="BM27" i="3"/>
  <c r="BJ27" i="3"/>
  <c r="BE27" i="3"/>
  <c r="AZ27" i="3"/>
  <c r="AX27" i="3"/>
  <c r="AV27" i="3"/>
  <c r="AU27" i="3"/>
  <c r="AT27" i="3"/>
  <c r="AQ27" i="3"/>
  <c r="AO27" i="3"/>
  <c r="AL27" i="3"/>
  <c r="AG27" i="3"/>
  <c r="AE27" i="3"/>
  <c r="AB27" i="3"/>
  <c r="W27" i="3"/>
  <c r="U27" i="3"/>
  <c r="R27" i="3"/>
  <c r="M27" i="3"/>
  <c r="EI26" i="3"/>
  <c r="EG26" i="3"/>
  <c r="ED26" i="3"/>
  <c r="EB26" i="3"/>
  <c r="DY26" i="3"/>
  <c r="DW26" i="3"/>
  <c r="DT26" i="3"/>
  <c r="DR26" i="3"/>
  <c r="DO26" i="3"/>
  <c r="DJ26" i="3"/>
  <c r="DE26" i="3"/>
  <c r="CZ26" i="3"/>
  <c r="CU26" i="3"/>
  <c r="CT26" i="3"/>
  <c r="CS26" i="3"/>
  <c r="CP26" i="3"/>
  <c r="CK26" i="3"/>
  <c r="CJ26" i="3"/>
  <c r="CI26" i="3"/>
  <c r="CF26" i="3"/>
  <c r="BS26" i="3"/>
  <c r="BR26" i="3"/>
  <c r="BO26" i="3"/>
  <c r="BM26" i="3"/>
  <c r="BJ26" i="3"/>
  <c r="BE26" i="3"/>
  <c r="AZ26" i="3"/>
  <c r="AV26" i="3"/>
  <c r="AX26" i="3" s="1"/>
  <c r="AU26" i="3"/>
  <c r="AW26" i="3" s="1"/>
  <c r="AT26" i="3"/>
  <c r="AQ26" i="3"/>
  <c r="AO26" i="3"/>
  <c r="AL26" i="3"/>
  <c r="AG26" i="3"/>
  <c r="AE26" i="3"/>
  <c r="AB26" i="3"/>
  <c r="W26" i="3"/>
  <c r="U26" i="3"/>
  <c r="R26" i="3"/>
  <c r="M26" i="3"/>
  <c r="EI25" i="3"/>
  <c r="EG25" i="3"/>
  <c r="ED25" i="3"/>
  <c r="EB25" i="3"/>
  <c r="DY25" i="3"/>
  <c r="DW25" i="3"/>
  <c r="DT25" i="3"/>
  <c r="DR25" i="3"/>
  <c r="DO25" i="3"/>
  <c r="DJ25" i="3"/>
  <c r="DE25" i="3"/>
  <c r="CZ25" i="3"/>
  <c r="CU25" i="3"/>
  <c r="CS25" i="3"/>
  <c r="CT25" i="3" s="1"/>
  <c r="CP25" i="3"/>
  <c r="CK25" i="3"/>
  <c r="CJ25" i="3"/>
  <c r="CI25" i="3"/>
  <c r="CF25" i="3"/>
  <c r="BS25" i="3"/>
  <c r="BR25" i="3"/>
  <c r="BO25" i="3"/>
  <c r="BM25" i="3"/>
  <c r="BJ25" i="3"/>
  <c r="BE25" i="3"/>
  <c r="AZ25" i="3"/>
  <c r="AV25" i="3"/>
  <c r="AU25" i="3"/>
  <c r="AT25" i="3"/>
  <c r="AW25" i="3" s="1"/>
  <c r="AQ25" i="3"/>
  <c r="AO25" i="3"/>
  <c r="AL25" i="3"/>
  <c r="AG25" i="3"/>
  <c r="AE25" i="3"/>
  <c r="AB25" i="3"/>
  <c r="W25" i="3"/>
  <c r="U25" i="3"/>
  <c r="R25" i="3"/>
  <c r="M25" i="3"/>
  <c r="EI24" i="3"/>
  <c r="EG24" i="3"/>
  <c r="ED24" i="3"/>
  <c r="EB24" i="3"/>
  <c r="DY24" i="3"/>
  <c r="DW24" i="3"/>
  <c r="DT24" i="3"/>
  <c r="DR24" i="3"/>
  <c r="DO24" i="3"/>
  <c r="DJ24" i="3"/>
  <c r="DE24" i="3"/>
  <c r="CZ24" i="3"/>
  <c r="CU24" i="3"/>
  <c r="CS24" i="3"/>
  <c r="CT24" i="3" s="1"/>
  <c r="CP24" i="3"/>
  <c r="CK24" i="3"/>
  <c r="CI24" i="3"/>
  <c r="CJ24" i="3" s="1"/>
  <c r="CF24" i="3"/>
  <c r="BS24" i="3"/>
  <c r="BR24" i="3"/>
  <c r="BO24" i="3"/>
  <c r="BM24" i="3"/>
  <c r="BJ24" i="3"/>
  <c r="BE24" i="3"/>
  <c r="AZ24" i="3"/>
  <c r="AV24" i="3"/>
  <c r="BC24" i="3" s="1"/>
  <c r="AU24" i="3"/>
  <c r="AT24" i="3"/>
  <c r="AQ24" i="3"/>
  <c r="AO24" i="3"/>
  <c r="AL24" i="3"/>
  <c r="AG24" i="3"/>
  <c r="AE24" i="3"/>
  <c r="AB24" i="3"/>
  <c r="W24" i="3"/>
  <c r="U24" i="3"/>
  <c r="R24" i="3"/>
  <c r="M24" i="3"/>
  <c r="EI23" i="3"/>
  <c r="EG23" i="3"/>
  <c r="ED23" i="3"/>
  <c r="EB23" i="3"/>
  <c r="DY23" i="3"/>
  <c r="DW23" i="3"/>
  <c r="DT23" i="3"/>
  <c r="DR23" i="3"/>
  <c r="DO23" i="3"/>
  <c r="DJ23" i="3"/>
  <c r="DE23" i="3"/>
  <c r="CZ23" i="3"/>
  <c r="CU23" i="3"/>
  <c r="CS23" i="3"/>
  <c r="CT23" i="3" s="1"/>
  <c r="CP23" i="3"/>
  <c r="CK23" i="3"/>
  <c r="CI23" i="3"/>
  <c r="CJ23" i="3" s="1"/>
  <c r="CF23" i="3"/>
  <c r="BS23" i="3"/>
  <c r="BR23" i="3"/>
  <c r="BO23" i="3"/>
  <c r="BM23" i="3"/>
  <c r="BJ23" i="3"/>
  <c r="BE23" i="3"/>
  <c r="AZ23" i="3"/>
  <c r="AV23" i="3"/>
  <c r="AU23" i="3"/>
  <c r="AW23" i="3" s="1"/>
  <c r="AT23" i="3"/>
  <c r="AQ23" i="3"/>
  <c r="AO23" i="3"/>
  <c r="AL23" i="3"/>
  <c r="AG23" i="3"/>
  <c r="AE23" i="3"/>
  <c r="AB23" i="3"/>
  <c r="W23" i="3"/>
  <c r="U23" i="3"/>
  <c r="R23" i="3"/>
  <c r="M23" i="3"/>
  <c r="EI22" i="3"/>
  <c r="EG22" i="3"/>
  <c r="ED22" i="3"/>
  <c r="EB22" i="3"/>
  <c r="DY22" i="3"/>
  <c r="DW22" i="3"/>
  <c r="DT22" i="3"/>
  <c r="DR22" i="3"/>
  <c r="DO22" i="3"/>
  <c r="DJ22" i="3"/>
  <c r="DE22" i="3"/>
  <c r="CZ22" i="3"/>
  <c r="CU22" i="3"/>
  <c r="CS22" i="3"/>
  <c r="CT22" i="3" s="1"/>
  <c r="CP22" i="3"/>
  <c r="CK22" i="3"/>
  <c r="CI22" i="3"/>
  <c r="CJ22" i="3" s="1"/>
  <c r="CF22" i="3"/>
  <c r="BS22" i="3"/>
  <c r="BR22" i="3"/>
  <c r="BO22" i="3"/>
  <c r="BM22" i="3"/>
  <c r="BJ22" i="3"/>
  <c r="BE22" i="3"/>
  <c r="AZ22" i="3"/>
  <c r="AV22" i="3"/>
  <c r="AX22" i="3" s="1"/>
  <c r="AU22" i="3"/>
  <c r="AT22" i="3"/>
  <c r="AQ22" i="3"/>
  <c r="AO22" i="3"/>
  <c r="AL22" i="3"/>
  <c r="AG22" i="3"/>
  <c r="AE22" i="3"/>
  <c r="AB22" i="3"/>
  <c r="W22" i="3"/>
  <c r="U22" i="3"/>
  <c r="R22" i="3"/>
  <c r="M22" i="3"/>
  <c r="EI21" i="3"/>
  <c r="EG21" i="3"/>
  <c r="ED21" i="3"/>
  <c r="EB21" i="3"/>
  <c r="DY21" i="3"/>
  <c r="DW21" i="3"/>
  <c r="DT21" i="3"/>
  <c r="DR21" i="3"/>
  <c r="DO21" i="3"/>
  <c r="DJ21" i="3"/>
  <c r="DE21" i="3"/>
  <c r="CZ21" i="3"/>
  <c r="CU21" i="3"/>
  <c r="CS21" i="3"/>
  <c r="CT21" i="3" s="1"/>
  <c r="CP21" i="3"/>
  <c r="CK21" i="3"/>
  <c r="CI21" i="3"/>
  <c r="CJ21" i="3" s="1"/>
  <c r="CF21" i="3"/>
  <c r="BS21" i="3"/>
  <c r="BR21" i="3"/>
  <c r="BO21" i="3"/>
  <c r="BM21" i="3"/>
  <c r="BJ21" i="3"/>
  <c r="BE21" i="3"/>
  <c r="AZ21" i="3"/>
  <c r="AV21" i="3"/>
  <c r="AU21" i="3"/>
  <c r="AT21" i="3"/>
  <c r="AW21" i="3" s="1"/>
  <c r="AQ21" i="3"/>
  <c r="AO21" i="3"/>
  <c r="AL21" i="3"/>
  <c r="AG21" i="3"/>
  <c r="AE21" i="3"/>
  <c r="AB21" i="3"/>
  <c r="W21" i="3"/>
  <c r="U21" i="3"/>
  <c r="R21" i="3"/>
  <c r="M21" i="3"/>
  <c r="EI20" i="3"/>
  <c r="EG20" i="3"/>
  <c r="ED20" i="3"/>
  <c r="EB20" i="3"/>
  <c r="DY20" i="3"/>
  <c r="DW20" i="3"/>
  <c r="DT20" i="3"/>
  <c r="DR20" i="3"/>
  <c r="DO20" i="3"/>
  <c r="DJ20" i="3"/>
  <c r="DE20" i="3"/>
  <c r="CZ20" i="3"/>
  <c r="CU20" i="3"/>
  <c r="CT20" i="3"/>
  <c r="CS20" i="3"/>
  <c r="CP20" i="3"/>
  <c r="CK20" i="3"/>
  <c r="CI20" i="3"/>
  <c r="CJ20" i="3" s="1"/>
  <c r="CF20" i="3"/>
  <c r="BY20" i="3"/>
  <c r="EY20" i="3" s="1"/>
  <c r="BS20" i="3"/>
  <c r="BR20" i="3"/>
  <c r="BO20" i="3"/>
  <c r="BM20" i="3"/>
  <c r="BJ20" i="3"/>
  <c r="BE20" i="3"/>
  <c r="AZ20" i="3"/>
  <c r="AV20" i="3"/>
  <c r="AU20" i="3"/>
  <c r="AT20" i="3"/>
  <c r="AQ20" i="3"/>
  <c r="AO20" i="3"/>
  <c r="AL20" i="3"/>
  <c r="AG20" i="3"/>
  <c r="AE20" i="3"/>
  <c r="AB20" i="3"/>
  <c r="W20" i="3"/>
  <c r="U20" i="3"/>
  <c r="R20" i="3"/>
  <c r="M20" i="3"/>
  <c r="EI19" i="3"/>
  <c r="EG19" i="3"/>
  <c r="ED19" i="3"/>
  <c r="EB19" i="3"/>
  <c r="DY19" i="3"/>
  <c r="DW19" i="3"/>
  <c r="DT19" i="3"/>
  <c r="DR19" i="3"/>
  <c r="DO19" i="3"/>
  <c r="DJ19" i="3"/>
  <c r="DE19" i="3"/>
  <c r="CZ19" i="3"/>
  <c r="CU19" i="3"/>
  <c r="CT19" i="3"/>
  <c r="CS19" i="3"/>
  <c r="CP19" i="3"/>
  <c r="CK19" i="3"/>
  <c r="CJ19" i="3"/>
  <c r="CI19" i="3"/>
  <c r="CF19" i="3"/>
  <c r="BY19" i="3"/>
  <c r="BS19" i="3"/>
  <c r="BR19" i="3"/>
  <c r="BO19" i="3"/>
  <c r="BM19" i="3"/>
  <c r="BJ19" i="3"/>
  <c r="BE19" i="3"/>
  <c r="AZ19" i="3"/>
  <c r="AV19" i="3"/>
  <c r="AU19" i="3"/>
  <c r="BC19" i="3" s="1"/>
  <c r="AT19" i="3"/>
  <c r="AQ19" i="3"/>
  <c r="AO19" i="3"/>
  <c r="AL19" i="3"/>
  <c r="AG19" i="3"/>
  <c r="AE19" i="3"/>
  <c r="AB19" i="3"/>
  <c r="W19" i="3"/>
  <c r="U19" i="3"/>
  <c r="R19" i="3"/>
  <c r="M19" i="3"/>
  <c r="EI18" i="3"/>
  <c r="EG18" i="3"/>
  <c r="ED18" i="3"/>
  <c r="EB18" i="3"/>
  <c r="DY18" i="3"/>
  <c r="DW18" i="3"/>
  <c r="DT18" i="3"/>
  <c r="DR18" i="3"/>
  <c r="DO18" i="3"/>
  <c r="DJ18" i="3"/>
  <c r="DE18" i="3"/>
  <c r="CZ18" i="3"/>
  <c r="CU18" i="3"/>
  <c r="CS18" i="3"/>
  <c r="CT18" i="3" s="1"/>
  <c r="CP18" i="3"/>
  <c r="CK18" i="3"/>
  <c r="CI18" i="3"/>
  <c r="CJ18" i="3" s="1"/>
  <c r="CF18" i="3"/>
  <c r="BY18" i="3"/>
  <c r="BZ18" i="3" s="1"/>
  <c r="BS18" i="3"/>
  <c r="BR18" i="3"/>
  <c r="BO18" i="3"/>
  <c r="BM18" i="3"/>
  <c r="BJ18" i="3"/>
  <c r="BE18" i="3"/>
  <c r="AZ18" i="3"/>
  <c r="AV18" i="3"/>
  <c r="AU18" i="3"/>
  <c r="BC18" i="3" s="1"/>
  <c r="AT18" i="3"/>
  <c r="AQ18" i="3"/>
  <c r="AO18" i="3"/>
  <c r="AL18" i="3"/>
  <c r="AG18" i="3"/>
  <c r="AE18" i="3"/>
  <c r="AB18" i="3"/>
  <c r="W18" i="3"/>
  <c r="U18" i="3"/>
  <c r="R18" i="3"/>
  <c r="M18" i="3"/>
  <c r="EY17" i="3"/>
  <c r="EI17" i="3"/>
  <c r="EG17" i="3"/>
  <c r="ED17" i="3"/>
  <c r="EB17" i="3"/>
  <c r="DY17" i="3"/>
  <c r="DW17" i="3"/>
  <c r="DT17" i="3"/>
  <c r="DR17" i="3"/>
  <c r="DO17" i="3"/>
  <c r="DJ17" i="3"/>
  <c r="DE17" i="3"/>
  <c r="CZ17" i="3"/>
  <c r="CU17" i="3"/>
  <c r="CT17" i="3"/>
  <c r="CS17" i="3"/>
  <c r="CP17" i="3"/>
  <c r="CK17" i="3"/>
  <c r="CJ17" i="3"/>
  <c r="CI17" i="3"/>
  <c r="CF17" i="3"/>
  <c r="BY17" i="3"/>
  <c r="BZ17" i="3" s="1"/>
  <c r="BS17" i="3"/>
  <c r="BR17" i="3"/>
  <c r="BO17" i="3"/>
  <c r="BM17" i="3"/>
  <c r="BJ17" i="3"/>
  <c r="BE17" i="3"/>
  <c r="AZ17" i="3"/>
  <c r="AV17" i="3"/>
  <c r="AU17" i="3"/>
  <c r="AT17" i="3"/>
  <c r="BC17" i="3" s="1"/>
  <c r="AQ17" i="3"/>
  <c r="AO17" i="3"/>
  <c r="AL17" i="3"/>
  <c r="AG17" i="3"/>
  <c r="AE17" i="3"/>
  <c r="AB17" i="3"/>
  <c r="W17" i="3"/>
  <c r="U17" i="3"/>
  <c r="R17" i="3"/>
  <c r="M17" i="3"/>
  <c r="EI16" i="3"/>
  <c r="EG16" i="3"/>
  <c r="ED16" i="3"/>
  <c r="EB16" i="3"/>
  <c r="DY16" i="3"/>
  <c r="DW16" i="3"/>
  <c r="DT16" i="3"/>
  <c r="DR16" i="3"/>
  <c r="DO16" i="3"/>
  <c r="DJ16" i="3"/>
  <c r="DE16" i="3"/>
  <c r="CZ16" i="3"/>
  <c r="CU16" i="3"/>
  <c r="CT16" i="3"/>
  <c r="CS16" i="3"/>
  <c r="CP16" i="3"/>
  <c r="CK16" i="3"/>
  <c r="CJ16" i="3"/>
  <c r="CI16" i="3"/>
  <c r="CF16" i="3"/>
  <c r="BY16" i="3"/>
  <c r="BZ16" i="3" s="1"/>
  <c r="BS16" i="3"/>
  <c r="BR16" i="3"/>
  <c r="BO16" i="3"/>
  <c r="BM16" i="3"/>
  <c r="BJ16" i="3"/>
  <c r="BE16" i="3"/>
  <c r="AZ16" i="3"/>
  <c r="AV16" i="3"/>
  <c r="AU16" i="3"/>
  <c r="BC16" i="3" s="1"/>
  <c r="AT16" i="3"/>
  <c r="AQ16" i="3"/>
  <c r="AO16" i="3"/>
  <c r="AL16" i="3"/>
  <c r="AG16" i="3"/>
  <c r="AE16" i="3"/>
  <c r="AB16" i="3"/>
  <c r="W16" i="3"/>
  <c r="U16" i="3"/>
  <c r="R16" i="3"/>
  <c r="M16" i="3"/>
  <c r="EI15" i="3"/>
  <c r="EG15" i="3"/>
  <c r="ED15" i="3"/>
  <c r="EB15" i="3"/>
  <c r="DY15" i="3"/>
  <c r="DW15" i="3"/>
  <c r="DT15" i="3"/>
  <c r="DR15" i="3"/>
  <c r="DO15" i="3"/>
  <c r="DJ15" i="3"/>
  <c r="DE15" i="3"/>
  <c r="CZ15" i="3"/>
  <c r="CU15" i="3"/>
  <c r="CT15" i="3"/>
  <c r="CS15" i="3"/>
  <c r="CP15" i="3"/>
  <c r="CK15" i="3"/>
  <c r="CJ15" i="3"/>
  <c r="CI15" i="3"/>
  <c r="CF15" i="3"/>
  <c r="BY15" i="3"/>
  <c r="BZ15" i="3" s="1"/>
  <c r="BS15" i="3"/>
  <c r="BR15" i="3"/>
  <c r="BO15" i="3"/>
  <c r="BM15" i="3"/>
  <c r="BJ15" i="3"/>
  <c r="BE15" i="3"/>
  <c r="AZ15" i="3"/>
  <c r="AV15" i="3"/>
  <c r="AU15" i="3"/>
  <c r="AT15" i="3"/>
  <c r="BC15" i="3" s="1"/>
  <c r="AQ15" i="3"/>
  <c r="AO15" i="3"/>
  <c r="AL15" i="3"/>
  <c r="AG15" i="3"/>
  <c r="AE15" i="3"/>
  <c r="AB15" i="3"/>
  <c r="W15" i="3"/>
  <c r="U15" i="3"/>
  <c r="R15" i="3"/>
  <c r="M15" i="3"/>
  <c r="EI14" i="3"/>
  <c r="EG14" i="3"/>
  <c r="ED14" i="3"/>
  <c r="EB14" i="3"/>
  <c r="DY14" i="3"/>
  <c r="DW14" i="3"/>
  <c r="DT14" i="3"/>
  <c r="DR14" i="3"/>
  <c r="DO14" i="3"/>
  <c r="DJ14" i="3"/>
  <c r="DE14" i="3"/>
  <c r="CZ14" i="3"/>
  <c r="CU14" i="3"/>
  <c r="CS14" i="3"/>
  <c r="CT14" i="3" s="1"/>
  <c r="CP14" i="3"/>
  <c r="CK14" i="3"/>
  <c r="CI14" i="3"/>
  <c r="CJ14" i="3" s="1"/>
  <c r="CF14" i="3"/>
  <c r="BY14" i="3"/>
  <c r="BS14" i="3"/>
  <c r="BR14" i="3"/>
  <c r="BO14" i="3"/>
  <c r="BM14" i="3"/>
  <c r="BJ14" i="3"/>
  <c r="BE14" i="3"/>
  <c r="AZ14" i="3"/>
  <c r="AV14" i="3"/>
  <c r="AU14" i="3"/>
  <c r="AT14" i="3"/>
  <c r="AW14" i="3" s="1"/>
  <c r="AQ14" i="3"/>
  <c r="AO14" i="3"/>
  <c r="AL14" i="3"/>
  <c r="AG14" i="3"/>
  <c r="AE14" i="3"/>
  <c r="AB14" i="3"/>
  <c r="W14" i="3"/>
  <c r="U14" i="3"/>
  <c r="R14" i="3"/>
  <c r="M14" i="3"/>
  <c r="EI13" i="3"/>
  <c r="EG13" i="3"/>
  <c r="ED13" i="3"/>
  <c r="EB13" i="3"/>
  <c r="DY13" i="3"/>
  <c r="DW13" i="3"/>
  <c r="DT13" i="3"/>
  <c r="DR13" i="3"/>
  <c r="DO13" i="3"/>
  <c r="DJ13" i="3"/>
  <c r="DE13" i="3"/>
  <c r="CZ13" i="3"/>
  <c r="CU13" i="3"/>
  <c r="CS13" i="3"/>
  <c r="CT13" i="3" s="1"/>
  <c r="CP13" i="3"/>
  <c r="CK13" i="3"/>
  <c r="CI13" i="3"/>
  <c r="CJ13" i="3" s="1"/>
  <c r="CF13" i="3"/>
  <c r="BY13" i="3"/>
  <c r="EY13" i="3" s="1"/>
  <c r="BS13" i="3"/>
  <c r="BR13" i="3"/>
  <c r="BO13" i="3"/>
  <c r="BM13" i="3"/>
  <c r="BJ13" i="3"/>
  <c r="BE13" i="3"/>
  <c r="BC13" i="3"/>
  <c r="AZ13" i="3"/>
  <c r="AV13" i="3"/>
  <c r="AU13" i="3"/>
  <c r="AT13" i="3"/>
  <c r="AQ13" i="3"/>
  <c r="AO13" i="3"/>
  <c r="AL13" i="3"/>
  <c r="AG13" i="3"/>
  <c r="AE13" i="3"/>
  <c r="AB13" i="3"/>
  <c r="W13" i="3"/>
  <c r="U13" i="3"/>
  <c r="R13" i="3"/>
  <c r="M13" i="3"/>
  <c r="EI12" i="3"/>
  <c r="EG12" i="3"/>
  <c r="ED12" i="3"/>
  <c r="EB12" i="3"/>
  <c r="DY12" i="3"/>
  <c r="DW12" i="3"/>
  <c r="DT12" i="3"/>
  <c r="DR12" i="3"/>
  <c r="DO12" i="3"/>
  <c r="DJ12" i="3"/>
  <c r="DE12" i="3"/>
  <c r="CZ12" i="3"/>
  <c r="CU12" i="3"/>
  <c r="CS12" i="3"/>
  <c r="CT12" i="3" s="1"/>
  <c r="CP12" i="3"/>
  <c r="CK12" i="3"/>
  <c r="CI12" i="3"/>
  <c r="CJ12" i="3" s="1"/>
  <c r="CF12" i="3"/>
  <c r="BY12" i="3"/>
  <c r="BZ12" i="3" s="1"/>
  <c r="BS12" i="3"/>
  <c r="BR12" i="3"/>
  <c r="BO12" i="3"/>
  <c r="BM12" i="3"/>
  <c r="BJ12" i="3"/>
  <c r="BE12" i="3"/>
  <c r="AZ12" i="3"/>
  <c r="AW12" i="3"/>
  <c r="AV12" i="3"/>
  <c r="AU12" i="3"/>
  <c r="AT12" i="3"/>
  <c r="AQ12" i="3"/>
  <c r="AO12" i="3"/>
  <c r="AL12" i="3"/>
  <c r="AG12" i="3"/>
  <c r="AE12" i="3"/>
  <c r="AB12" i="3"/>
  <c r="W12" i="3"/>
  <c r="U12" i="3"/>
  <c r="R12" i="3"/>
  <c r="M12" i="3"/>
  <c r="EI11" i="3"/>
  <c r="EG11" i="3"/>
  <c r="ED11" i="3"/>
  <c r="EB11" i="3"/>
  <c r="DY11" i="3"/>
  <c r="DW11" i="3"/>
  <c r="DT11" i="3"/>
  <c r="DR11" i="3"/>
  <c r="DO11" i="3"/>
  <c r="DJ11" i="3"/>
  <c r="DE11" i="3"/>
  <c r="CZ11" i="3"/>
  <c r="CU11" i="3"/>
  <c r="CT11" i="3"/>
  <c r="CS11" i="3"/>
  <c r="CP11" i="3"/>
  <c r="CK11" i="3"/>
  <c r="CJ11" i="3"/>
  <c r="CI11" i="3"/>
  <c r="CF11" i="3"/>
  <c r="BY11" i="3"/>
  <c r="EY11" i="3" s="1"/>
  <c r="BS11" i="3"/>
  <c r="BR11" i="3"/>
  <c r="BO11" i="3"/>
  <c r="BM11" i="3"/>
  <c r="BJ11" i="3"/>
  <c r="BE11" i="3"/>
  <c r="AZ11" i="3"/>
  <c r="AX11" i="3"/>
  <c r="AV11" i="3"/>
  <c r="AU11" i="3"/>
  <c r="AT11" i="3"/>
  <c r="AQ11" i="3"/>
  <c r="AO11" i="3"/>
  <c r="AL11" i="3"/>
  <c r="AG11" i="3"/>
  <c r="AE11" i="3"/>
  <c r="AB11" i="3"/>
  <c r="W11" i="3"/>
  <c r="U11" i="3"/>
  <c r="R11" i="3"/>
  <c r="M11" i="3"/>
  <c r="EI10" i="3"/>
  <c r="EG10" i="3"/>
  <c r="ED10" i="3"/>
  <c r="EB10" i="3"/>
  <c r="DY10" i="3"/>
  <c r="DW10" i="3"/>
  <c r="DT10" i="3"/>
  <c r="DR10" i="3"/>
  <c r="DO10" i="3"/>
  <c r="DJ10" i="3"/>
  <c r="DE10" i="3"/>
  <c r="CZ10" i="3"/>
  <c r="CU10" i="3"/>
  <c r="CS10" i="3"/>
  <c r="CT10" i="3" s="1"/>
  <c r="CP10" i="3"/>
  <c r="CK10" i="3"/>
  <c r="CI10" i="3"/>
  <c r="CJ10" i="3" s="1"/>
  <c r="CF10" i="3"/>
  <c r="BY10" i="3"/>
  <c r="BZ10" i="3" s="1"/>
  <c r="BS10" i="3"/>
  <c r="BR10" i="3"/>
  <c r="BO10" i="3"/>
  <c r="BM10" i="3"/>
  <c r="BJ10" i="3"/>
  <c r="BE10" i="3"/>
  <c r="AZ10" i="3"/>
  <c r="AW10" i="3"/>
  <c r="AV10" i="3"/>
  <c r="AU10" i="3"/>
  <c r="AT10" i="3"/>
  <c r="AQ10" i="3"/>
  <c r="AO10" i="3"/>
  <c r="AL10" i="3"/>
  <c r="AG10" i="3"/>
  <c r="AE10" i="3"/>
  <c r="AB10" i="3"/>
  <c r="W10" i="3"/>
  <c r="U10" i="3"/>
  <c r="R10" i="3"/>
  <c r="M10" i="3"/>
  <c r="EI9" i="3"/>
  <c r="EG9" i="3"/>
  <c r="ED9" i="3"/>
  <c r="EB9" i="3"/>
  <c r="DY9" i="3"/>
  <c r="DW9" i="3"/>
  <c r="DT9" i="3"/>
  <c r="DR9" i="3"/>
  <c r="DO9" i="3"/>
  <c r="DJ9" i="3"/>
  <c r="DE9" i="3"/>
  <c r="CZ9" i="3"/>
  <c r="CU9" i="3"/>
  <c r="CS9" i="3"/>
  <c r="CT9" i="3" s="1"/>
  <c r="CP9" i="3"/>
  <c r="CK9" i="3"/>
  <c r="CI9" i="3"/>
  <c r="CJ9" i="3" s="1"/>
  <c r="CF9" i="3"/>
  <c r="BY9" i="3"/>
  <c r="BZ9" i="3" s="1"/>
  <c r="BS9" i="3"/>
  <c r="BR9" i="3"/>
  <c r="BO9" i="3"/>
  <c r="BM9" i="3"/>
  <c r="BJ9" i="3"/>
  <c r="BE9" i="3"/>
  <c r="AZ9" i="3"/>
  <c r="AV9" i="3"/>
  <c r="AU9" i="3"/>
  <c r="AT9" i="3"/>
  <c r="AQ9" i="3"/>
  <c r="AO9" i="3"/>
  <c r="AL9" i="3"/>
  <c r="AG9" i="3"/>
  <c r="AE9" i="3"/>
  <c r="AB9" i="3"/>
  <c r="W9" i="3"/>
  <c r="U9" i="3"/>
  <c r="R9" i="3"/>
  <c r="M9" i="3"/>
  <c r="EI8" i="3"/>
  <c r="EG8" i="3"/>
  <c r="ED8" i="3"/>
  <c r="EB8" i="3"/>
  <c r="DY8" i="3"/>
  <c r="DW8" i="3"/>
  <c r="DT8" i="3"/>
  <c r="DR8" i="3"/>
  <c r="DO8" i="3"/>
  <c r="DJ8" i="3"/>
  <c r="DE8" i="3"/>
  <c r="CZ8" i="3"/>
  <c r="CU8" i="3"/>
  <c r="CT8" i="3"/>
  <c r="CS8" i="3"/>
  <c r="CP8" i="3"/>
  <c r="CK8" i="3"/>
  <c r="CJ8" i="3"/>
  <c r="CI8" i="3"/>
  <c r="CF8" i="3"/>
  <c r="BY8" i="3"/>
  <c r="BZ8" i="3" s="1"/>
  <c r="BS8" i="3"/>
  <c r="BR8" i="3"/>
  <c r="BO8" i="3"/>
  <c r="BM8" i="3"/>
  <c r="BJ8" i="3"/>
  <c r="BE8" i="3"/>
  <c r="AZ8" i="3"/>
  <c r="AV8" i="3"/>
  <c r="AU8" i="3"/>
  <c r="AW8" i="3" s="1"/>
  <c r="AT8" i="3"/>
  <c r="AQ8" i="3"/>
  <c r="AO8" i="3"/>
  <c r="AL8" i="3"/>
  <c r="AG8" i="3"/>
  <c r="AE8" i="3"/>
  <c r="AB8" i="3"/>
  <c r="W8" i="3"/>
  <c r="U8" i="3"/>
  <c r="R8" i="3"/>
  <c r="M8" i="3"/>
  <c r="EI7" i="3"/>
  <c r="EG7" i="3"/>
  <c r="ED7" i="3"/>
  <c r="EB7" i="3"/>
  <c r="DY7" i="3"/>
  <c r="DW7" i="3"/>
  <c r="DT7" i="3"/>
  <c r="DR7" i="3"/>
  <c r="DO7" i="3"/>
  <c r="DJ7" i="3"/>
  <c r="DE7" i="3"/>
  <c r="CZ7" i="3"/>
  <c r="CU7" i="3"/>
  <c r="CS7" i="3"/>
  <c r="CT7" i="3" s="1"/>
  <c r="CP7" i="3"/>
  <c r="CK7" i="3"/>
  <c r="CI7" i="3"/>
  <c r="CJ7" i="3" s="1"/>
  <c r="CF7" i="3"/>
  <c r="BY7" i="3"/>
  <c r="BZ7" i="3" s="1"/>
  <c r="BS7" i="3"/>
  <c r="BR7" i="3"/>
  <c r="BO7" i="3"/>
  <c r="BM7" i="3"/>
  <c r="BJ7" i="3"/>
  <c r="BE7" i="3"/>
  <c r="AZ7" i="3"/>
  <c r="AV7" i="3"/>
  <c r="AU7" i="3"/>
  <c r="AT7" i="3"/>
  <c r="AW7" i="3" s="1"/>
  <c r="AQ7" i="3"/>
  <c r="AO7" i="3"/>
  <c r="AL7" i="3"/>
  <c r="AG7" i="3"/>
  <c r="AE7" i="3"/>
  <c r="AB7" i="3"/>
  <c r="W7" i="3"/>
  <c r="U7" i="3"/>
  <c r="R7" i="3"/>
  <c r="M7" i="3"/>
  <c r="EI6" i="3"/>
  <c r="EG6" i="3"/>
  <c r="ED6" i="3"/>
  <c r="EB6" i="3"/>
  <c r="DY6" i="3"/>
  <c r="DW6" i="3"/>
  <c r="DT6" i="3"/>
  <c r="DR6" i="3"/>
  <c r="DO6" i="3"/>
  <c r="DJ6" i="3"/>
  <c r="DE6" i="3"/>
  <c r="CZ6" i="3"/>
  <c r="CU6" i="3"/>
  <c r="CS6" i="3"/>
  <c r="CT6" i="3" s="1"/>
  <c r="CP6" i="3"/>
  <c r="CK6" i="3"/>
  <c r="CI6" i="3"/>
  <c r="CJ6" i="3" s="1"/>
  <c r="CF6" i="3"/>
  <c r="BY6" i="3"/>
  <c r="BZ6" i="3" s="1"/>
  <c r="BS6" i="3"/>
  <c r="BR6" i="3"/>
  <c r="BO6" i="3"/>
  <c r="BM6" i="3"/>
  <c r="BJ6" i="3"/>
  <c r="BE6" i="3"/>
  <c r="AZ6" i="3"/>
  <c r="AV6" i="3"/>
  <c r="AX6" i="3" s="1"/>
  <c r="AU6" i="3"/>
  <c r="AT6" i="3"/>
  <c r="AQ6" i="3"/>
  <c r="AO6" i="3"/>
  <c r="AL6" i="3"/>
  <c r="AG6" i="3"/>
  <c r="AE6" i="3"/>
  <c r="AB6" i="3"/>
  <c r="W6" i="3"/>
  <c r="U6" i="3"/>
  <c r="R6" i="3"/>
  <c r="N6" i="3"/>
  <c r="DM6" i="3" s="1"/>
  <c r="DN6" i="3" s="1"/>
  <c r="M6" i="3"/>
  <c r="EI5" i="3"/>
  <c r="EG5" i="3"/>
  <c r="ED5" i="3"/>
  <c r="EB5" i="3"/>
  <c r="DY5" i="3"/>
  <c r="DW5" i="3"/>
  <c r="DT5" i="3"/>
  <c r="DR5" i="3"/>
  <c r="DO5" i="3"/>
  <c r="DJ5" i="3"/>
  <c r="DE5" i="3"/>
  <c r="CZ5" i="3"/>
  <c r="CU5" i="3"/>
  <c r="CS5" i="3"/>
  <c r="CT5" i="3" s="1"/>
  <c r="CP5" i="3"/>
  <c r="CK5" i="3"/>
  <c r="CI5" i="3"/>
  <c r="CJ5" i="3" s="1"/>
  <c r="CF5" i="3"/>
  <c r="BY5" i="3"/>
  <c r="EY5" i="3" s="1"/>
  <c r="BU5" i="3"/>
  <c r="EV5" i="3" s="1"/>
  <c r="BS5" i="3"/>
  <c r="BR5" i="3"/>
  <c r="BO5" i="3"/>
  <c r="BM5" i="3"/>
  <c r="BJ5" i="3"/>
  <c r="BE5" i="3"/>
  <c r="AZ5" i="3"/>
  <c r="AV5" i="3"/>
  <c r="AU5" i="3"/>
  <c r="AT5" i="3"/>
  <c r="AQ5" i="3"/>
  <c r="AO5" i="3"/>
  <c r="AP5" i="3" s="1"/>
  <c r="AL5" i="3"/>
  <c r="AG5" i="3"/>
  <c r="AE5" i="3"/>
  <c r="AB5" i="3"/>
  <c r="W5" i="3"/>
  <c r="U5" i="3"/>
  <c r="R5" i="3"/>
  <c r="M5" i="3"/>
  <c r="N5" i="3" s="1"/>
  <c r="EI4" i="3"/>
  <c r="EG4" i="3"/>
  <c r="ED4" i="3"/>
  <c r="EB4" i="3"/>
  <c r="DY4" i="3"/>
  <c r="DW4" i="3"/>
  <c r="DT4" i="3"/>
  <c r="DR4" i="3"/>
  <c r="DO4" i="3"/>
  <c r="DJ4" i="3"/>
  <c r="DE4" i="3"/>
  <c r="CZ4" i="3"/>
  <c r="CU4" i="3"/>
  <c r="CS4" i="3"/>
  <c r="CT4" i="3" s="1"/>
  <c r="CP4" i="3"/>
  <c r="CK4" i="3"/>
  <c r="CI4" i="3"/>
  <c r="CJ4" i="3" s="1"/>
  <c r="CF4" i="3"/>
  <c r="BY4" i="3"/>
  <c r="BZ4" i="3" s="1"/>
  <c r="BU4" i="3"/>
  <c r="EV4" i="3" s="1"/>
  <c r="BS4" i="3"/>
  <c r="BR4" i="3"/>
  <c r="BO4" i="3"/>
  <c r="BM4" i="3"/>
  <c r="BN4" i="3" s="1"/>
  <c r="BJ4" i="3"/>
  <c r="BE4" i="3"/>
  <c r="AZ4" i="3"/>
  <c r="AV4" i="3"/>
  <c r="AU4" i="3"/>
  <c r="AT4" i="3"/>
  <c r="AQ4" i="3"/>
  <c r="AP4" i="3"/>
  <c r="AO4" i="3"/>
  <c r="AL4" i="3"/>
  <c r="AG4" i="3"/>
  <c r="AF4" i="3"/>
  <c r="AE4" i="3"/>
  <c r="AB4" i="3"/>
  <c r="W4" i="3"/>
  <c r="V4" i="3"/>
  <c r="U4" i="3"/>
  <c r="R4" i="3"/>
  <c r="M4" i="3"/>
  <c r="N4" i="3" s="1"/>
  <c r="EI3" i="3"/>
  <c r="EG3" i="3"/>
  <c r="EH3" i="3" s="1"/>
  <c r="EK3" i="3" s="1"/>
  <c r="FI14" i="3" s="1"/>
  <c r="ED3" i="3"/>
  <c r="EB3" i="3"/>
  <c r="DY3" i="3"/>
  <c r="DW3" i="3"/>
  <c r="DX3" i="3" s="1"/>
  <c r="DT3" i="3"/>
  <c r="DR3" i="3"/>
  <c r="DO3" i="3"/>
  <c r="DJ3" i="3"/>
  <c r="DE3" i="3"/>
  <c r="CZ3" i="3"/>
  <c r="CU3" i="3"/>
  <c r="CT3" i="3"/>
  <c r="CS3" i="3"/>
  <c r="CP3" i="3"/>
  <c r="CK3" i="3"/>
  <c r="CI3" i="3"/>
  <c r="CJ3" i="3" s="1"/>
  <c r="CF3" i="3"/>
  <c r="CC3" i="3"/>
  <c r="EV22" i="3" s="1"/>
  <c r="BY3" i="3"/>
  <c r="EY3" i="3" s="1"/>
  <c r="BS3" i="3"/>
  <c r="BR3" i="3"/>
  <c r="BO3" i="3"/>
  <c r="BM3" i="3"/>
  <c r="BJ3" i="3"/>
  <c r="BE3" i="3"/>
  <c r="AZ3" i="3"/>
  <c r="AV3" i="3"/>
  <c r="AU3" i="3"/>
  <c r="AT3" i="3"/>
  <c r="AW3" i="3" s="1"/>
  <c r="AQ3" i="3"/>
  <c r="AO3" i="3"/>
  <c r="AP3" i="3" s="1"/>
  <c r="AL3" i="3"/>
  <c r="AG3" i="3"/>
  <c r="AE3" i="3"/>
  <c r="AB3" i="3"/>
  <c r="W3" i="3"/>
  <c r="U3" i="3"/>
  <c r="V3" i="3" s="1"/>
  <c r="R3" i="3"/>
  <c r="M3" i="3"/>
  <c r="N3" i="3" s="1"/>
  <c r="EU2" i="3"/>
  <c r="N2" i="3"/>
  <c r="N18" i="3" s="1"/>
  <c r="BX15" i="7" l="1"/>
  <c r="BX13" i="7"/>
  <c r="BX18" i="7"/>
  <c r="BX10" i="7"/>
  <c r="BX6" i="7"/>
  <c r="BX17" i="7"/>
  <c r="BX19" i="7"/>
  <c r="BX11" i="7"/>
  <c r="BX8" i="7"/>
  <c r="BX7" i="7"/>
  <c r="BX5" i="7"/>
  <c r="BX12" i="7"/>
  <c r="BX16" i="7"/>
  <c r="BX9" i="7"/>
  <c r="BX14" i="7"/>
  <c r="CM9" i="3"/>
  <c r="CM3" i="3"/>
  <c r="FJ14" i="3" s="1"/>
  <c r="DX9" i="3"/>
  <c r="EH9" i="3"/>
  <c r="AF10" i="3"/>
  <c r="BN12" i="3"/>
  <c r="BC87" i="3"/>
  <c r="AW87" i="3"/>
  <c r="BU10" i="3"/>
  <c r="EV10" i="3" s="1"/>
  <c r="AF5" i="3"/>
  <c r="V10" i="3"/>
  <c r="EH10" i="3"/>
  <c r="BC14" i="3"/>
  <c r="BZ19" i="3"/>
  <c r="EY19" i="3"/>
  <c r="BC25" i="3"/>
  <c r="BC54" i="3"/>
  <c r="AW84" i="3"/>
  <c r="BC86" i="3"/>
  <c r="AW86" i="3"/>
  <c r="AX102" i="3"/>
  <c r="BC102" i="3"/>
  <c r="AF9" i="3"/>
  <c r="AF3" i="3"/>
  <c r="AX3" i="3"/>
  <c r="BN10" i="3"/>
  <c r="EC3" i="3"/>
  <c r="BU3" i="3"/>
  <c r="EV3" i="3" s="1"/>
  <c r="BC5" i="3"/>
  <c r="DS5" i="3"/>
  <c r="EC5" i="3"/>
  <c r="DX7" i="3"/>
  <c r="EH7" i="3"/>
  <c r="V8" i="3"/>
  <c r="AX9" i="3"/>
  <c r="BN9" i="3"/>
  <c r="N10" i="3"/>
  <c r="AP10" i="3"/>
  <c r="AX10" i="3"/>
  <c r="AP11" i="3"/>
  <c r="AW11" i="3"/>
  <c r="N12" i="3"/>
  <c r="N13" i="3"/>
  <c r="P13" i="3" s="1"/>
  <c r="Q13" i="3" s="1"/>
  <c r="AP13" i="3"/>
  <c r="AW13" i="3"/>
  <c r="AX13" i="3"/>
  <c r="BC22" i="3"/>
  <c r="BC26" i="3"/>
  <c r="BC29" i="3"/>
  <c r="BC39" i="3"/>
  <c r="AW39" i="3"/>
  <c r="AW44" i="3"/>
  <c r="AX46" i="3"/>
  <c r="BC48" i="3"/>
  <c r="AW63" i="3"/>
  <c r="BC63" i="3"/>
  <c r="AW72" i="3"/>
  <c r="BC72" i="3"/>
  <c r="AX75" i="3"/>
  <c r="BC88" i="3"/>
  <c r="AW88" i="3"/>
  <c r="AX90" i="3"/>
  <c r="AX91" i="3"/>
  <c r="AX93" i="3"/>
  <c r="BC95" i="3"/>
  <c r="AX111" i="3"/>
  <c r="BC111" i="3"/>
  <c r="BC113" i="3"/>
  <c r="BN6" i="3"/>
  <c r="AF11" i="3"/>
  <c r="DS7" i="3"/>
  <c r="EC6" i="3"/>
  <c r="EY6" i="3"/>
  <c r="AP8" i="3"/>
  <c r="AX8" i="3"/>
  <c r="DX10" i="3"/>
  <c r="V11" i="3"/>
  <c r="BZ11" i="3"/>
  <c r="BC38" i="3"/>
  <c r="BC47" i="3"/>
  <c r="BC83" i="3"/>
  <c r="AW83" i="3"/>
  <c r="BC93" i="3"/>
  <c r="AW93" i="3"/>
  <c r="V9" i="3"/>
  <c r="AP9" i="3"/>
  <c r="BC4" i="3"/>
  <c r="DX4" i="3"/>
  <c r="EH4" i="3"/>
  <c r="V5" i="3"/>
  <c r="AX5" i="3"/>
  <c r="BZ5" i="3"/>
  <c r="AW6" i="3"/>
  <c r="N7" i="3"/>
  <c r="AX7" i="3"/>
  <c r="BN7" i="3"/>
  <c r="AF8" i="3"/>
  <c r="DS8" i="3"/>
  <c r="EC8" i="3"/>
  <c r="EY8" i="3"/>
  <c r="EY9" i="3"/>
  <c r="BC10" i="3"/>
  <c r="BC11" i="3"/>
  <c r="DS11" i="3"/>
  <c r="EC11" i="3"/>
  <c r="BC23" i="3"/>
  <c r="AW31" i="3"/>
  <c r="BC35" i="3"/>
  <c r="AW41" i="3"/>
  <c r="AW65" i="3"/>
  <c r="BC65" i="3"/>
  <c r="BC82" i="3"/>
  <c r="AW82" i="3"/>
  <c r="AX87" i="3"/>
  <c r="BC97" i="3"/>
  <c r="AW97" i="3"/>
  <c r="AW102" i="3"/>
  <c r="BC105" i="3"/>
  <c r="AW105" i="3"/>
  <c r="AX110" i="3"/>
  <c r="AW110" i="3"/>
  <c r="AX119" i="3"/>
  <c r="AX123" i="3"/>
  <c r="AW130" i="3"/>
  <c r="AF13" i="3"/>
  <c r="AX14" i="3"/>
  <c r="AX25" i="3"/>
  <c r="AW27" i="3"/>
  <c r="BC31" i="3"/>
  <c r="AW42" i="3"/>
  <c r="AX65" i="3"/>
  <c r="BC67" i="3"/>
  <c r="AX69" i="3"/>
  <c r="AW71" i="3"/>
  <c r="BC81" i="3"/>
  <c r="AW81" i="3"/>
  <c r="BC85" i="3"/>
  <c r="AW85" i="3"/>
  <c r="AX92" i="3"/>
  <c r="AW99" i="3"/>
  <c r="AW106" i="3"/>
  <c r="BC117" i="3"/>
  <c r="BC125" i="3"/>
  <c r="AW126" i="3"/>
  <c r="AX152" i="3"/>
  <c r="BC12" i="3"/>
  <c r="DX12" i="3"/>
  <c r="EH12" i="3"/>
  <c r="BN13" i="3"/>
  <c r="AX15" i="3"/>
  <c r="BC21" i="3"/>
  <c r="BC27" i="3"/>
  <c r="BC28" i="3"/>
  <c r="AW29" i="3"/>
  <c r="AW30" i="3"/>
  <c r="BC30" i="3"/>
  <c r="AX31" i="3"/>
  <c r="BC33" i="3"/>
  <c r="AX37" i="3"/>
  <c r="BC42" i="3"/>
  <c r="BC49" i="3"/>
  <c r="BC53" i="3"/>
  <c r="AX60" i="3"/>
  <c r="AW61" i="3"/>
  <c r="BC61" i="3"/>
  <c r="AW64" i="3"/>
  <c r="BC66" i="3"/>
  <c r="BC68" i="3"/>
  <c r="BC73" i="3"/>
  <c r="BC80" i="3"/>
  <c r="AW94" i="3"/>
  <c r="AW98" i="3"/>
  <c r="BC99" i="3"/>
  <c r="BC104" i="3"/>
  <c r="BC121" i="3"/>
  <c r="BC127" i="3"/>
  <c r="AW128" i="3"/>
  <c r="AW146" i="3"/>
  <c r="AX149" i="3"/>
  <c r="AX151" i="3"/>
  <c r="AW48" i="3"/>
  <c r="AW49" i="3"/>
  <c r="AW50" i="3"/>
  <c r="AW51" i="3"/>
  <c r="AW52" i="3"/>
  <c r="BC55" i="3"/>
  <c r="AX57" i="3"/>
  <c r="AW62" i="3"/>
  <c r="AX64" i="3"/>
  <c r="AW69" i="3"/>
  <c r="BC71" i="3"/>
  <c r="BC74" i="3"/>
  <c r="BC84" i="3"/>
  <c r="BC92" i="3"/>
  <c r="AW104" i="3"/>
  <c r="BC133" i="3"/>
  <c r="BC135" i="3"/>
  <c r="BC140" i="3"/>
  <c r="AW143" i="3"/>
  <c r="AX144" i="3"/>
  <c r="BC134" i="3"/>
  <c r="AX135" i="3"/>
  <c r="BC138" i="3"/>
  <c r="AW139" i="3"/>
  <c r="AX141" i="3"/>
  <c r="AX142" i="3"/>
  <c r="AX143" i="3"/>
  <c r="CC16" i="7"/>
  <c r="CE14" i="7"/>
  <c r="CG8" i="7"/>
  <c r="CE7" i="7"/>
  <c r="CA11" i="7"/>
  <c r="BY12" i="7"/>
  <c r="CC7" i="7"/>
  <c r="CG9" i="7"/>
  <c r="CA19" i="7"/>
  <c r="CE11" i="7"/>
  <c r="CA9" i="7"/>
  <c r="CC9" i="7"/>
  <c r="BY7" i="7"/>
  <c r="CE6" i="7"/>
  <c r="CG12" i="7"/>
  <c r="CE10" i="7"/>
  <c r="CC14" i="7"/>
  <c r="CE17" i="7"/>
  <c r="BY16" i="7"/>
  <c r="CA6" i="7"/>
  <c r="CG15" i="7"/>
  <c r="BY18" i="7"/>
  <c r="CM4" i="3"/>
  <c r="CM5" i="3"/>
  <c r="CD18" i="3"/>
  <c r="CE18" i="3" s="1"/>
  <c r="CN18" i="3"/>
  <c r="CO18" i="3" s="1"/>
  <c r="DM18" i="3"/>
  <c r="DN18" i="3" s="1"/>
  <c r="P18" i="3"/>
  <c r="Q18" i="3" s="1"/>
  <c r="DH18" i="3"/>
  <c r="DI18" i="3" s="1"/>
  <c r="Z18" i="3"/>
  <c r="AA18" i="3" s="1"/>
  <c r="DC18" i="3"/>
  <c r="DD18" i="3" s="1"/>
  <c r="CX18" i="3"/>
  <c r="CY18" i="3" s="1"/>
  <c r="BH18" i="3"/>
  <c r="BI18" i="3" s="1"/>
  <c r="AJ18" i="3"/>
  <c r="AK18" i="3" s="1"/>
  <c r="AJ12" i="3"/>
  <c r="AK12" i="3" s="1"/>
  <c r="Z12" i="3"/>
  <c r="AA12" i="3" s="1"/>
  <c r="P12" i="3"/>
  <c r="Q12" i="3" s="1"/>
  <c r="DH12" i="3"/>
  <c r="DI12" i="3" s="1"/>
  <c r="CX12" i="3"/>
  <c r="CY12" i="3" s="1"/>
  <c r="CN12" i="3"/>
  <c r="CO12" i="3" s="1"/>
  <c r="CD12" i="3"/>
  <c r="CE12" i="3" s="1"/>
  <c r="BH12" i="3"/>
  <c r="BI12" i="3" s="1"/>
  <c r="DM12" i="3"/>
  <c r="DN12" i="3" s="1"/>
  <c r="DC12" i="3"/>
  <c r="DD12" i="3" s="1"/>
  <c r="CX13" i="3"/>
  <c r="CY13" i="3" s="1"/>
  <c r="DH13" i="3"/>
  <c r="DI13" i="3" s="1"/>
  <c r="CN13" i="3"/>
  <c r="CO13" i="3" s="1"/>
  <c r="BH3" i="3"/>
  <c r="BI3" i="3" s="1"/>
  <c r="DH3" i="3"/>
  <c r="DI3" i="3" s="1"/>
  <c r="CN3" i="3"/>
  <c r="CO3" i="3" s="1"/>
  <c r="Z3" i="3"/>
  <c r="AA3" i="3" s="1"/>
  <c r="P3" i="3"/>
  <c r="Q3" i="3" s="1"/>
  <c r="AJ3" i="3"/>
  <c r="AK3" i="3" s="1"/>
  <c r="DM3" i="3"/>
  <c r="DN3" i="3" s="1"/>
  <c r="DC3" i="3"/>
  <c r="DD3" i="3" s="1"/>
  <c r="CX3" i="3"/>
  <c r="CY3" i="3" s="1"/>
  <c r="CD3" i="3"/>
  <c r="CE3" i="3" s="1"/>
  <c r="AJ4" i="3"/>
  <c r="AK4" i="3" s="1"/>
  <c r="Z4" i="3"/>
  <c r="AA4" i="3" s="1"/>
  <c r="P4" i="3"/>
  <c r="Q4" i="3" s="1"/>
  <c r="DH4" i="3"/>
  <c r="DI4" i="3" s="1"/>
  <c r="CX4" i="3"/>
  <c r="CY4" i="3" s="1"/>
  <c r="CN4" i="3"/>
  <c r="CO4" i="3" s="1"/>
  <c r="CD4" i="3"/>
  <c r="CE4" i="3" s="1"/>
  <c r="BH4" i="3"/>
  <c r="BI4" i="3" s="1"/>
  <c r="DM4" i="3"/>
  <c r="DN4" i="3" s="1"/>
  <c r="DC4" i="3"/>
  <c r="DD4" i="3" s="1"/>
  <c r="EK4" i="3"/>
  <c r="FI15" i="3" s="1"/>
  <c r="BH7" i="3"/>
  <c r="BI7" i="3" s="1"/>
  <c r="DM7" i="3"/>
  <c r="DN7" i="3" s="1"/>
  <c r="DC7" i="3"/>
  <c r="DD7" i="3" s="1"/>
  <c r="AJ7" i="3"/>
  <c r="AK7" i="3" s="1"/>
  <c r="Z7" i="3"/>
  <c r="AA7" i="3" s="1"/>
  <c r="P7" i="3"/>
  <c r="Q7" i="3" s="1"/>
  <c r="DH7" i="3"/>
  <c r="DI7" i="3" s="1"/>
  <c r="CX7" i="3"/>
  <c r="CY7" i="3" s="1"/>
  <c r="CN7" i="3"/>
  <c r="CO7" i="3" s="1"/>
  <c r="CD7" i="3"/>
  <c r="CE7" i="3" s="1"/>
  <c r="DH10" i="3"/>
  <c r="DI10" i="3" s="1"/>
  <c r="CX10" i="3"/>
  <c r="CY10" i="3" s="1"/>
  <c r="CN10" i="3"/>
  <c r="CO10" i="3" s="1"/>
  <c r="CD10" i="3"/>
  <c r="CE10" i="3" s="1"/>
  <c r="BH10" i="3"/>
  <c r="BI10" i="3" s="1"/>
  <c r="DM10" i="3"/>
  <c r="DN10" i="3" s="1"/>
  <c r="DC10" i="3"/>
  <c r="DD10" i="3" s="1"/>
  <c r="AJ10" i="3"/>
  <c r="AK10" i="3" s="1"/>
  <c r="Z10" i="3"/>
  <c r="AA10" i="3" s="1"/>
  <c r="P10" i="3"/>
  <c r="Q10" i="3" s="1"/>
  <c r="AJ5" i="3"/>
  <c r="AK5" i="3" s="1"/>
  <c r="Z5" i="3"/>
  <c r="AA5" i="3" s="1"/>
  <c r="P5" i="3"/>
  <c r="Q5" i="3" s="1"/>
  <c r="DH5" i="3"/>
  <c r="DI5" i="3" s="1"/>
  <c r="CX5" i="3"/>
  <c r="CY5" i="3" s="1"/>
  <c r="CN5" i="3"/>
  <c r="CO5" i="3" s="1"/>
  <c r="CD5" i="3"/>
  <c r="CE5" i="3" s="1"/>
  <c r="BH5" i="3"/>
  <c r="BI5" i="3" s="1"/>
  <c r="DM5" i="3"/>
  <c r="DN5" i="3" s="1"/>
  <c r="DC5" i="3"/>
  <c r="DD5" i="3" s="1"/>
  <c r="BN3" i="3"/>
  <c r="DS152" i="3"/>
  <c r="DS150" i="3"/>
  <c r="DS148" i="3"/>
  <c r="DS142" i="3"/>
  <c r="DS141" i="3"/>
  <c r="DS147" i="3"/>
  <c r="DS140" i="3"/>
  <c r="DS139" i="3"/>
  <c r="DS144" i="3"/>
  <c r="DS151" i="3"/>
  <c r="DS138" i="3"/>
  <c r="DS133" i="3"/>
  <c r="DS137" i="3"/>
  <c r="DS105" i="3"/>
  <c r="DS149" i="3"/>
  <c r="DS145" i="3"/>
  <c r="DS108" i="3"/>
  <c r="DS104" i="3"/>
  <c r="DS100" i="3"/>
  <c r="DS98" i="3"/>
  <c r="DS143" i="3"/>
  <c r="DS107" i="3"/>
  <c r="DS146" i="3"/>
  <c r="DS99" i="3"/>
  <c r="DS73" i="3"/>
  <c r="DS65" i="3"/>
  <c r="DS64" i="3"/>
  <c r="DS63" i="3"/>
  <c r="DS62" i="3"/>
  <c r="DS101" i="3"/>
  <c r="DS69" i="3"/>
  <c r="DS58" i="3"/>
  <c r="DS67" i="3"/>
  <c r="DS60" i="3"/>
  <c r="DS72" i="3"/>
  <c r="DS61" i="3"/>
  <c r="DS57" i="3"/>
  <c r="DS55" i="3"/>
  <c r="DS54" i="3"/>
  <c r="DS52" i="3"/>
  <c r="DS51" i="3"/>
  <c r="DS50" i="3"/>
  <c r="DS49" i="3"/>
  <c r="DS48" i="3"/>
  <c r="DS47" i="3"/>
  <c r="DS46" i="3"/>
  <c r="DS45" i="3"/>
  <c r="DS44" i="3"/>
  <c r="DS43" i="3"/>
  <c r="DS42" i="3"/>
  <c r="DS153" i="3"/>
  <c r="DS59" i="3"/>
  <c r="DS53" i="3"/>
  <c r="DS33" i="3"/>
  <c r="DS39" i="3"/>
  <c r="DS40" i="3"/>
  <c r="DS37" i="3"/>
  <c r="DS56" i="3"/>
  <c r="DS36" i="3"/>
  <c r="DS41" i="3"/>
  <c r="DS35" i="3"/>
  <c r="DS23" i="3"/>
  <c r="DS21" i="3"/>
  <c r="DS30" i="3"/>
  <c r="DS26" i="3"/>
  <c r="DS31" i="3"/>
  <c r="DS29" i="3"/>
  <c r="DS25" i="3"/>
  <c r="DS15" i="3"/>
  <c r="CT116" i="3"/>
  <c r="CT117" i="3"/>
  <c r="CT83" i="3"/>
  <c r="CW5" i="3" s="1"/>
  <c r="DX136" i="3"/>
  <c r="DX135" i="3"/>
  <c r="DX153" i="3"/>
  <c r="DX151" i="3"/>
  <c r="DX149" i="3"/>
  <c r="DX147" i="3"/>
  <c r="DX152" i="3"/>
  <c r="DX140" i="3"/>
  <c r="DX132" i="3"/>
  <c r="DX138" i="3"/>
  <c r="DX133" i="3"/>
  <c r="DX150" i="3"/>
  <c r="DX146" i="3"/>
  <c r="DX148" i="3"/>
  <c r="DX121" i="3"/>
  <c r="DX119" i="3"/>
  <c r="DX117" i="3"/>
  <c r="DX115" i="3"/>
  <c r="DX113" i="3"/>
  <c r="DX111" i="3"/>
  <c r="DX103" i="3"/>
  <c r="DX142" i="3"/>
  <c r="DX134" i="3"/>
  <c r="DX144" i="3"/>
  <c r="DX100" i="3"/>
  <c r="DX98" i="3"/>
  <c r="DX90" i="3"/>
  <c r="DX79" i="3"/>
  <c r="DX78" i="3"/>
  <c r="DX75" i="3"/>
  <c r="DX67" i="3"/>
  <c r="DX91" i="3"/>
  <c r="DX83" i="3"/>
  <c r="DX72" i="3"/>
  <c r="DX87" i="3"/>
  <c r="DX80" i="3"/>
  <c r="DX68" i="3"/>
  <c r="DX95" i="3"/>
  <c r="DX77" i="3"/>
  <c r="DX54" i="3"/>
  <c r="DX52" i="3"/>
  <c r="DX51" i="3"/>
  <c r="DX50" i="3"/>
  <c r="DX49" i="3"/>
  <c r="DX48" i="3"/>
  <c r="DX47" i="3"/>
  <c r="DX46" i="3"/>
  <c r="DX74" i="3"/>
  <c r="DX97" i="3"/>
  <c r="DX71" i="3"/>
  <c r="DX85" i="3"/>
  <c r="DX32" i="3"/>
  <c r="DX42" i="3"/>
  <c r="DX45" i="3"/>
  <c r="DX41" i="3"/>
  <c r="DX66" i="3"/>
  <c r="DX43" i="3"/>
  <c r="DX36" i="3"/>
  <c r="DX93" i="3"/>
  <c r="DX86" i="3"/>
  <c r="DX44" i="3"/>
  <c r="DX39" i="3"/>
  <c r="DX29" i="3"/>
  <c r="DX25" i="3"/>
  <c r="DX22" i="3"/>
  <c r="DX38" i="3"/>
  <c r="DX19" i="3"/>
  <c r="DX35" i="3"/>
  <c r="DX34" i="3"/>
  <c r="DX30" i="3"/>
  <c r="DX26" i="3"/>
  <c r="EH148" i="3"/>
  <c r="EH150" i="3"/>
  <c r="EH137" i="3"/>
  <c r="EH135" i="3"/>
  <c r="EH131" i="3"/>
  <c r="EH130" i="3"/>
  <c r="EH129" i="3"/>
  <c r="EH128" i="3"/>
  <c r="EH127" i="3"/>
  <c r="EH126" i="3"/>
  <c r="EH125" i="3"/>
  <c r="EH124" i="3"/>
  <c r="EH123" i="3"/>
  <c r="EH122" i="3"/>
  <c r="EH132" i="3"/>
  <c r="EH136" i="3"/>
  <c r="EH121" i="3"/>
  <c r="EH119" i="3"/>
  <c r="EH117" i="3"/>
  <c r="EH115" i="3"/>
  <c r="EH113" i="3"/>
  <c r="EH111" i="3"/>
  <c r="EH143" i="3"/>
  <c r="EH152" i="3"/>
  <c r="EH116" i="3"/>
  <c r="EH106" i="3"/>
  <c r="EH112" i="3"/>
  <c r="EH105" i="3"/>
  <c r="EH100" i="3"/>
  <c r="EH98" i="3"/>
  <c r="EH110" i="3"/>
  <c r="EH118" i="3"/>
  <c r="EH120" i="3"/>
  <c r="EH109" i="3"/>
  <c r="EH97" i="3"/>
  <c r="EH96" i="3"/>
  <c r="EH95" i="3"/>
  <c r="EH94" i="3"/>
  <c r="EH93" i="3"/>
  <c r="EH92" i="3"/>
  <c r="EH91" i="3"/>
  <c r="EH90" i="3"/>
  <c r="EH89" i="3"/>
  <c r="EH88" i="3"/>
  <c r="EH87" i="3"/>
  <c r="EH86" i="3"/>
  <c r="EH85" i="3"/>
  <c r="EH84" i="3"/>
  <c r="EH83" i="3"/>
  <c r="EH82" i="3"/>
  <c r="EH81" i="3"/>
  <c r="EH80" i="3"/>
  <c r="EH79" i="3"/>
  <c r="EH78" i="3"/>
  <c r="EH114" i="3"/>
  <c r="EH77" i="3"/>
  <c r="EH73" i="3"/>
  <c r="EH99" i="3"/>
  <c r="EH70" i="3"/>
  <c r="EH74" i="3"/>
  <c r="EH66" i="3"/>
  <c r="EH69" i="3"/>
  <c r="EH58" i="3"/>
  <c r="EH101" i="3"/>
  <c r="EH76" i="3"/>
  <c r="EH56" i="3"/>
  <c r="EH53" i="3"/>
  <c r="EH30" i="3"/>
  <c r="EH26" i="3"/>
  <c r="EH31" i="3"/>
  <c r="EH22" i="3"/>
  <c r="EH27" i="3"/>
  <c r="EH20" i="3"/>
  <c r="EH19" i="3"/>
  <c r="EH18" i="3"/>
  <c r="EY4" i="3"/>
  <c r="AW5" i="3"/>
  <c r="BH6" i="3"/>
  <c r="BI6" i="3" s="1"/>
  <c r="DX6" i="3"/>
  <c r="EH6" i="3"/>
  <c r="V7" i="3"/>
  <c r="AF7" i="3"/>
  <c r="AP7" i="3"/>
  <c r="BU8" i="3"/>
  <c r="EV8" i="3" s="1"/>
  <c r="CM8" i="3"/>
  <c r="N9" i="3"/>
  <c r="DS10" i="3"/>
  <c r="EC10" i="3"/>
  <c r="BN11" i="3"/>
  <c r="EY12" i="3"/>
  <c r="EH13" i="3"/>
  <c r="DX15" i="3"/>
  <c r="DX16" i="3"/>
  <c r="DX17" i="3"/>
  <c r="BU18" i="3"/>
  <c r="EV18" i="3" s="1"/>
  <c r="EC18" i="3"/>
  <c r="V20" i="3"/>
  <c r="BN20" i="3"/>
  <c r="DS20" i="3"/>
  <c r="AP21" i="3"/>
  <c r="BN21" i="3"/>
  <c r="DX21" i="3"/>
  <c r="V22" i="3"/>
  <c r="EH25" i="3"/>
  <c r="EH28" i="3"/>
  <c r="AF31" i="3"/>
  <c r="DX5" i="3"/>
  <c r="EH5" i="3"/>
  <c r="EK9" i="3" s="1"/>
  <c r="FI20" i="3" s="1"/>
  <c r="V6" i="3"/>
  <c r="AF6" i="3"/>
  <c r="AP6" i="3"/>
  <c r="BU7" i="3"/>
  <c r="EV7" i="3" s="1"/>
  <c r="CM7" i="3"/>
  <c r="N8" i="3"/>
  <c r="BC9" i="3"/>
  <c r="DS9" i="3"/>
  <c r="EC9" i="3"/>
  <c r="V13" i="3"/>
  <c r="BU13" i="3"/>
  <c r="EV13" i="3" s="1"/>
  <c r="DS13" i="3"/>
  <c r="V14" i="3"/>
  <c r="DX14" i="3"/>
  <c r="BU15" i="3"/>
  <c r="EV15" i="3" s="1"/>
  <c r="EY15" i="3"/>
  <c r="BU16" i="3"/>
  <c r="EV16" i="3" s="1"/>
  <c r="EY16" i="3"/>
  <c r="BU17" i="3"/>
  <c r="EV17" i="3" s="1"/>
  <c r="BU19" i="3"/>
  <c r="EV19" i="3" s="1"/>
  <c r="EC23" i="3"/>
  <c r="EH24" i="3"/>
  <c r="AF27" i="3"/>
  <c r="N30" i="3"/>
  <c r="BC3" i="3"/>
  <c r="AW4" i="3"/>
  <c r="AS3" i="3"/>
  <c r="FE14" i="3" s="1"/>
  <c r="AX4" i="3"/>
  <c r="BU6" i="3"/>
  <c r="EV6" i="3" s="1"/>
  <c r="CM6" i="3"/>
  <c r="BC8" i="3"/>
  <c r="EY10" i="3"/>
  <c r="AX12" i="3"/>
  <c r="AP14" i="3"/>
  <c r="V15" i="3"/>
  <c r="AP15" i="3"/>
  <c r="V16" i="3"/>
  <c r="AP16" i="3"/>
  <c r="V17" i="3"/>
  <c r="AP17" i="3"/>
  <c r="V18" i="3"/>
  <c r="AP18" i="3"/>
  <c r="DS18" i="3"/>
  <c r="DS19" i="3"/>
  <c r="DX20" i="3"/>
  <c r="EC21" i="3"/>
  <c r="N26" i="3"/>
  <c r="DS28" i="3"/>
  <c r="DS32" i="3"/>
  <c r="CD6" i="3"/>
  <c r="CE6" i="3" s="1"/>
  <c r="DH6" i="3"/>
  <c r="DI6" i="3" s="1"/>
  <c r="BC7" i="3"/>
  <c r="EC7" i="3"/>
  <c r="DX11" i="3"/>
  <c r="EH11" i="3"/>
  <c r="V12" i="3"/>
  <c r="AF12" i="3"/>
  <c r="AP12" i="3"/>
  <c r="DX13" i="3"/>
  <c r="EC14" i="3"/>
  <c r="EC15" i="3"/>
  <c r="EC16" i="3"/>
  <c r="EC17" i="3"/>
  <c r="AP19" i="3"/>
  <c r="AF20" i="3"/>
  <c r="AW20" i="3"/>
  <c r="BC20" i="3"/>
  <c r="AX20" i="3"/>
  <c r="AF22" i="3"/>
  <c r="EH23" i="3"/>
  <c r="DS24" i="3"/>
  <c r="V30" i="3"/>
  <c r="N31" i="3"/>
  <c r="AP31" i="3"/>
  <c r="CN6" i="3"/>
  <c r="CO6" i="3" s="1"/>
  <c r="AS5" i="3"/>
  <c r="FE16" i="3" s="1"/>
  <c r="P6" i="3"/>
  <c r="Q6" i="3" s="1"/>
  <c r="Z6" i="3"/>
  <c r="AA6" i="3" s="1"/>
  <c r="AJ6" i="3"/>
  <c r="AK6" i="3" s="1"/>
  <c r="BC6" i="3"/>
  <c r="DS6" i="3"/>
  <c r="AW9" i="3"/>
  <c r="BU12" i="3"/>
  <c r="EV12" i="3" s="1"/>
  <c r="CM12" i="3"/>
  <c r="N14" i="3"/>
  <c r="EY14" i="3"/>
  <c r="BZ14" i="3"/>
  <c r="BN18" i="3"/>
  <c r="V19" i="3"/>
  <c r="EH21" i="3"/>
  <c r="V26" i="3"/>
  <c r="N27" i="3"/>
  <c r="AP27" i="3"/>
  <c r="DS27" i="3"/>
  <c r="AP28" i="3"/>
  <c r="BN28" i="3"/>
  <c r="DX28" i="3"/>
  <c r="V29" i="3"/>
  <c r="BN31" i="3"/>
  <c r="V32" i="3"/>
  <c r="EY7" i="3"/>
  <c r="BU11" i="3"/>
  <c r="EV11" i="3" s="1"/>
  <c r="CM11" i="3"/>
  <c r="EC13" i="3"/>
  <c r="AF14" i="3"/>
  <c r="EH14" i="3"/>
  <c r="AW15" i="3"/>
  <c r="BN15" i="3"/>
  <c r="BN16" i="3"/>
  <c r="DS16" i="3"/>
  <c r="BN17" i="3"/>
  <c r="DS17" i="3"/>
  <c r="DX18" i="3"/>
  <c r="EY18" i="3"/>
  <c r="BN19" i="3"/>
  <c r="AP24" i="3"/>
  <c r="BN24" i="3"/>
  <c r="DX24" i="3"/>
  <c r="V25" i="3"/>
  <c r="BN27" i="3"/>
  <c r="EC29" i="3"/>
  <c r="BN152" i="3"/>
  <c r="BN150" i="3"/>
  <c r="BN148" i="3"/>
  <c r="BN136" i="3"/>
  <c r="BN149" i="3"/>
  <c r="BN135" i="3"/>
  <c r="BN151" i="3"/>
  <c r="BN147" i="3"/>
  <c r="BN132" i="3"/>
  <c r="BN153" i="3"/>
  <c r="BN142" i="3"/>
  <c r="BN134" i="3"/>
  <c r="BN110" i="3"/>
  <c r="BN109" i="3"/>
  <c r="BN116" i="3"/>
  <c r="BN101" i="3"/>
  <c r="BN99" i="3"/>
  <c r="BN133" i="3"/>
  <c r="BN114" i="3"/>
  <c r="BN103" i="3"/>
  <c r="BN98" i="3"/>
  <c r="BN97" i="3"/>
  <c r="BN96" i="3"/>
  <c r="BN95" i="3"/>
  <c r="BN94" i="3"/>
  <c r="BN93" i="3"/>
  <c r="BN85" i="3"/>
  <c r="BN86" i="3"/>
  <c r="BN81" i="3"/>
  <c r="BN79" i="3"/>
  <c r="BN74" i="3"/>
  <c r="BN66" i="3"/>
  <c r="BN90" i="3"/>
  <c r="BN83" i="3"/>
  <c r="BN70" i="3"/>
  <c r="BN52" i="3"/>
  <c r="BN51" i="3"/>
  <c r="BN50" i="3"/>
  <c r="BN49" i="3"/>
  <c r="BN48" i="3"/>
  <c r="BN47" i="3"/>
  <c r="BN46" i="3"/>
  <c r="BN80" i="3"/>
  <c r="BN102" i="3"/>
  <c r="BN73" i="3"/>
  <c r="BN34" i="3"/>
  <c r="BN45" i="3"/>
  <c r="BN89" i="3"/>
  <c r="BN54" i="3"/>
  <c r="BN42" i="3"/>
  <c r="BN68" i="3"/>
  <c r="BN43" i="3"/>
  <c r="BN40" i="3"/>
  <c r="BN38" i="3"/>
  <c r="BN37" i="3"/>
  <c r="BN41" i="3"/>
  <c r="BN29" i="3"/>
  <c r="BN25" i="3"/>
  <c r="BN22" i="3"/>
  <c r="BN44" i="3"/>
  <c r="BN36" i="3"/>
  <c r="BN32" i="3"/>
  <c r="BN30" i="3"/>
  <c r="BN26" i="3"/>
  <c r="CX6" i="3"/>
  <c r="CY6" i="3" s="1"/>
  <c r="BN8" i="3"/>
  <c r="EC145" i="3"/>
  <c r="EC143" i="3"/>
  <c r="EC141" i="3"/>
  <c r="EC139" i="3"/>
  <c r="EC137" i="3"/>
  <c r="EC151" i="3"/>
  <c r="EC148" i="3"/>
  <c r="EC149" i="3"/>
  <c r="EC144" i="3"/>
  <c r="EC152" i="3"/>
  <c r="EC131" i="3"/>
  <c r="EC130" i="3"/>
  <c r="EC129" i="3"/>
  <c r="EC128" i="3"/>
  <c r="EC127" i="3"/>
  <c r="EC126" i="3"/>
  <c r="EC125" i="3"/>
  <c r="EC124" i="3"/>
  <c r="EC123" i="3"/>
  <c r="EC122" i="3"/>
  <c r="EC120" i="3"/>
  <c r="EC118" i="3"/>
  <c r="EC116" i="3"/>
  <c r="EC114" i="3"/>
  <c r="EC112" i="3"/>
  <c r="EC110" i="3"/>
  <c r="EC109" i="3"/>
  <c r="EC147" i="3"/>
  <c r="EC142" i="3"/>
  <c r="EC150" i="3"/>
  <c r="EC135" i="3"/>
  <c r="EC121" i="3"/>
  <c r="EC97" i="3"/>
  <c r="EC96" i="3"/>
  <c r="EC95" i="3"/>
  <c r="EC94" i="3"/>
  <c r="EC93" i="3"/>
  <c r="EC92" i="3"/>
  <c r="EC91" i="3"/>
  <c r="EC90" i="3"/>
  <c r="EC89" i="3"/>
  <c r="EC88" i="3"/>
  <c r="EC87" i="3"/>
  <c r="EC86" i="3"/>
  <c r="EC85" i="3"/>
  <c r="EC84" i="3"/>
  <c r="EC83" i="3"/>
  <c r="EC82" i="3"/>
  <c r="EC81" i="3"/>
  <c r="EC80" i="3"/>
  <c r="EC79" i="3"/>
  <c r="EC78" i="3"/>
  <c r="EC77" i="3"/>
  <c r="EC76" i="3"/>
  <c r="EC117" i="3"/>
  <c r="EC113" i="3"/>
  <c r="EC111" i="3"/>
  <c r="EC115" i="3"/>
  <c r="EC72" i="3"/>
  <c r="EC119" i="3"/>
  <c r="EC69" i="3"/>
  <c r="EC74" i="3"/>
  <c r="EC66" i="3"/>
  <c r="EC71" i="3"/>
  <c r="EC68" i="3"/>
  <c r="EC75" i="3"/>
  <c r="EC67" i="3"/>
  <c r="EC63" i="3"/>
  <c r="EC64" i="3"/>
  <c r="EC56" i="3"/>
  <c r="EC53" i="3"/>
  <c r="EC70" i="3"/>
  <c r="EC62" i="3"/>
  <c r="EC54" i="3"/>
  <c r="EC49" i="3"/>
  <c r="EC73" i="3"/>
  <c r="EC47" i="3"/>
  <c r="EC44" i="3"/>
  <c r="EC39" i="3"/>
  <c r="EC35" i="3"/>
  <c r="EC57" i="3"/>
  <c r="EC55" i="3"/>
  <c r="EC61" i="3"/>
  <c r="EC52" i="3"/>
  <c r="EC45" i="3"/>
  <c r="EC37" i="3"/>
  <c r="EC27" i="3"/>
  <c r="EC20" i="3"/>
  <c r="EC42" i="3"/>
  <c r="EC34" i="3"/>
  <c r="EC33" i="3"/>
  <c r="EC30" i="3"/>
  <c r="EC26" i="3"/>
  <c r="EC31" i="3"/>
  <c r="EC22" i="3"/>
  <c r="DS3" i="3"/>
  <c r="EC4" i="3"/>
  <c r="BN5" i="3"/>
  <c r="DX8" i="3"/>
  <c r="EH8" i="3"/>
  <c r="CM10" i="3"/>
  <c r="N11" i="3"/>
  <c r="DS12" i="3"/>
  <c r="EC12" i="3"/>
  <c r="BN14" i="3"/>
  <c r="DS14" i="3"/>
  <c r="N15" i="3"/>
  <c r="AF15" i="3"/>
  <c r="EH15" i="3"/>
  <c r="N16" i="3"/>
  <c r="AF16" i="3"/>
  <c r="AW16" i="3"/>
  <c r="AX16" i="3"/>
  <c r="EH16" i="3"/>
  <c r="N17" i="3"/>
  <c r="AF17" i="3"/>
  <c r="AW17" i="3"/>
  <c r="AX17" i="3"/>
  <c r="EH17" i="3"/>
  <c r="AF18" i="3"/>
  <c r="AW18" i="3"/>
  <c r="AX18" i="3"/>
  <c r="N22" i="3"/>
  <c r="DS22" i="3"/>
  <c r="AP23" i="3"/>
  <c r="EC25" i="3"/>
  <c r="DX27" i="3"/>
  <c r="EC28" i="3"/>
  <c r="AF30" i="3"/>
  <c r="DS4" i="3"/>
  <c r="N146" i="3"/>
  <c r="N140" i="3"/>
  <c r="N144" i="3"/>
  <c r="N147" i="3"/>
  <c r="N137" i="3"/>
  <c r="N133" i="3"/>
  <c r="N136" i="3"/>
  <c r="N121" i="3"/>
  <c r="N119" i="3"/>
  <c r="N117" i="3"/>
  <c r="N115" i="3"/>
  <c r="N113" i="3"/>
  <c r="N135" i="3"/>
  <c r="N145" i="3"/>
  <c r="N134" i="3"/>
  <c r="N111" i="3"/>
  <c r="N109" i="3"/>
  <c r="N105" i="3"/>
  <c r="N142" i="3"/>
  <c r="N120" i="3"/>
  <c r="N104" i="3"/>
  <c r="N116" i="3"/>
  <c r="N122" i="3"/>
  <c r="N110" i="3"/>
  <c r="N138" i="3"/>
  <c r="N114" i="3"/>
  <c r="N112" i="3"/>
  <c r="N106" i="3"/>
  <c r="N101" i="3"/>
  <c r="N99" i="3"/>
  <c r="N77" i="3"/>
  <c r="N118" i="3"/>
  <c r="N79" i="3"/>
  <c r="N70" i="3"/>
  <c r="N108" i="3"/>
  <c r="N107" i="3"/>
  <c r="N74" i="3"/>
  <c r="N66" i="3"/>
  <c r="N65" i="3"/>
  <c r="N64" i="3"/>
  <c r="N63" i="3"/>
  <c r="N58" i="3"/>
  <c r="N56" i="3"/>
  <c r="N78" i="3"/>
  <c r="N62" i="3"/>
  <c r="N69" i="3"/>
  <c r="N57" i="3"/>
  <c r="N61" i="3"/>
  <c r="N55" i="3"/>
  <c r="N53" i="3"/>
  <c r="N52" i="3"/>
  <c r="N51" i="3"/>
  <c r="N50" i="3"/>
  <c r="N49" i="3"/>
  <c r="N33" i="3"/>
  <c r="N32" i="3"/>
  <c r="N37" i="3"/>
  <c r="N60" i="3"/>
  <c r="N59" i="3"/>
  <c r="N40" i="3"/>
  <c r="N29" i="3"/>
  <c r="N25" i="3"/>
  <c r="N39" i="3"/>
  <c r="N28" i="3"/>
  <c r="N24" i="3"/>
  <c r="N36" i="3"/>
  <c r="N35" i="3"/>
  <c r="N23" i="3"/>
  <c r="N21" i="3"/>
  <c r="N20" i="3"/>
  <c r="N19" i="3"/>
  <c r="V153" i="3"/>
  <c r="V151" i="3"/>
  <c r="V149" i="3"/>
  <c r="V152" i="3"/>
  <c r="V144" i="3"/>
  <c r="V150" i="3"/>
  <c r="V136" i="3"/>
  <c r="V132" i="3"/>
  <c r="V131" i="3"/>
  <c r="V130" i="3"/>
  <c r="V129" i="3"/>
  <c r="V128" i="3"/>
  <c r="V127" i="3"/>
  <c r="V126" i="3"/>
  <c r="V125" i="3"/>
  <c r="V124" i="3"/>
  <c r="V123" i="3"/>
  <c r="V133" i="3"/>
  <c r="V148" i="3"/>
  <c r="V146" i="3"/>
  <c r="V137" i="3"/>
  <c r="V134" i="3"/>
  <c r="V122" i="3"/>
  <c r="V120" i="3"/>
  <c r="V118" i="3"/>
  <c r="V116" i="3"/>
  <c r="V114" i="3"/>
  <c r="V140" i="3"/>
  <c r="V115" i="3"/>
  <c r="V110" i="3"/>
  <c r="V121" i="3"/>
  <c r="V108" i="3"/>
  <c r="V112" i="3"/>
  <c r="V117" i="3"/>
  <c r="V119" i="3"/>
  <c r="V102" i="3"/>
  <c r="V100" i="3"/>
  <c r="V98" i="3"/>
  <c r="V97" i="3"/>
  <c r="V96" i="3"/>
  <c r="V95" i="3"/>
  <c r="V94" i="3"/>
  <c r="V93" i="3"/>
  <c r="V92" i="3"/>
  <c r="V91" i="3"/>
  <c r="V90" i="3"/>
  <c r="V89" i="3"/>
  <c r="V88" i="3"/>
  <c r="V87" i="3"/>
  <c r="V86" i="3"/>
  <c r="V85" i="3"/>
  <c r="V84" i="3"/>
  <c r="V83" i="3"/>
  <c r="V82" i="3"/>
  <c r="V81" i="3"/>
  <c r="V80" i="3"/>
  <c r="V79" i="3"/>
  <c r="V113" i="3"/>
  <c r="V103" i="3"/>
  <c r="V105" i="3"/>
  <c r="V78" i="3"/>
  <c r="V74" i="3"/>
  <c r="V66" i="3"/>
  <c r="V111" i="3"/>
  <c r="V77" i="3"/>
  <c r="V70" i="3"/>
  <c r="V109" i="3"/>
  <c r="V59" i="3"/>
  <c r="V104" i="3"/>
  <c r="V68" i="3"/>
  <c r="V57" i="3"/>
  <c r="V54" i="3"/>
  <c r="V73" i="3"/>
  <c r="V31" i="3"/>
  <c r="V27" i="3"/>
  <c r="V23" i="3"/>
  <c r="V21" i="3"/>
  <c r="V28" i="3"/>
  <c r="V24" i="3"/>
  <c r="AF134" i="3"/>
  <c r="AF136" i="3"/>
  <c r="AF108" i="3"/>
  <c r="AF105" i="3"/>
  <c r="AF104" i="3"/>
  <c r="AF102" i="3"/>
  <c r="AF100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106" i="3"/>
  <c r="AF103" i="3"/>
  <c r="AF135" i="3"/>
  <c r="AF99" i="3"/>
  <c r="AF107" i="3"/>
  <c r="AF77" i="3"/>
  <c r="AF101" i="3"/>
  <c r="AF81" i="3"/>
  <c r="AF75" i="3"/>
  <c r="AF67" i="3"/>
  <c r="AF79" i="3"/>
  <c r="AF72" i="3"/>
  <c r="AF137" i="3"/>
  <c r="AF82" i="3"/>
  <c r="AF76" i="3"/>
  <c r="AF68" i="3"/>
  <c r="AF71" i="3"/>
  <c r="AF78" i="3"/>
  <c r="AF66" i="3"/>
  <c r="AF35" i="3"/>
  <c r="AF80" i="3"/>
  <c r="AF38" i="3"/>
  <c r="AF32" i="3"/>
  <c r="AF28" i="3"/>
  <c r="AF24" i="3"/>
  <c r="AF37" i="3"/>
  <c r="AF33" i="3"/>
  <c r="AF23" i="3"/>
  <c r="AF21" i="3"/>
  <c r="AF29" i="3"/>
  <c r="AF25" i="3"/>
  <c r="AP152" i="3"/>
  <c r="AP150" i="3"/>
  <c r="AP148" i="3"/>
  <c r="AP147" i="3"/>
  <c r="AP142" i="3"/>
  <c r="AP151" i="3"/>
  <c r="AP146" i="3"/>
  <c r="AP143" i="3"/>
  <c r="AP138" i="3"/>
  <c r="AP133" i="3"/>
  <c r="AP134" i="3"/>
  <c r="AP153" i="3"/>
  <c r="AP144" i="3"/>
  <c r="AP135" i="3"/>
  <c r="AP132" i="3"/>
  <c r="AP140" i="3"/>
  <c r="AP149" i="3"/>
  <c r="AP145" i="3"/>
  <c r="AP136" i="3"/>
  <c r="AP101" i="3"/>
  <c r="AP99" i="3"/>
  <c r="AP141" i="3"/>
  <c r="AP63" i="3"/>
  <c r="AP64" i="3"/>
  <c r="AP60" i="3"/>
  <c r="AP56" i="3"/>
  <c r="AP65" i="3"/>
  <c r="AP59" i="3"/>
  <c r="AP55" i="3"/>
  <c r="AP53" i="3"/>
  <c r="AP52" i="3"/>
  <c r="AP44" i="3"/>
  <c r="AP62" i="3"/>
  <c r="AP51" i="3"/>
  <c r="AP41" i="3"/>
  <c r="AP38" i="3"/>
  <c r="AP50" i="3"/>
  <c r="AP57" i="3"/>
  <c r="AP49" i="3"/>
  <c r="AP45" i="3"/>
  <c r="AP48" i="3"/>
  <c r="AP46" i="3"/>
  <c r="AP47" i="3"/>
  <c r="AP29" i="3"/>
  <c r="AP25" i="3"/>
  <c r="AP22" i="3"/>
  <c r="AP32" i="3"/>
  <c r="AP34" i="3"/>
  <c r="AP43" i="3"/>
  <c r="AP30" i="3"/>
  <c r="AP26" i="3"/>
  <c r="AP42" i="3"/>
  <c r="BU20" i="3"/>
  <c r="EV20" i="3" s="1"/>
  <c r="BU14" i="3"/>
  <c r="EV14" i="3" s="1"/>
  <c r="BZ3" i="3"/>
  <c r="DC6" i="3"/>
  <c r="DD6" i="3" s="1"/>
  <c r="BU9" i="3"/>
  <c r="EV9" i="3" s="1"/>
  <c r="BZ13" i="3"/>
  <c r="AF19" i="3"/>
  <c r="AW19" i="3"/>
  <c r="AX19" i="3"/>
  <c r="EC19" i="3"/>
  <c r="AP20" i="3"/>
  <c r="BN23" i="3"/>
  <c r="DX23" i="3"/>
  <c r="EC24" i="3"/>
  <c r="AF26" i="3"/>
  <c r="EH29" i="3"/>
  <c r="AX21" i="3"/>
  <c r="AX23" i="3"/>
  <c r="AP33" i="3"/>
  <c r="N34" i="3"/>
  <c r="AF34" i="3"/>
  <c r="DX40" i="3"/>
  <c r="AF51" i="3"/>
  <c r="EH32" i="3"/>
  <c r="DX33" i="3"/>
  <c r="AP37" i="3"/>
  <c r="DX96" i="3"/>
  <c r="AW24" i="3"/>
  <c r="AW28" i="3"/>
  <c r="AP35" i="3"/>
  <c r="AP36" i="3"/>
  <c r="EC36" i="3"/>
  <c r="DS38" i="3"/>
  <c r="BC40" i="3"/>
  <c r="AX40" i="3"/>
  <c r="AW40" i="3"/>
  <c r="EC40" i="3"/>
  <c r="EC46" i="3"/>
  <c r="DS75" i="3"/>
  <c r="AW22" i="3"/>
  <c r="AX24" i="3"/>
  <c r="AX28" i="3"/>
  <c r="V35" i="3"/>
  <c r="AW37" i="3"/>
  <c r="N38" i="3"/>
  <c r="EC41" i="3"/>
  <c r="V43" i="3"/>
  <c r="BZ20" i="3"/>
  <c r="BC32" i="3"/>
  <c r="BN33" i="3"/>
  <c r="BN35" i="3"/>
  <c r="DX37" i="3"/>
  <c r="AP39" i="3"/>
  <c r="AF40" i="3"/>
  <c r="N72" i="3"/>
  <c r="AW33" i="3"/>
  <c r="BC36" i="3"/>
  <c r="EH41" i="3"/>
  <c r="DX31" i="3"/>
  <c r="AX34" i="3"/>
  <c r="AW34" i="3"/>
  <c r="DS34" i="3"/>
  <c r="EH35" i="3"/>
  <c r="BC37" i="3"/>
  <c r="BN39" i="3"/>
  <c r="N41" i="3"/>
  <c r="EC48" i="3"/>
  <c r="EC32" i="3"/>
  <c r="V33" i="3"/>
  <c r="AF36" i="3"/>
  <c r="AX36" i="3"/>
  <c r="EC38" i="3"/>
  <c r="AP40" i="3"/>
  <c r="N42" i="3"/>
  <c r="EC43" i="3"/>
  <c r="EC50" i="3"/>
  <c r="EC51" i="3"/>
  <c r="EH36" i="3"/>
  <c r="AF41" i="3"/>
  <c r="V42" i="3"/>
  <c r="EH43" i="3"/>
  <c r="V46" i="3"/>
  <c r="AF50" i="3"/>
  <c r="EH50" i="3"/>
  <c r="V53" i="3"/>
  <c r="AF55" i="3"/>
  <c r="V56" i="3"/>
  <c r="AP58" i="3"/>
  <c r="BN59" i="3"/>
  <c r="EH63" i="3"/>
  <c r="DX65" i="3"/>
  <c r="V71" i="3"/>
  <c r="DX81" i="3"/>
  <c r="BN100" i="3"/>
  <c r="EH51" i="3"/>
  <c r="N54" i="3"/>
  <c r="V58" i="3"/>
  <c r="DX58" i="3"/>
  <c r="AP67" i="3"/>
  <c r="AF69" i="3"/>
  <c r="BN87" i="3"/>
  <c r="AP95" i="3"/>
  <c r="V101" i="3"/>
  <c r="EH34" i="3"/>
  <c r="V38" i="3"/>
  <c r="AW38" i="3"/>
  <c r="AF39" i="3"/>
  <c r="AX41" i="3"/>
  <c r="N44" i="3"/>
  <c r="AF44" i="3"/>
  <c r="EH45" i="3"/>
  <c r="V47" i="3"/>
  <c r="AF52" i="3"/>
  <c r="EH52" i="3"/>
  <c r="DX53" i="3"/>
  <c r="BC56" i="3"/>
  <c r="AW56" i="3"/>
  <c r="DX59" i="3"/>
  <c r="AP61" i="3"/>
  <c r="EH62" i="3"/>
  <c r="EC65" i="3"/>
  <c r="EH68" i="3"/>
  <c r="AW74" i="3"/>
  <c r="N76" i="3"/>
  <c r="BN88" i="3"/>
  <c r="EH37" i="3"/>
  <c r="V41" i="3"/>
  <c r="BC41" i="3"/>
  <c r="EH42" i="3"/>
  <c r="V45" i="3"/>
  <c r="V48" i="3"/>
  <c r="AF53" i="3"/>
  <c r="AP54" i="3"/>
  <c r="EH55" i="3"/>
  <c r="EC58" i="3"/>
  <c r="V67" i="3"/>
  <c r="EH72" i="3"/>
  <c r="BN76" i="3"/>
  <c r="DX94" i="3"/>
  <c r="V36" i="3"/>
  <c r="V40" i="3"/>
  <c r="EH40" i="3"/>
  <c r="N46" i="3"/>
  <c r="AF46" i="3"/>
  <c r="EH46" i="3"/>
  <c r="V49" i="3"/>
  <c r="EH57" i="3"/>
  <c r="EC59" i="3"/>
  <c r="AW60" i="3"/>
  <c r="BC60" i="3"/>
  <c r="EC60" i="3"/>
  <c r="BN62" i="3"/>
  <c r="V76" i="3"/>
  <c r="V39" i="3"/>
  <c r="EH39" i="3"/>
  <c r="AF42" i="3"/>
  <c r="N43" i="3"/>
  <c r="AF43" i="3"/>
  <c r="EH44" i="3"/>
  <c r="AF47" i="3"/>
  <c r="EH47" i="3"/>
  <c r="V50" i="3"/>
  <c r="V55" i="3"/>
  <c r="AF65" i="3"/>
  <c r="DX69" i="3"/>
  <c r="AF74" i="3"/>
  <c r="BN91" i="3"/>
  <c r="DS91" i="3"/>
  <c r="N92" i="3"/>
  <c r="V34" i="3"/>
  <c r="EH38" i="3"/>
  <c r="AX42" i="3"/>
  <c r="V44" i="3"/>
  <c r="N47" i="3"/>
  <c r="AF48" i="3"/>
  <c r="EH48" i="3"/>
  <c r="V51" i="3"/>
  <c r="BN53" i="3"/>
  <c r="BN56" i="3"/>
  <c r="AF60" i="3"/>
  <c r="V62" i="3"/>
  <c r="BN84" i="3"/>
  <c r="DX89" i="3"/>
  <c r="EH33" i="3"/>
  <c r="V37" i="3"/>
  <c r="N45" i="3"/>
  <c r="AF45" i="3"/>
  <c r="N48" i="3"/>
  <c r="AF49" i="3"/>
  <c r="EH49" i="3"/>
  <c r="V52" i="3"/>
  <c r="EH54" i="3"/>
  <c r="AF64" i="3"/>
  <c r="BC78" i="3"/>
  <c r="AW78" i="3"/>
  <c r="BN82" i="3"/>
  <c r="AF56" i="3"/>
  <c r="AF58" i="3"/>
  <c r="AW58" i="3"/>
  <c r="BN60" i="3"/>
  <c r="DX60" i="3"/>
  <c r="AF61" i="3"/>
  <c r="V63" i="3"/>
  <c r="BN63" i="3"/>
  <c r="EH64" i="3"/>
  <c r="N67" i="3"/>
  <c r="DX70" i="3"/>
  <c r="DS71" i="3"/>
  <c r="EH75" i="3"/>
  <c r="DX76" i="3"/>
  <c r="DS78" i="3"/>
  <c r="N82" i="3"/>
  <c r="DS83" i="3"/>
  <c r="N84" i="3"/>
  <c r="AP87" i="3"/>
  <c r="DX88" i="3"/>
  <c r="DS90" i="3"/>
  <c r="AP97" i="3"/>
  <c r="EH102" i="3"/>
  <c r="DX107" i="3"/>
  <c r="BN112" i="3"/>
  <c r="BN118" i="3"/>
  <c r="BN55" i="3"/>
  <c r="DX56" i="3"/>
  <c r="AF59" i="3"/>
  <c r="AW59" i="3"/>
  <c r="EH61" i="3"/>
  <c r="AF63" i="3"/>
  <c r="DX64" i="3"/>
  <c r="BN67" i="3"/>
  <c r="DS68" i="3"/>
  <c r="AP72" i="3"/>
  <c r="DS74" i="3"/>
  <c r="BN77" i="3"/>
  <c r="BC79" i="3"/>
  <c r="AW79" i="3"/>
  <c r="DS79" i="3"/>
  <c r="DX82" i="3"/>
  <c r="N85" i="3"/>
  <c r="BN92" i="3"/>
  <c r="AP98" i="3"/>
  <c r="DX106" i="3"/>
  <c r="V107" i="3"/>
  <c r="BN120" i="3"/>
  <c r="DS120" i="3"/>
  <c r="BN122" i="3"/>
  <c r="BN126" i="3"/>
  <c r="BN130" i="3"/>
  <c r="AX55" i="3"/>
  <c r="BN57" i="3"/>
  <c r="V61" i="3"/>
  <c r="DX63" i="3"/>
  <c r="EH67" i="3"/>
  <c r="V72" i="3"/>
  <c r="BN72" i="3"/>
  <c r="AF73" i="3"/>
  <c r="N75" i="3"/>
  <c r="N93" i="3"/>
  <c r="EC100" i="3"/>
  <c r="AW53" i="3"/>
  <c r="AW55" i="3"/>
  <c r="AF57" i="3"/>
  <c r="AW57" i="3"/>
  <c r="BC59" i="3"/>
  <c r="EH60" i="3"/>
  <c r="AF62" i="3"/>
  <c r="DX62" i="3"/>
  <c r="AW66" i="3"/>
  <c r="AW68" i="3"/>
  <c r="DX84" i="3"/>
  <c r="AP96" i="3"/>
  <c r="BN119" i="3"/>
  <c r="AF54" i="3"/>
  <c r="DX55" i="3"/>
  <c r="DX57" i="3"/>
  <c r="V60" i="3"/>
  <c r="BN61" i="3"/>
  <c r="DX61" i="3"/>
  <c r="V65" i="3"/>
  <c r="BN65" i="3"/>
  <c r="N68" i="3"/>
  <c r="BN69" i="3"/>
  <c r="DS70" i="3"/>
  <c r="N73" i="3"/>
  <c r="DX73" i="3"/>
  <c r="V75" i="3"/>
  <c r="AP75" i="3"/>
  <c r="DS76" i="3"/>
  <c r="AP81" i="3"/>
  <c r="AP86" i="3"/>
  <c r="DX92" i="3"/>
  <c r="DS109" i="3"/>
  <c r="EH139" i="3"/>
  <c r="BN58" i="3"/>
  <c r="EH59" i="3"/>
  <c r="V64" i="3"/>
  <c r="BN64" i="3"/>
  <c r="EH65" i="3"/>
  <c r="DS66" i="3"/>
  <c r="V69" i="3"/>
  <c r="AF70" i="3"/>
  <c r="N71" i="3"/>
  <c r="BN71" i="3"/>
  <c r="EH71" i="3"/>
  <c r="BN75" i="3"/>
  <c r="BC76" i="3"/>
  <c r="BN78" i="3"/>
  <c r="AP94" i="3"/>
  <c r="AW103" i="3"/>
  <c r="EC105" i="3"/>
  <c r="BN124" i="3"/>
  <c r="BN128" i="3"/>
  <c r="AW132" i="3"/>
  <c r="AX132" i="3"/>
  <c r="BC132" i="3"/>
  <c r="BC62" i="3"/>
  <c r="AP69" i="3"/>
  <c r="AP79" i="3"/>
  <c r="DS81" i="3"/>
  <c r="DS84" i="3"/>
  <c r="N86" i="3"/>
  <c r="AP88" i="3"/>
  <c r="DS92" i="3"/>
  <c r="N94" i="3"/>
  <c r="N95" i="3"/>
  <c r="N96" i="3"/>
  <c r="N97" i="3"/>
  <c r="N98" i="3"/>
  <c r="AP100" i="3"/>
  <c r="BC103" i="3"/>
  <c r="EH104" i="3"/>
  <c r="V106" i="3"/>
  <c r="BN107" i="3"/>
  <c r="BC116" i="3"/>
  <c r="AX116" i="3"/>
  <c r="AW116" i="3"/>
  <c r="AF122" i="3"/>
  <c r="EC140" i="3"/>
  <c r="AP70" i="3"/>
  <c r="AP77" i="3"/>
  <c r="N80" i="3"/>
  <c r="AW80" i="3"/>
  <c r="DS82" i="3"/>
  <c r="AP85" i="3"/>
  <c r="DS89" i="3"/>
  <c r="N91" i="3"/>
  <c r="AP93" i="3"/>
  <c r="V99" i="3"/>
  <c r="BC101" i="3"/>
  <c r="DS102" i="3"/>
  <c r="N103" i="3"/>
  <c r="AX106" i="3"/>
  <c r="BC106" i="3"/>
  <c r="BC108" i="3"/>
  <c r="AW108" i="3"/>
  <c r="EC108" i="3"/>
  <c r="AP73" i="3"/>
  <c r="AX80" i="3"/>
  <c r="AP82" i="3"/>
  <c r="N83" i="3"/>
  <c r="AP84" i="3"/>
  <c r="DS88" i="3"/>
  <c r="N90" i="3"/>
  <c r="AP92" i="3"/>
  <c r="EC98" i="3"/>
  <c r="N102" i="3"/>
  <c r="BC107" i="3"/>
  <c r="AW107" i="3"/>
  <c r="AP113" i="3"/>
  <c r="BN115" i="3"/>
  <c r="DX116" i="3"/>
  <c r="BN138" i="3"/>
  <c r="AP68" i="3"/>
  <c r="AP76" i="3"/>
  <c r="DS80" i="3"/>
  <c r="DS87" i="3"/>
  <c r="N89" i="3"/>
  <c r="AP91" i="3"/>
  <c r="DX101" i="3"/>
  <c r="DX102" i="3"/>
  <c r="EH103" i="3"/>
  <c r="EH107" i="3"/>
  <c r="EH108" i="3"/>
  <c r="AF133" i="3"/>
  <c r="AP71" i="3"/>
  <c r="DS77" i="3"/>
  <c r="AP80" i="3"/>
  <c r="N81" i="3"/>
  <c r="AP83" i="3"/>
  <c r="DS86" i="3"/>
  <c r="N88" i="3"/>
  <c r="AP90" i="3"/>
  <c r="N100" i="3"/>
  <c r="AP102" i="3"/>
  <c r="EC104" i="3"/>
  <c r="AP111" i="3"/>
  <c r="BN123" i="3"/>
  <c r="BN125" i="3"/>
  <c r="BN127" i="3"/>
  <c r="BN129" i="3"/>
  <c r="BN131" i="3"/>
  <c r="EC136" i="3"/>
  <c r="DX137" i="3"/>
  <c r="V141" i="3"/>
  <c r="N143" i="3"/>
  <c r="V145" i="3"/>
  <c r="AP66" i="3"/>
  <c r="AP74" i="3"/>
  <c r="AP78" i="3"/>
  <c r="DS85" i="3"/>
  <c r="N87" i="3"/>
  <c r="AP89" i="3"/>
  <c r="DS93" i="3"/>
  <c r="DS94" i="3"/>
  <c r="DS95" i="3"/>
  <c r="DS96" i="3"/>
  <c r="DS97" i="3"/>
  <c r="DX99" i="3"/>
  <c r="EC102" i="3"/>
  <c r="DS103" i="3"/>
  <c r="DS106" i="3"/>
  <c r="AF110" i="3"/>
  <c r="EC103" i="3"/>
  <c r="DX105" i="3"/>
  <c r="BN106" i="3"/>
  <c r="BN108" i="3"/>
  <c r="DX112" i="3"/>
  <c r="AP119" i="3"/>
  <c r="BC122" i="3"/>
  <c r="AX122" i="3"/>
  <c r="AW122" i="3"/>
  <c r="DX122" i="3"/>
  <c r="DX123" i="3"/>
  <c r="DX124" i="3"/>
  <c r="DX125" i="3"/>
  <c r="DX126" i="3"/>
  <c r="DX127" i="3"/>
  <c r="DX128" i="3"/>
  <c r="DX129" i="3"/>
  <c r="DX130" i="3"/>
  <c r="DX131" i="3"/>
  <c r="AF143" i="3"/>
  <c r="EH146" i="3"/>
  <c r="AP104" i="3"/>
  <c r="EC106" i="3"/>
  <c r="DX109" i="3"/>
  <c r="DS114" i="3"/>
  <c r="AF116" i="3"/>
  <c r="AP117" i="3"/>
  <c r="BC120" i="3"/>
  <c r="AX120" i="3"/>
  <c r="AW120" i="3"/>
  <c r="DX120" i="3"/>
  <c r="AP139" i="3"/>
  <c r="AP105" i="3"/>
  <c r="EC107" i="3"/>
  <c r="BN111" i="3"/>
  <c r="BN113" i="3"/>
  <c r="DS118" i="3"/>
  <c r="AF120" i="3"/>
  <c r="EC132" i="3"/>
  <c r="EH133" i="3"/>
  <c r="AP103" i="3"/>
  <c r="AP106" i="3"/>
  <c r="DS110" i="3"/>
  <c r="BC114" i="3"/>
  <c r="AX114" i="3"/>
  <c r="AW114" i="3"/>
  <c r="DX114" i="3"/>
  <c r="BN117" i="3"/>
  <c r="AP121" i="3"/>
  <c r="V135" i="3"/>
  <c r="BC147" i="3"/>
  <c r="AW147" i="3"/>
  <c r="EC99" i="3"/>
  <c r="EC101" i="3"/>
  <c r="BN104" i="3"/>
  <c r="AP107" i="3"/>
  <c r="AP108" i="3"/>
  <c r="AF109" i="3"/>
  <c r="DS111" i="3"/>
  <c r="DS112" i="3"/>
  <c r="AF114" i="3"/>
  <c r="BC118" i="3"/>
  <c r="AX118" i="3"/>
  <c r="AW118" i="3"/>
  <c r="DX118" i="3"/>
  <c r="DS122" i="3"/>
  <c r="N123" i="3"/>
  <c r="DS123" i="3"/>
  <c r="N124" i="3"/>
  <c r="DS124" i="3"/>
  <c r="N125" i="3"/>
  <c r="DS125" i="3"/>
  <c r="N126" i="3"/>
  <c r="DS126" i="3"/>
  <c r="N127" i="3"/>
  <c r="DS127" i="3"/>
  <c r="N128" i="3"/>
  <c r="DS128" i="3"/>
  <c r="N129" i="3"/>
  <c r="DS129" i="3"/>
  <c r="N130" i="3"/>
  <c r="DS130" i="3"/>
  <c r="N131" i="3"/>
  <c r="DS131" i="3"/>
  <c r="N132" i="3"/>
  <c r="EC134" i="3"/>
  <c r="EC146" i="3"/>
  <c r="DX104" i="3"/>
  <c r="BN105" i="3"/>
  <c r="DX108" i="3"/>
  <c r="DX110" i="3"/>
  <c r="AF112" i="3"/>
  <c r="BC112" i="3"/>
  <c r="AW112" i="3"/>
  <c r="AP115" i="3"/>
  <c r="DS116" i="3"/>
  <c r="AF118" i="3"/>
  <c r="BN121" i="3"/>
  <c r="DX141" i="3"/>
  <c r="AF147" i="3"/>
  <c r="AX147" i="3"/>
  <c r="AP123" i="3"/>
  <c r="AP124" i="3"/>
  <c r="AP125" i="3"/>
  <c r="AP126" i="3"/>
  <c r="AP127" i="3"/>
  <c r="AP128" i="3"/>
  <c r="AP129" i="3"/>
  <c r="AP130" i="3"/>
  <c r="AP131" i="3"/>
  <c r="AW133" i="3"/>
  <c r="AX137" i="3"/>
  <c r="BC137" i="3"/>
  <c r="N139" i="3"/>
  <c r="AF139" i="3"/>
  <c r="EH145" i="3"/>
  <c r="EH147" i="3"/>
  <c r="EH149" i="3"/>
  <c r="CG19" i="7"/>
  <c r="AP109" i="3"/>
  <c r="AP110" i="3"/>
  <c r="AF123" i="3"/>
  <c r="AF124" i="3"/>
  <c r="AF125" i="3"/>
  <c r="AF126" i="3"/>
  <c r="AF127" i="3"/>
  <c r="AF128" i="3"/>
  <c r="AF129" i="3"/>
  <c r="AF130" i="3"/>
  <c r="AF131" i="3"/>
  <c r="AF132" i="3"/>
  <c r="EC133" i="3"/>
  <c r="AP137" i="3"/>
  <c r="BN137" i="3"/>
  <c r="V138" i="3"/>
  <c r="EC138" i="3"/>
  <c r="V142" i="3"/>
  <c r="BN144" i="3"/>
  <c r="EH151" i="3"/>
  <c r="DS113" i="3"/>
  <c r="DS115" i="3"/>
  <c r="DS117" i="3"/>
  <c r="DS119" i="3"/>
  <c r="DS121" i="3"/>
  <c r="EH134" i="3"/>
  <c r="BN140" i="3"/>
  <c r="BN145" i="3"/>
  <c r="AF111" i="3"/>
  <c r="AF113" i="3"/>
  <c r="AF115" i="3"/>
  <c r="AF117" i="3"/>
  <c r="AF119" i="3"/>
  <c r="AF121" i="3"/>
  <c r="DS134" i="3"/>
  <c r="DS136" i="3"/>
  <c r="AW137" i="3"/>
  <c r="EH138" i="3"/>
  <c r="BN143" i="3"/>
  <c r="EH144" i="3"/>
  <c r="BN146" i="3"/>
  <c r="N149" i="3"/>
  <c r="EC153" i="3"/>
  <c r="AP112" i="3"/>
  <c r="AP114" i="3"/>
  <c r="AP116" i="3"/>
  <c r="AP118" i="3"/>
  <c r="AP120" i="3"/>
  <c r="AP122" i="3"/>
  <c r="DS132" i="3"/>
  <c r="AX138" i="3"/>
  <c r="N141" i="3"/>
  <c r="EH141" i="3"/>
  <c r="BC142" i="3"/>
  <c r="DS135" i="3"/>
  <c r="V139" i="3"/>
  <c r="AF141" i="3"/>
  <c r="AW141" i="3"/>
  <c r="AF149" i="3"/>
  <c r="BC149" i="3"/>
  <c r="AW149" i="3"/>
  <c r="N151" i="3"/>
  <c r="EH153" i="3"/>
  <c r="BY11" i="7"/>
  <c r="CA16" i="7"/>
  <c r="AW135" i="3"/>
  <c r="BN139" i="3"/>
  <c r="EH140" i="3"/>
  <c r="DX143" i="3"/>
  <c r="BC144" i="3"/>
  <c r="V147" i="3"/>
  <c r="CE8" i="7"/>
  <c r="AX136" i="3"/>
  <c r="DX139" i="3"/>
  <c r="V143" i="3"/>
  <c r="AW144" i="3"/>
  <c r="AF145" i="3"/>
  <c r="AW145" i="3"/>
  <c r="AF153" i="3"/>
  <c r="BC153" i="3"/>
  <c r="AW153" i="3"/>
  <c r="AW134" i="3"/>
  <c r="BC136" i="3"/>
  <c r="BC139" i="3"/>
  <c r="BD127" i="3" s="1"/>
  <c r="BN141" i="3"/>
  <c r="EH142" i="3"/>
  <c r="DX145" i="3"/>
  <c r="BC146" i="3"/>
  <c r="AF151" i="3"/>
  <c r="BC151" i="3"/>
  <c r="AW151" i="3"/>
  <c r="N153" i="3"/>
  <c r="CG6" i="7"/>
  <c r="N148" i="3"/>
  <c r="N150" i="3"/>
  <c r="N152" i="3"/>
  <c r="AF138" i="3"/>
  <c r="AF140" i="3"/>
  <c r="AF142" i="3"/>
  <c r="AF144" i="3"/>
  <c r="AF146" i="3"/>
  <c r="AF148" i="3"/>
  <c r="BC148" i="3"/>
  <c r="AW148" i="3"/>
  <c r="AF150" i="3"/>
  <c r="BC150" i="3"/>
  <c r="AW150" i="3"/>
  <c r="AF152" i="3"/>
  <c r="BC152" i="3"/>
  <c r="AW152" i="3"/>
  <c r="CC12" i="7"/>
  <c r="CG17" i="7"/>
  <c r="CC19" i="7"/>
  <c r="CA10" i="7"/>
  <c r="CG7" i="7"/>
  <c r="BY6" i="7"/>
  <c r="CG11" i="7"/>
  <c r="CG14" i="7"/>
  <c r="CE9" i="7"/>
  <c r="CA7" i="7"/>
  <c r="CE19" i="7"/>
  <c r="CC11" i="7"/>
  <c r="CC8" i="7"/>
  <c r="CE15" i="7"/>
  <c r="CC17" i="7"/>
  <c r="BY9" i="7"/>
  <c r="BY14" i="7"/>
  <c r="CC6" i="7"/>
  <c r="BY5" i="7"/>
  <c r="BY8" i="7"/>
  <c r="CA17" i="7"/>
  <c r="CE12" i="7"/>
  <c r="CC18" i="7"/>
  <c r="BY17" i="7"/>
  <c r="BY10" i="7"/>
  <c r="CA8" i="7"/>
  <c r="CE18" i="7"/>
  <c r="CE16" i="7"/>
  <c r="CA14" i="7"/>
  <c r="CG13" i="7"/>
  <c r="CA5" i="7"/>
  <c r="BN20" i="7" a="1"/>
  <c r="BN20" i="7" s="1"/>
  <c r="BN19" i="7" a="1"/>
  <c r="BN19" i="7" s="1"/>
  <c r="BZ19" i="7" s="1"/>
  <c r="BN18" i="7" a="1"/>
  <c r="BN18" i="7" s="1"/>
  <c r="BZ18" i="7" s="1"/>
  <c r="BN17" i="7" a="1"/>
  <c r="BN17" i="7" s="1"/>
  <c r="BZ17" i="7" s="1"/>
  <c r="BN16" i="7" a="1"/>
  <c r="BN16" i="7" s="1"/>
  <c r="BZ16" i="7" s="1"/>
  <c r="BN9" i="7" a="1"/>
  <c r="BN9" i="7" s="1"/>
  <c r="BZ9" i="7" s="1"/>
  <c r="BN8" i="7" a="1"/>
  <c r="BN8" i="7" s="1"/>
  <c r="BZ8" i="7" s="1"/>
  <c r="BN6" i="7" a="1"/>
  <c r="BN6" i="7" s="1"/>
  <c r="BZ6" i="7" s="1"/>
  <c r="BN15" i="7" a="1"/>
  <c r="BN15" i="7" s="1"/>
  <c r="BZ15" i="7" s="1"/>
  <c r="BN14" i="7" a="1"/>
  <c r="BN14" i="7" s="1"/>
  <c r="BZ14" i="7" s="1"/>
  <c r="BN7" i="7" a="1"/>
  <c r="BN7" i="7" s="1"/>
  <c r="BZ7" i="7" s="1"/>
  <c r="BN13" i="7" a="1"/>
  <c r="BN13" i="7" s="1"/>
  <c r="BZ13" i="7" s="1"/>
  <c r="BN12" i="7" a="1"/>
  <c r="BN12" i="7" s="1"/>
  <c r="BZ12" i="7" s="1"/>
  <c r="BN5" i="7" a="1"/>
  <c r="BN5" i="7" s="1"/>
  <c r="BZ5" i="7" s="1"/>
  <c r="BN11" i="7" a="1"/>
  <c r="BN11" i="7" s="1"/>
  <c r="BZ11" i="7" s="1"/>
  <c r="BN10" i="7" a="1"/>
  <c r="BN10" i="7" s="1"/>
  <c r="BZ10" i="7" s="1"/>
  <c r="CC13" i="7"/>
  <c r="CG5" i="7"/>
  <c r="CA12" i="7"/>
  <c r="CG18" i="7"/>
  <c r="CG16" i="7"/>
  <c r="BY19" i="7"/>
  <c r="CC10" i="7"/>
  <c r="CA18" i="7"/>
  <c r="CA13" i="7"/>
  <c r="CE5" i="7"/>
  <c r="BV20" i="7" a="1"/>
  <c r="BV20" i="7" s="1"/>
  <c r="BV19" i="7" a="1"/>
  <c r="BV19" i="7" s="1"/>
  <c r="CH19" i="7" s="1"/>
  <c r="BV18" i="7" a="1"/>
  <c r="BV18" i="7" s="1"/>
  <c r="CH18" i="7" s="1"/>
  <c r="BV17" i="7" a="1"/>
  <c r="BV17" i="7" s="1"/>
  <c r="CH17" i="7" s="1"/>
  <c r="BV16" i="7" a="1"/>
  <c r="BV16" i="7" s="1"/>
  <c r="CH16" i="7" s="1"/>
  <c r="BV15" i="7" a="1"/>
  <c r="BV15" i="7" s="1"/>
  <c r="CH15" i="7" s="1"/>
  <c r="BV9" i="7" a="1"/>
  <c r="BV9" i="7" s="1"/>
  <c r="CH9" i="7" s="1"/>
  <c r="BV8" i="7" a="1"/>
  <c r="BV8" i="7" s="1"/>
  <c r="CH8" i="7" s="1"/>
  <c r="BV14" i="7" a="1"/>
  <c r="BV14" i="7" s="1"/>
  <c r="CH14" i="7" s="1"/>
  <c r="BV7" i="7" a="1"/>
  <c r="BV7" i="7" s="1"/>
  <c r="CH7" i="7" s="1"/>
  <c r="BV6" i="7" a="1"/>
  <c r="BV6" i="7" s="1"/>
  <c r="CH6" i="7" s="1"/>
  <c r="BV13" i="7" a="1"/>
  <c r="BV13" i="7" s="1"/>
  <c r="CH13" i="7" s="1"/>
  <c r="BV12" i="7" a="1"/>
  <c r="BV12" i="7" s="1"/>
  <c r="CH12" i="7" s="1"/>
  <c r="BV5" i="7" a="1"/>
  <c r="BV5" i="7" s="1"/>
  <c r="CH5" i="7" s="1"/>
  <c r="BV11" i="7" a="1"/>
  <c r="BV11" i="7" s="1"/>
  <c r="CH11" i="7" s="1"/>
  <c r="BV10" i="7" a="1"/>
  <c r="BV10" i="7" s="1"/>
  <c r="CH10" i="7" s="1"/>
  <c r="CC15" i="7"/>
  <c r="CG10" i="7"/>
  <c r="CE13" i="7"/>
  <c r="BY13" i="7"/>
  <c r="CC5" i="7"/>
  <c r="BR20" i="7" a="1"/>
  <c r="BR20" i="7" s="1"/>
  <c r="BR19" i="7" a="1"/>
  <c r="BR19" i="7" s="1"/>
  <c r="CD19" i="7" s="1"/>
  <c r="BR18" i="7" a="1"/>
  <c r="BR18" i="7" s="1"/>
  <c r="CD18" i="7" s="1"/>
  <c r="BR17" i="7" a="1"/>
  <c r="BR17" i="7" s="1"/>
  <c r="CD17" i="7" s="1"/>
  <c r="BR16" i="7" a="1"/>
  <c r="BR16" i="7" s="1"/>
  <c r="CD16" i="7" s="1"/>
  <c r="BR9" i="7" a="1"/>
  <c r="BR9" i="7" s="1"/>
  <c r="CD9" i="7" s="1"/>
  <c r="BR8" i="7" a="1"/>
  <c r="BR8" i="7" s="1"/>
  <c r="CD8" i="7" s="1"/>
  <c r="BR14" i="7" a="1"/>
  <c r="BR14" i="7" s="1"/>
  <c r="CD14" i="7" s="1"/>
  <c r="BR7" i="7" a="1"/>
  <c r="BR7" i="7" s="1"/>
  <c r="CD7" i="7" s="1"/>
  <c r="BR6" i="7" a="1"/>
  <c r="BR6" i="7" s="1"/>
  <c r="CD6" i="7" s="1"/>
  <c r="BR15" i="7" a="1"/>
  <c r="BR15" i="7" s="1"/>
  <c r="CD15" i="7" s="1"/>
  <c r="BR13" i="7" a="1"/>
  <c r="BR13" i="7" s="1"/>
  <c r="CD13" i="7" s="1"/>
  <c r="BR12" i="7" a="1"/>
  <c r="BR12" i="7" s="1"/>
  <c r="CD12" i="7" s="1"/>
  <c r="BR5" i="7" a="1"/>
  <c r="BR5" i="7" s="1"/>
  <c r="CD5" i="7" s="1"/>
  <c r="BR11" i="7" a="1"/>
  <c r="BR11" i="7" s="1"/>
  <c r="CD11" i="7" s="1"/>
  <c r="BR10" i="7" a="1"/>
  <c r="BR10" i="7" s="1"/>
  <c r="CD10" i="7" s="1"/>
  <c r="CA15" i="7"/>
  <c r="BY15" i="7"/>
  <c r="EK12" i="3" l="1"/>
  <c r="FI23" i="3" s="1"/>
  <c r="CW11" i="3"/>
  <c r="CW12" i="3"/>
  <c r="AI8" i="3"/>
  <c r="FD19" i="3" s="1"/>
  <c r="CW6" i="3"/>
  <c r="BD31" i="3"/>
  <c r="Y10" i="3"/>
  <c r="FC21" i="3" s="1"/>
  <c r="CW8" i="3"/>
  <c r="CD13" i="3"/>
  <c r="CE13" i="3" s="1"/>
  <c r="DM13" i="3"/>
  <c r="DN13" i="3" s="1"/>
  <c r="BD146" i="3"/>
  <c r="EA7" i="3"/>
  <c r="FG18" i="3" s="1"/>
  <c r="BD19" i="3"/>
  <c r="Y11" i="3"/>
  <c r="FC22" i="3" s="1"/>
  <c r="BV11" i="3"/>
  <c r="BW11" i="3" s="1"/>
  <c r="CW10" i="3"/>
  <c r="EA10" i="3"/>
  <c r="FG21" i="3" s="1"/>
  <c r="BD10" i="3"/>
  <c r="EK7" i="3"/>
  <c r="FI18" i="3" s="1"/>
  <c r="AS10" i="3"/>
  <c r="FE21" i="3" s="1"/>
  <c r="EA9" i="3"/>
  <c r="FG20" i="3" s="1"/>
  <c r="AJ13" i="3"/>
  <c r="AK13" i="3" s="1"/>
  <c r="Z13" i="3"/>
  <c r="AA13" i="3" s="1"/>
  <c r="DC13" i="3"/>
  <c r="DD13" i="3" s="1"/>
  <c r="Y8" i="3"/>
  <c r="FC19" i="3" s="1"/>
  <c r="BV14" i="3"/>
  <c r="BD73" i="3"/>
  <c r="AY28" i="3"/>
  <c r="AI12" i="3"/>
  <c r="FD23" i="3" s="1"/>
  <c r="EF9" i="3"/>
  <c r="FH20" i="3" s="1"/>
  <c r="EF7" i="3"/>
  <c r="FH18" i="3" s="1"/>
  <c r="AS7" i="3"/>
  <c r="FE18" i="3" s="1"/>
  <c r="EK6" i="3"/>
  <c r="FI17" i="3" s="1"/>
  <c r="CW7" i="3"/>
  <c r="AI5" i="3"/>
  <c r="FD16" i="3" s="1"/>
  <c r="AS11" i="3"/>
  <c r="FE22" i="3" s="1"/>
  <c r="BH13" i="3"/>
  <c r="BI13" i="3" s="1"/>
  <c r="EW14" i="3"/>
  <c r="BW14" i="3"/>
  <c r="BD147" i="3"/>
  <c r="BD107" i="3"/>
  <c r="BD32" i="3"/>
  <c r="CX57" i="3"/>
  <c r="CY57" i="3" s="1"/>
  <c r="Z57" i="3"/>
  <c r="AA57" i="3" s="1"/>
  <c r="CD57" i="3"/>
  <c r="CE57" i="3" s="1"/>
  <c r="BH57" i="3"/>
  <c r="BI57" i="3" s="1"/>
  <c r="AJ57" i="3"/>
  <c r="AK57" i="3" s="1"/>
  <c r="DH57" i="3"/>
  <c r="DI57" i="3" s="1"/>
  <c r="P57" i="3"/>
  <c r="Q57" i="3" s="1"/>
  <c r="DC57" i="3"/>
  <c r="DD57" i="3" s="1"/>
  <c r="CN57" i="3"/>
  <c r="CO57" i="3" s="1"/>
  <c r="DM57" i="3"/>
  <c r="DN57" i="3" s="1"/>
  <c r="AY4" i="3"/>
  <c r="BV7" i="3"/>
  <c r="BD150" i="3"/>
  <c r="BD144" i="3"/>
  <c r="DM151" i="3"/>
  <c r="DN151" i="3" s="1"/>
  <c r="CD151" i="3"/>
  <c r="CE151" i="3" s="1"/>
  <c r="BH151" i="3"/>
  <c r="BI151" i="3" s="1"/>
  <c r="DH151" i="3"/>
  <c r="DI151" i="3" s="1"/>
  <c r="DC151" i="3"/>
  <c r="DD151" i="3" s="1"/>
  <c r="CN151" i="3"/>
  <c r="CO151" i="3" s="1"/>
  <c r="Z151" i="3"/>
  <c r="AA151" i="3" s="1"/>
  <c r="CX151" i="3"/>
  <c r="CY151" i="3" s="1"/>
  <c r="P151" i="3"/>
  <c r="Q151" i="3" s="1"/>
  <c r="AJ151" i="3"/>
  <c r="AK151" i="3" s="1"/>
  <c r="BD142" i="3"/>
  <c r="BD128" i="3"/>
  <c r="BD114" i="3"/>
  <c r="BD122" i="3"/>
  <c r="BD92" i="3"/>
  <c r="BD85" i="3"/>
  <c r="BD108" i="3"/>
  <c r="DC80" i="3"/>
  <c r="DD80" i="3" s="1"/>
  <c r="CN80" i="3"/>
  <c r="CO80" i="3" s="1"/>
  <c r="P80" i="3"/>
  <c r="Q80" i="3" s="1"/>
  <c r="DM80" i="3"/>
  <c r="DN80" i="3" s="1"/>
  <c r="DH80" i="3"/>
  <c r="DI80" i="3" s="1"/>
  <c r="AJ80" i="3"/>
  <c r="AK80" i="3" s="1"/>
  <c r="Z80" i="3"/>
  <c r="AA80" i="3" s="1"/>
  <c r="CX80" i="3"/>
  <c r="CY80" i="3" s="1"/>
  <c r="BH80" i="3"/>
  <c r="BI80" i="3" s="1"/>
  <c r="CD80" i="3"/>
  <c r="CE80" i="3" s="1"/>
  <c r="BD109" i="3"/>
  <c r="CD96" i="3"/>
  <c r="CE96" i="3" s="1"/>
  <c r="BH96" i="3"/>
  <c r="BI96" i="3" s="1"/>
  <c r="DC96" i="3"/>
  <c r="DD96" i="3" s="1"/>
  <c r="CN96" i="3"/>
  <c r="CO96" i="3" s="1"/>
  <c r="P96" i="3"/>
  <c r="Q96" i="3" s="1"/>
  <c r="DM96" i="3"/>
  <c r="DN96" i="3" s="1"/>
  <c r="DH96" i="3"/>
  <c r="DI96" i="3" s="1"/>
  <c r="AJ96" i="3"/>
  <c r="AK96" i="3" s="1"/>
  <c r="Z96" i="3"/>
  <c r="AA96" i="3" s="1"/>
  <c r="CX96" i="3"/>
  <c r="CY96" i="3" s="1"/>
  <c r="BD83" i="3"/>
  <c r="BD94" i="3"/>
  <c r="CN73" i="3"/>
  <c r="CO73" i="3" s="1"/>
  <c r="P73" i="3"/>
  <c r="Q73" i="3" s="1"/>
  <c r="DH73" i="3"/>
  <c r="DI73" i="3" s="1"/>
  <c r="CD73" i="3"/>
  <c r="CE73" i="3" s="1"/>
  <c r="BH73" i="3"/>
  <c r="BI73" i="3" s="1"/>
  <c r="DC73" i="3"/>
  <c r="DD73" i="3" s="1"/>
  <c r="Z73" i="3"/>
  <c r="AA73" i="3" s="1"/>
  <c r="CX73" i="3"/>
  <c r="CY73" i="3" s="1"/>
  <c r="AJ73" i="3"/>
  <c r="AK73" i="3" s="1"/>
  <c r="DM73" i="3"/>
  <c r="DN73" i="3" s="1"/>
  <c r="CN75" i="3"/>
  <c r="CO75" i="3" s="1"/>
  <c r="P75" i="3"/>
  <c r="Q75" i="3" s="1"/>
  <c r="DM75" i="3"/>
  <c r="DN75" i="3" s="1"/>
  <c r="AJ75" i="3"/>
  <c r="AK75" i="3" s="1"/>
  <c r="CX75" i="3"/>
  <c r="CY75" i="3" s="1"/>
  <c r="DH75" i="3"/>
  <c r="DI75" i="3" s="1"/>
  <c r="CD75" i="3"/>
  <c r="CE75" i="3" s="1"/>
  <c r="BH75" i="3"/>
  <c r="BI75" i="3" s="1"/>
  <c r="DC75" i="3"/>
  <c r="DD75" i="3" s="1"/>
  <c r="Z75" i="3"/>
  <c r="AA75" i="3" s="1"/>
  <c r="DC82" i="3"/>
  <c r="DD82" i="3" s="1"/>
  <c r="CN82" i="3"/>
  <c r="CO82" i="3" s="1"/>
  <c r="P82" i="3"/>
  <c r="Q82" i="3" s="1"/>
  <c r="DM82" i="3"/>
  <c r="DN82" i="3" s="1"/>
  <c r="DH82" i="3"/>
  <c r="DI82" i="3" s="1"/>
  <c r="AJ82" i="3"/>
  <c r="AK82" i="3" s="1"/>
  <c r="Z82" i="3"/>
  <c r="AA82" i="3" s="1"/>
  <c r="CX82" i="3"/>
  <c r="CY82" i="3" s="1"/>
  <c r="BH82" i="3"/>
  <c r="BI82" i="3" s="1"/>
  <c r="CD82" i="3"/>
  <c r="CE82" i="3" s="1"/>
  <c r="BD67" i="3"/>
  <c r="BD98" i="3"/>
  <c r="BD58" i="3"/>
  <c r="BD39" i="3"/>
  <c r="CN28" i="3"/>
  <c r="CO28" i="3" s="1"/>
  <c r="DM28" i="3"/>
  <c r="DN28" i="3" s="1"/>
  <c r="CX28" i="3"/>
  <c r="CY28" i="3" s="1"/>
  <c r="P28" i="3"/>
  <c r="Q28" i="3" s="1"/>
  <c r="DH28" i="3"/>
  <c r="DI28" i="3" s="1"/>
  <c r="Z28" i="3"/>
  <c r="AA28" i="3" s="1"/>
  <c r="CD28" i="3"/>
  <c r="CE28" i="3" s="1"/>
  <c r="BH28" i="3"/>
  <c r="BI28" i="3" s="1"/>
  <c r="AJ28" i="3"/>
  <c r="AK28" i="3" s="1"/>
  <c r="DC28" i="3"/>
  <c r="DD28" i="3" s="1"/>
  <c r="DH32" i="3"/>
  <c r="DI32" i="3" s="1"/>
  <c r="Z32" i="3"/>
  <c r="AA32" i="3" s="1"/>
  <c r="CN32" i="3"/>
  <c r="CO32" i="3" s="1"/>
  <c r="DM32" i="3"/>
  <c r="DN32" i="3" s="1"/>
  <c r="P32" i="3"/>
  <c r="Q32" i="3" s="1"/>
  <c r="CD32" i="3"/>
  <c r="CE32" i="3" s="1"/>
  <c r="BH32" i="3"/>
  <c r="BI32" i="3" s="1"/>
  <c r="DC32" i="3"/>
  <c r="DD32" i="3" s="1"/>
  <c r="AJ32" i="3"/>
  <c r="AK32" i="3" s="1"/>
  <c r="CX32" i="3"/>
  <c r="CY32" i="3" s="1"/>
  <c r="CX61" i="3"/>
  <c r="CY61" i="3" s="1"/>
  <c r="Z61" i="3"/>
  <c r="AA61" i="3" s="1"/>
  <c r="DH61" i="3"/>
  <c r="DI61" i="3" s="1"/>
  <c r="AJ61" i="3"/>
  <c r="AK61" i="3" s="1"/>
  <c r="CD61" i="3"/>
  <c r="CE61" i="3" s="1"/>
  <c r="BH61" i="3"/>
  <c r="BI61" i="3" s="1"/>
  <c r="CN61" i="3"/>
  <c r="CO61" i="3" s="1"/>
  <c r="DC61" i="3"/>
  <c r="DD61" i="3" s="1"/>
  <c r="DM61" i="3"/>
  <c r="DN61" i="3" s="1"/>
  <c r="P61" i="3"/>
  <c r="Q61" i="3" s="1"/>
  <c r="CX64" i="3"/>
  <c r="CY64" i="3" s="1"/>
  <c r="Z64" i="3"/>
  <c r="AA64" i="3" s="1"/>
  <c r="DH64" i="3"/>
  <c r="DI64" i="3" s="1"/>
  <c r="AJ64" i="3"/>
  <c r="AK64" i="3" s="1"/>
  <c r="CD64" i="3"/>
  <c r="CE64" i="3" s="1"/>
  <c r="BH64" i="3"/>
  <c r="BI64" i="3" s="1"/>
  <c r="DM64" i="3"/>
  <c r="DN64" i="3" s="1"/>
  <c r="CN64" i="3"/>
  <c r="CO64" i="3" s="1"/>
  <c r="DC64" i="3"/>
  <c r="DD64" i="3" s="1"/>
  <c r="P64" i="3"/>
  <c r="Q64" i="3" s="1"/>
  <c r="CD118" i="3"/>
  <c r="CE118" i="3" s="1"/>
  <c r="BH118" i="3"/>
  <c r="BI118" i="3" s="1"/>
  <c r="CN118" i="3"/>
  <c r="CO118" i="3" s="1"/>
  <c r="P118" i="3"/>
  <c r="Q118" i="3" s="1"/>
  <c r="DM118" i="3"/>
  <c r="DN118" i="3" s="1"/>
  <c r="CX118" i="3"/>
  <c r="CY118" i="3" s="1"/>
  <c r="Z118" i="3"/>
  <c r="AA118" i="3" s="1"/>
  <c r="DH118" i="3"/>
  <c r="DI118" i="3" s="1"/>
  <c r="AJ118" i="3"/>
  <c r="AK118" i="3" s="1"/>
  <c r="DC118" i="3"/>
  <c r="DD118" i="3" s="1"/>
  <c r="CN110" i="3"/>
  <c r="CO110" i="3" s="1"/>
  <c r="P110" i="3"/>
  <c r="Q110" i="3" s="1"/>
  <c r="DM110" i="3"/>
  <c r="DN110" i="3" s="1"/>
  <c r="CX110" i="3"/>
  <c r="CY110" i="3" s="1"/>
  <c r="DH110" i="3"/>
  <c r="DI110" i="3" s="1"/>
  <c r="CD110" i="3"/>
  <c r="CE110" i="3" s="1"/>
  <c r="DC110" i="3"/>
  <c r="DD110" i="3" s="1"/>
  <c r="AJ110" i="3"/>
  <c r="AK110" i="3" s="1"/>
  <c r="BH110" i="3"/>
  <c r="BI110" i="3" s="1"/>
  <c r="Z110" i="3"/>
  <c r="AA110" i="3" s="1"/>
  <c r="CD111" i="3"/>
  <c r="CE111" i="3" s="1"/>
  <c r="BH111" i="3"/>
  <c r="BI111" i="3" s="1"/>
  <c r="CN111" i="3"/>
  <c r="CO111" i="3" s="1"/>
  <c r="P111" i="3"/>
  <c r="Q111" i="3" s="1"/>
  <c r="DC111" i="3"/>
  <c r="DD111" i="3" s="1"/>
  <c r="DH111" i="3"/>
  <c r="DI111" i="3" s="1"/>
  <c r="AJ111" i="3"/>
  <c r="AK111" i="3" s="1"/>
  <c r="CX111" i="3"/>
  <c r="CY111" i="3" s="1"/>
  <c r="DM111" i="3"/>
  <c r="DN111" i="3" s="1"/>
  <c r="Z111" i="3"/>
  <c r="AA111" i="3" s="1"/>
  <c r="CD121" i="3"/>
  <c r="CE121" i="3" s="1"/>
  <c r="BH121" i="3"/>
  <c r="BI121" i="3" s="1"/>
  <c r="CN121" i="3"/>
  <c r="CO121" i="3" s="1"/>
  <c r="P121" i="3"/>
  <c r="Q121" i="3" s="1"/>
  <c r="DC121" i="3"/>
  <c r="DD121" i="3" s="1"/>
  <c r="DH121" i="3"/>
  <c r="DI121" i="3" s="1"/>
  <c r="AJ121" i="3"/>
  <c r="AK121" i="3" s="1"/>
  <c r="DM121" i="3"/>
  <c r="DN121" i="3" s="1"/>
  <c r="Z121" i="3"/>
  <c r="AA121" i="3" s="1"/>
  <c r="CX121" i="3"/>
  <c r="CY121" i="3" s="1"/>
  <c r="AI11" i="3"/>
  <c r="FD22" i="3" s="1"/>
  <c r="AS12" i="3"/>
  <c r="FE23" i="3" s="1"/>
  <c r="AY20" i="3"/>
  <c r="BD7" i="3"/>
  <c r="AY22" i="3"/>
  <c r="BD8" i="3"/>
  <c r="AY27" i="3"/>
  <c r="BD15" i="3"/>
  <c r="AS9" i="3"/>
  <c r="FE20" i="3" s="1"/>
  <c r="AY6" i="3"/>
  <c r="EF8" i="3"/>
  <c r="FH19" i="3" s="1"/>
  <c r="AY31" i="3"/>
  <c r="BD12" i="3"/>
  <c r="CB3" i="3"/>
  <c r="EV21" i="3" s="1"/>
  <c r="BV18" i="3"/>
  <c r="AY10" i="3"/>
  <c r="EA3" i="3"/>
  <c r="FG14" i="3" s="1"/>
  <c r="BD106" i="3"/>
  <c r="CD92" i="3"/>
  <c r="CE92" i="3" s="1"/>
  <c r="BH92" i="3"/>
  <c r="BI92" i="3" s="1"/>
  <c r="DC92" i="3"/>
  <c r="DD92" i="3" s="1"/>
  <c r="CN92" i="3"/>
  <c r="CO92" i="3" s="1"/>
  <c r="P92" i="3"/>
  <c r="Q92" i="3" s="1"/>
  <c r="DM92" i="3"/>
  <c r="DN92" i="3" s="1"/>
  <c r="DH92" i="3"/>
  <c r="DI92" i="3" s="1"/>
  <c r="AJ92" i="3"/>
  <c r="AK92" i="3" s="1"/>
  <c r="Z92" i="3"/>
  <c r="AA92" i="3" s="1"/>
  <c r="CX92" i="3"/>
  <c r="CY92" i="3" s="1"/>
  <c r="CX65" i="3"/>
  <c r="CY65" i="3" s="1"/>
  <c r="Z65" i="3"/>
  <c r="AA65" i="3" s="1"/>
  <c r="DH65" i="3"/>
  <c r="DI65" i="3" s="1"/>
  <c r="AJ65" i="3"/>
  <c r="AK65" i="3" s="1"/>
  <c r="CD65" i="3"/>
  <c r="CE65" i="3" s="1"/>
  <c r="BH65" i="3"/>
  <c r="BI65" i="3" s="1"/>
  <c r="DM65" i="3"/>
  <c r="DN65" i="3" s="1"/>
  <c r="CN65" i="3"/>
  <c r="CO65" i="3" s="1"/>
  <c r="DC65" i="3"/>
  <c r="DD65" i="3" s="1"/>
  <c r="P65" i="3"/>
  <c r="Q65" i="3" s="1"/>
  <c r="BD30" i="3"/>
  <c r="BV19" i="3"/>
  <c r="AY9" i="3"/>
  <c r="EA5" i="3"/>
  <c r="FG16" i="3" s="1"/>
  <c r="BD149" i="3"/>
  <c r="CD141" i="3"/>
  <c r="CE141" i="3" s="1"/>
  <c r="BH141" i="3"/>
  <c r="BI141" i="3" s="1"/>
  <c r="CN141" i="3"/>
  <c r="CO141" i="3" s="1"/>
  <c r="DC141" i="3"/>
  <c r="DD141" i="3" s="1"/>
  <c r="DM141" i="3"/>
  <c r="DN141" i="3" s="1"/>
  <c r="P141" i="3"/>
  <c r="Q141" i="3" s="1"/>
  <c r="DH141" i="3"/>
  <c r="DI141" i="3" s="1"/>
  <c r="Z141" i="3"/>
  <c r="AA141" i="3" s="1"/>
  <c r="AJ141" i="3"/>
  <c r="AK141" i="3" s="1"/>
  <c r="CX141" i="3"/>
  <c r="CY141" i="3" s="1"/>
  <c r="BD126" i="3"/>
  <c r="BD138" i="3"/>
  <c r="BD120" i="3"/>
  <c r="BD143" i="3"/>
  <c r="BD91" i="3"/>
  <c r="CD143" i="3"/>
  <c r="CE143" i="3" s="1"/>
  <c r="BH143" i="3"/>
  <c r="BI143" i="3" s="1"/>
  <c r="CN143" i="3"/>
  <c r="CO143" i="3" s="1"/>
  <c r="DM143" i="3"/>
  <c r="DN143" i="3" s="1"/>
  <c r="DH143" i="3"/>
  <c r="DI143" i="3" s="1"/>
  <c r="CX143" i="3"/>
  <c r="CY143" i="3" s="1"/>
  <c r="Z143" i="3"/>
  <c r="AA143" i="3" s="1"/>
  <c r="AJ143" i="3"/>
  <c r="AK143" i="3" s="1"/>
  <c r="P143" i="3"/>
  <c r="Q143" i="3" s="1"/>
  <c r="DC143" i="3"/>
  <c r="DD143" i="3" s="1"/>
  <c r="CD88" i="3"/>
  <c r="CE88" i="3" s="1"/>
  <c r="BH88" i="3"/>
  <c r="BI88" i="3" s="1"/>
  <c r="DC88" i="3"/>
  <c r="DD88" i="3" s="1"/>
  <c r="CN88" i="3"/>
  <c r="CO88" i="3" s="1"/>
  <c r="P88" i="3"/>
  <c r="Q88" i="3" s="1"/>
  <c r="DM88" i="3"/>
  <c r="DN88" i="3" s="1"/>
  <c r="DH88" i="3"/>
  <c r="DI88" i="3" s="1"/>
  <c r="AJ88" i="3"/>
  <c r="AK88" i="3" s="1"/>
  <c r="CX88" i="3"/>
  <c r="CY88" i="3" s="1"/>
  <c r="Z88" i="3"/>
  <c r="AA88" i="3" s="1"/>
  <c r="DC102" i="3"/>
  <c r="DD102" i="3" s="1"/>
  <c r="DH102" i="3"/>
  <c r="DI102" i="3" s="1"/>
  <c r="CD102" i="3"/>
  <c r="CE102" i="3" s="1"/>
  <c r="BH102" i="3"/>
  <c r="BI102" i="3" s="1"/>
  <c r="P102" i="3"/>
  <c r="Q102" i="3" s="1"/>
  <c r="CN102" i="3"/>
  <c r="CO102" i="3" s="1"/>
  <c r="AJ102" i="3"/>
  <c r="AK102" i="3" s="1"/>
  <c r="CX102" i="3"/>
  <c r="CY102" i="3" s="1"/>
  <c r="Z102" i="3"/>
  <c r="AA102" i="3" s="1"/>
  <c r="DM102" i="3"/>
  <c r="DN102" i="3" s="1"/>
  <c r="CD94" i="3"/>
  <c r="CE94" i="3" s="1"/>
  <c r="BH94" i="3"/>
  <c r="BI94" i="3" s="1"/>
  <c r="DC94" i="3"/>
  <c r="DD94" i="3" s="1"/>
  <c r="CN94" i="3"/>
  <c r="CO94" i="3" s="1"/>
  <c r="P94" i="3"/>
  <c r="Q94" i="3" s="1"/>
  <c r="DM94" i="3"/>
  <c r="DN94" i="3" s="1"/>
  <c r="DH94" i="3"/>
  <c r="DI94" i="3" s="1"/>
  <c r="AJ94" i="3"/>
  <c r="AK94" i="3" s="1"/>
  <c r="Z94" i="3"/>
  <c r="AA94" i="3" s="1"/>
  <c r="CX94" i="3"/>
  <c r="CY94" i="3" s="1"/>
  <c r="BD80" i="3"/>
  <c r="CD85" i="3"/>
  <c r="CE85" i="3" s="1"/>
  <c r="BH85" i="3"/>
  <c r="BI85" i="3" s="1"/>
  <c r="DC85" i="3"/>
  <c r="DD85" i="3" s="1"/>
  <c r="CN85" i="3"/>
  <c r="CO85" i="3" s="1"/>
  <c r="P85" i="3"/>
  <c r="Q85" i="3" s="1"/>
  <c r="DM85" i="3"/>
  <c r="DN85" i="3" s="1"/>
  <c r="DH85" i="3"/>
  <c r="DI85" i="3" s="1"/>
  <c r="AJ85" i="3"/>
  <c r="AK85" i="3" s="1"/>
  <c r="Z85" i="3"/>
  <c r="AA85" i="3" s="1"/>
  <c r="CX85" i="3"/>
  <c r="CY85" i="3" s="1"/>
  <c r="BD71" i="3"/>
  <c r="BD77" i="3"/>
  <c r="DC76" i="3"/>
  <c r="DD76" i="3" s="1"/>
  <c r="CN76" i="3"/>
  <c r="CO76" i="3" s="1"/>
  <c r="P76" i="3"/>
  <c r="Q76" i="3" s="1"/>
  <c r="CD76" i="3"/>
  <c r="CE76" i="3" s="1"/>
  <c r="BH76" i="3"/>
  <c r="BI76" i="3" s="1"/>
  <c r="DH76" i="3"/>
  <c r="DI76" i="3" s="1"/>
  <c r="Z76" i="3"/>
  <c r="AA76" i="3" s="1"/>
  <c r="DM76" i="3"/>
  <c r="DN76" i="3" s="1"/>
  <c r="CX76" i="3"/>
  <c r="CY76" i="3" s="1"/>
  <c r="AJ76" i="3"/>
  <c r="AK76" i="3" s="1"/>
  <c r="BD56" i="3"/>
  <c r="BD95" i="3"/>
  <c r="BD37" i="3"/>
  <c r="AY24" i="3"/>
  <c r="BD35" i="3"/>
  <c r="CD20" i="3"/>
  <c r="CE20" i="3" s="1"/>
  <c r="DC20" i="3"/>
  <c r="DD20" i="3" s="1"/>
  <c r="CN20" i="3"/>
  <c r="CO20" i="3" s="1"/>
  <c r="DM20" i="3"/>
  <c r="DN20" i="3" s="1"/>
  <c r="CX20" i="3"/>
  <c r="CY20" i="3" s="1"/>
  <c r="P20" i="3"/>
  <c r="Q20" i="3" s="1"/>
  <c r="DH20" i="3"/>
  <c r="DI20" i="3" s="1"/>
  <c r="Z20" i="3"/>
  <c r="AA20" i="3" s="1"/>
  <c r="BH20" i="3"/>
  <c r="BI20" i="3" s="1"/>
  <c r="AJ20" i="3"/>
  <c r="AK20" i="3" s="1"/>
  <c r="CX25" i="3"/>
  <c r="CY25" i="3" s="1"/>
  <c r="P25" i="3"/>
  <c r="Q25" i="3" s="1"/>
  <c r="DH25" i="3"/>
  <c r="DI25" i="3" s="1"/>
  <c r="Z25" i="3"/>
  <c r="AA25" i="3" s="1"/>
  <c r="CD25" i="3"/>
  <c r="CE25" i="3" s="1"/>
  <c r="BH25" i="3"/>
  <c r="BI25" i="3" s="1"/>
  <c r="AJ25" i="3"/>
  <c r="AK25" i="3" s="1"/>
  <c r="DC25" i="3"/>
  <c r="DD25" i="3" s="1"/>
  <c r="CN25" i="3"/>
  <c r="CO25" i="3" s="1"/>
  <c r="DM25" i="3"/>
  <c r="DN25" i="3" s="1"/>
  <c r="CX49" i="3"/>
  <c r="CY49" i="3" s="1"/>
  <c r="Z49" i="3"/>
  <c r="AA49" i="3" s="1"/>
  <c r="DH49" i="3"/>
  <c r="DI49" i="3" s="1"/>
  <c r="AJ49" i="3"/>
  <c r="AK49" i="3" s="1"/>
  <c r="CD49" i="3"/>
  <c r="CE49" i="3" s="1"/>
  <c r="BH49" i="3"/>
  <c r="BI49" i="3" s="1"/>
  <c r="DM49" i="3"/>
  <c r="DN49" i="3" s="1"/>
  <c r="CN49" i="3"/>
  <c r="CO49" i="3" s="1"/>
  <c r="DC49" i="3"/>
  <c r="DD49" i="3" s="1"/>
  <c r="P49" i="3"/>
  <c r="Q49" i="3" s="1"/>
  <c r="CN69" i="3"/>
  <c r="CO69" i="3" s="1"/>
  <c r="P69" i="3"/>
  <c r="Q69" i="3" s="1"/>
  <c r="DC69" i="3"/>
  <c r="DD69" i="3" s="1"/>
  <c r="Z69" i="3"/>
  <c r="AA69" i="3" s="1"/>
  <c r="DM69" i="3"/>
  <c r="DN69" i="3" s="1"/>
  <c r="AJ69" i="3"/>
  <c r="AK69" i="3" s="1"/>
  <c r="CX69" i="3"/>
  <c r="CY69" i="3" s="1"/>
  <c r="DH69" i="3"/>
  <c r="DI69" i="3" s="1"/>
  <c r="BH69" i="3"/>
  <c r="BI69" i="3" s="1"/>
  <c r="CD69" i="3"/>
  <c r="CE69" i="3" s="1"/>
  <c r="CN66" i="3"/>
  <c r="CO66" i="3" s="1"/>
  <c r="P66" i="3"/>
  <c r="Q66" i="3" s="1"/>
  <c r="DC66" i="3"/>
  <c r="DD66" i="3" s="1"/>
  <c r="Z66" i="3"/>
  <c r="AA66" i="3" s="1"/>
  <c r="DM66" i="3"/>
  <c r="DN66" i="3" s="1"/>
  <c r="AJ66" i="3"/>
  <c r="AK66" i="3" s="1"/>
  <c r="CX66" i="3"/>
  <c r="CY66" i="3" s="1"/>
  <c r="CD66" i="3"/>
  <c r="CE66" i="3" s="1"/>
  <c r="BH66" i="3"/>
  <c r="BI66" i="3" s="1"/>
  <c r="DH66" i="3"/>
  <c r="DI66" i="3" s="1"/>
  <c r="DC99" i="3"/>
  <c r="DD99" i="3" s="1"/>
  <c r="Z99" i="3"/>
  <c r="AA99" i="3" s="1"/>
  <c r="DM99" i="3"/>
  <c r="DN99" i="3" s="1"/>
  <c r="CX99" i="3"/>
  <c r="CY99" i="3" s="1"/>
  <c r="AJ99" i="3"/>
  <c r="AK99" i="3" s="1"/>
  <c r="CN99" i="3"/>
  <c r="CO99" i="3" s="1"/>
  <c r="CD99" i="3"/>
  <c r="CE99" i="3" s="1"/>
  <c r="P99" i="3"/>
  <c r="Q99" i="3" s="1"/>
  <c r="BH99" i="3"/>
  <c r="BI99" i="3" s="1"/>
  <c r="DH99" i="3"/>
  <c r="DI99" i="3" s="1"/>
  <c r="CD116" i="3"/>
  <c r="CE116" i="3" s="1"/>
  <c r="BH116" i="3"/>
  <c r="BI116" i="3" s="1"/>
  <c r="CN116" i="3"/>
  <c r="CO116" i="3" s="1"/>
  <c r="P116" i="3"/>
  <c r="Q116" i="3" s="1"/>
  <c r="DM116" i="3"/>
  <c r="DN116" i="3" s="1"/>
  <c r="CX116" i="3"/>
  <c r="CY116" i="3" s="1"/>
  <c r="Z116" i="3"/>
  <c r="AA116" i="3" s="1"/>
  <c r="DH116" i="3"/>
  <c r="DI116" i="3" s="1"/>
  <c r="AJ116" i="3"/>
  <c r="AK116" i="3" s="1"/>
  <c r="DC116" i="3"/>
  <c r="DD116" i="3" s="1"/>
  <c r="CD145" i="3"/>
  <c r="CE145" i="3" s="1"/>
  <c r="BH145" i="3"/>
  <c r="BI145" i="3" s="1"/>
  <c r="CN145" i="3"/>
  <c r="CO145" i="3" s="1"/>
  <c r="DH145" i="3"/>
  <c r="DI145" i="3" s="1"/>
  <c r="P145" i="3"/>
  <c r="Q145" i="3" s="1"/>
  <c r="AJ145" i="3"/>
  <c r="AK145" i="3" s="1"/>
  <c r="DM145" i="3"/>
  <c r="DN145" i="3" s="1"/>
  <c r="Z145" i="3"/>
  <c r="AA145" i="3" s="1"/>
  <c r="DC145" i="3"/>
  <c r="DD145" i="3" s="1"/>
  <c r="CX145" i="3"/>
  <c r="CY145" i="3" s="1"/>
  <c r="CN133" i="3"/>
  <c r="CO133" i="3" s="1"/>
  <c r="Z133" i="3"/>
  <c r="AA133" i="3" s="1"/>
  <c r="DC133" i="3"/>
  <c r="DD133" i="3" s="1"/>
  <c r="CX133" i="3"/>
  <c r="CY133" i="3" s="1"/>
  <c r="DM133" i="3"/>
  <c r="DN133" i="3" s="1"/>
  <c r="CD133" i="3"/>
  <c r="CE133" i="3" s="1"/>
  <c r="BH133" i="3"/>
  <c r="BI133" i="3" s="1"/>
  <c r="AJ133" i="3"/>
  <c r="AK133" i="3" s="1"/>
  <c r="DH133" i="3"/>
  <c r="DI133" i="3" s="1"/>
  <c r="P133" i="3"/>
  <c r="Q133" i="3" s="1"/>
  <c r="DM22" i="3"/>
  <c r="DN22" i="3" s="1"/>
  <c r="CX22" i="3"/>
  <c r="CY22" i="3" s="1"/>
  <c r="P22" i="3"/>
  <c r="Q22" i="3" s="1"/>
  <c r="DH22" i="3"/>
  <c r="DI22" i="3" s="1"/>
  <c r="Z22" i="3"/>
  <c r="AA22" i="3" s="1"/>
  <c r="CD22" i="3"/>
  <c r="CE22" i="3" s="1"/>
  <c r="BH22" i="3"/>
  <c r="BI22" i="3" s="1"/>
  <c r="AJ22" i="3"/>
  <c r="AK22" i="3" s="1"/>
  <c r="DC22" i="3"/>
  <c r="DD22" i="3" s="1"/>
  <c r="CN22" i="3"/>
  <c r="CO22" i="3" s="1"/>
  <c r="CD17" i="3"/>
  <c r="CE17" i="3" s="1"/>
  <c r="CN17" i="3"/>
  <c r="CO17" i="3" s="1"/>
  <c r="DM17" i="3"/>
  <c r="DN17" i="3" s="1"/>
  <c r="P17" i="3"/>
  <c r="Q17" i="3" s="1"/>
  <c r="Z17" i="3"/>
  <c r="AA17" i="3" s="1"/>
  <c r="CX17" i="3"/>
  <c r="CY17" i="3" s="1"/>
  <c r="BH17" i="3"/>
  <c r="BI17" i="3" s="1"/>
  <c r="DH17" i="3"/>
  <c r="DI17" i="3" s="1"/>
  <c r="DC17" i="3"/>
  <c r="DD17" i="3" s="1"/>
  <c r="AJ17" i="3"/>
  <c r="AK17" i="3" s="1"/>
  <c r="CD15" i="3"/>
  <c r="CE15" i="3" s="1"/>
  <c r="CN15" i="3"/>
  <c r="CO15" i="3" s="1"/>
  <c r="DM15" i="3"/>
  <c r="DN15" i="3" s="1"/>
  <c r="P15" i="3"/>
  <c r="Q15" i="3" s="1"/>
  <c r="Z15" i="3"/>
  <c r="AA15" i="3" s="1"/>
  <c r="CX15" i="3"/>
  <c r="CY15" i="3" s="1"/>
  <c r="BH15" i="3"/>
  <c r="BI15" i="3" s="1"/>
  <c r="DH15" i="3"/>
  <c r="DI15" i="3" s="1"/>
  <c r="DC15" i="3"/>
  <c r="DD15" i="3" s="1"/>
  <c r="AJ15" i="3"/>
  <c r="AK15" i="3" s="1"/>
  <c r="AJ11" i="3"/>
  <c r="AK11" i="3" s="1"/>
  <c r="Z11" i="3"/>
  <c r="AA11" i="3" s="1"/>
  <c r="P11" i="3"/>
  <c r="Q11" i="3" s="1"/>
  <c r="DH11" i="3"/>
  <c r="DI11" i="3" s="1"/>
  <c r="CX11" i="3"/>
  <c r="CY11" i="3" s="1"/>
  <c r="CN11" i="3"/>
  <c r="CO11" i="3" s="1"/>
  <c r="CD11" i="3"/>
  <c r="CE11" i="3" s="1"/>
  <c r="BH11" i="3"/>
  <c r="BI11" i="3" s="1"/>
  <c r="DM11" i="3"/>
  <c r="DN11" i="3" s="1"/>
  <c r="DC11" i="3"/>
  <c r="DD11" i="3" s="1"/>
  <c r="Y12" i="3"/>
  <c r="FC23" i="3" s="1"/>
  <c r="Y5" i="3"/>
  <c r="FC16" i="3" s="1"/>
  <c r="AI7" i="3"/>
  <c r="FD18" i="3" s="1"/>
  <c r="BD26" i="3"/>
  <c r="BD17" i="3"/>
  <c r="BD14" i="3"/>
  <c r="AS8" i="3"/>
  <c r="FE19" i="3" s="1"/>
  <c r="Y9" i="3"/>
  <c r="FC20" i="3" s="1"/>
  <c r="EF6" i="3"/>
  <c r="FH17" i="3" s="1"/>
  <c r="BV9" i="3"/>
  <c r="BV13" i="3"/>
  <c r="BV20" i="3"/>
  <c r="BD5" i="3"/>
  <c r="EA4" i="3"/>
  <c r="FG15" i="3" s="1"/>
  <c r="AY15" i="3"/>
  <c r="DH34" i="3"/>
  <c r="DI34" i="3" s="1"/>
  <c r="AJ34" i="3"/>
  <c r="AK34" i="3" s="1"/>
  <c r="DM34" i="3"/>
  <c r="DN34" i="3" s="1"/>
  <c r="CX34" i="3"/>
  <c r="CY34" i="3" s="1"/>
  <c r="CD34" i="3"/>
  <c r="CE34" i="3" s="1"/>
  <c r="BH34" i="3"/>
  <c r="BI34" i="3" s="1"/>
  <c r="CN34" i="3"/>
  <c r="CO34" i="3" s="1"/>
  <c r="Z34" i="3"/>
  <c r="AA34" i="3" s="1"/>
  <c r="DC34" i="3"/>
  <c r="DD34" i="3" s="1"/>
  <c r="P34" i="3"/>
  <c r="Q34" i="3" s="1"/>
  <c r="DH39" i="3"/>
  <c r="DI39" i="3" s="1"/>
  <c r="AJ39" i="3"/>
  <c r="AK39" i="3" s="1"/>
  <c r="CD39" i="3"/>
  <c r="CE39" i="3" s="1"/>
  <c r="BH39" i="3"/>
  <c r="BI39" i="3" s="1"/>
  <c r="Z39" i="3"/>
  <c r="AA39" i="3" s="1"/>
  <c r="DC39" i="3"/>
  <c r="DD39" i="3" s="1"/>
  <c r="CN39" i="3"/>
  <c r="CO39" i="3" s="1"/>
  <c r="CX39" i="3"/>
  <c r="CY39" i="3" s="1"/>
  <c r="P39" i="3"/>
  <c r="Q39" i="3" s="1"/>
  <c r="DM39" i="3"/>
  <c r="DN39" i="3" s="1"/>
  <c r="CX136" i="3"/>
  <c r="CY136" i="3" s="1"/>
  <c r="Z136" i="3"/>
  <c r="AA136" i="3" s="1"/>
  <c r="AJ136" i="3"/>
  <c r="AK136" i="3" s="1"/>
  <c r="P136" i="3"/>
  <c r="Q136" i="3" s="1"/>
  <c r="DH136" i="3"/>
  <c r="DI136" i="3" s="1"/>
  <c r="CD136" i="3"/>
  <c r="CE136" i="3" s="1"/>
  <c r="BH136" i="3"/>
  <c r="BI136" i="3" s="1"/>
  <c r="DC136" i="3"/>
  <c r="DD136" i="3" s="1"/>
  <c r="DM136" i="3"/>
  <c r="DN136" i="3" s="1"/>
  <c r="CN136" i="3"/>
  <c r="CO136" i="3" s="1"/>
  <c r="BD148" i="3"/>
  <c r="DM152" i="3"/>
  <c r="DN152" i="3" s="1"/>
  <c r="CD152" i="3"/>
  <c r="CE152" i="3" s="1"/>
  <c r="BH152" i="3"/>
  <c r="BI152" i="3" s="1"/>
  <c r="P152" i="3"/>
  <c r="Q152" i="3" s="1"/>
  <c r="CX152" i="3"/>
  <c r="CY152" i="3" s="1"/>
  <c r="DC152" i="3"/>
  <c r="DD152" i="3" s="1"/>
  <c r="DH152" i="3"/>
  <c r="DI152" i="3" s="1"/>
  <c r="AJ152" i="3"/>
  <c r="AK152" i="3" s="1"/>
  <c r="CN152" i="3"/>
  <c r="CO152" i="3" s="1"/>
  <c r="Z152" i="3"/>
  <c r="AA152" i="3" s="1"/>
  <c r="BD153" i="3"/>
  <c r="BD125" i="3"/>
  <c r="CD129" i="3"/>
  <c r="CE129" i="3" s="1"/>
  <c r="BH129" i="3"/>
  <c r="BI129" i="3" s="1"/>
  <c r="CN129" i="3"/>
  <c r="CO129" i="3" s="1"/>
  <c r="P129" i="3"/>
  <c r="Q129" i="3" s="1"/>
  <c r="DH129" i="3"/>
  <c r="DI129" i="3" s="1"/>
  <c r="AJ129" i="3"/>
  <c r="AK129" i="3" s="1"/>
  <c r="DM129" i="3"/>
  <c r="DN129" i="3" s="1"/>
  <c r="CX129" i="3"/>
  <c r="CY129" i="3" s="1"/>
  <c r="Z129" i="3"/>
  <c r="AA129" i="3" s="1"/>
  <c r="DC129" i="3"/>
  <c r="DD129" i="3" s="1"/>
  <c r="CD125" i="3"/>
  <c r="CE125" i="3" s="1"/>
  <c r="BH125" i="3"/>
  <c r="BI125" i="3" s="1"/>
  <c r="CN125" i="3"/>
  <c r="CO125" i="3" s="1"/>
  <c r="P125" i="3"/>
  <c r="Q125" i="3" s="1"/>
  <c r="DH125" i="3"/>
  <c r="DI125" i="3" s="1"/>
  <c r="AJ125" i="3"/>
  <c r="AK125" i="3" s="1"/>
  <c r="DM125" i="3"/>
  <c r="DN125" i="3" s="1"/>
  <c r="CX125" i="3"/>
  <c r="CY125" i="3" s="1"/>
  <c r="Z125" i="3"/>
  <c r="AA125" i="3" s="1"/>
  <c r="DC125" i="3"/>
  <c r="DD125" i="3" s="1"/>
  <c r="BD100" i="3"/>
  <c r="BD99" i="3"/>
  <c r="BD105" i="3"/>
  <c r="BD87" i="3"/>
  <c r="CN68" i="3"/>
  <c r="CO68" i="3" s="1"/>
  <c r="P68" i="3"/>
  <c r="Q68" i="3" s="1"/>
  <c r="DH68" i="3"/>
  <c r="DI68" i="3" s="1"/>
  <c r="CD68" i="3"/>
  <c r="CE68" i="3" s="1"/>
  <c r="BH68" i="3"/>
  <c r="BI68" i="3" s="1"/>
  <c r="DC68" i="3"/>
  <c r="DD68" i="3" s="1"/>
  <c r="Z68" i="3"/>
  <c r="AA68" i="3" s="1"/>
  <c r="AJ68" i="3"/>
  <c r="AK68" i="3" s="1"/>
  <c r="CX68" i="3"/>
  <c r="CY68" i="3" s="1"/>
  <c r="DM68" i="3"/>
  <c r="DN68" i="3" s="1"/>
  <c r="CX48" i="3"/>
  <c r="CY48" i="3" s="1"/>
  <c r="Z48" i="3"/>
  <c r="AA48" i="3" s="1"/>
  <c r="DH48" i="3"/>
  <c r="DI48" i="3" s="1"/>
  <c r="AJ48" i="3"/>
  <c r="AK48" i="3" s="1"/>
  <c r="CD48" i="3"/>
  <c r="CE48" i="3" s="1"/>
  <c r="BH48" i="3"/>
  <c r="BI48" i="3" s="1"/>
  <c r="DM48" i="3"/>
  <c r="DN48" i="3" s="1"/>
  <c r="CN48" i="3"/>
  <c r="CO48" i="3" s="1"/>
  <c r="DC48" i="3"/>
  <c r="DD48" i="3" s="1"/>
  <c r="P48" i="3"/>
  <c r="Q48" i="3" s="1"/>
  <c r="CX47" i="3"/>
  <c r="CY47" i="3" s="1"/>
  <c r="Z47" i="3"/>
  <c r="AA47" i="3" s="1"/>
  <c r="DH47" i="3"/>
  <c r="DI47" i="3" s="1"/>
  <c r="AJ47" i="3"/>
  <c r="AK47" i="3" s="1"/>
  <c r="CD47" i="3"/>
  <c r="CE47" i="3" s="1"/>
  <c r="BH47" i="3"/>
  <c r="BI47" i="3" s="1"/>
  <c r="DM47" i="3"/>
  <c r="DN47" i="3" s="1"/>
  <c r="P47" i="3"/>
  <c r="Q47" i="3" s="1"/>
  <c r="CN47" i="3"/>
  <c r="CO47" i="3" s="1"/>
  <c r="DC47" i="3"/>
  <c r="DD47" i="3" s="1"/>
  <c r="BD74" i="3"/>
  <c r="CN72" i="3"/>
  <c r="CO72" i="3" s="1"/>
  <c r="P72" i="3"/>
  <c r="Q72" i="3" s="1"/>
  <c r="DM72" i="3"/>
  <c r="DN72" i="3" s="1"/>
  <c r="AJ72" i="3"/>
  <c r="AK72" i="3" s="1"/>
  <c r="CX72" i="3"/>
  <c r="CY72" i="3" s="1"/>
  <c r="DH72" i="3"/>
  <c r="DI72" i="3" s="1"/>
  <c r="DC72" i="3"/>
  <c r="DD72" i="3" s="1"/>
  <c r="Z72" i="3"/>
  <c r="AA72" i="3" s="1"/>
  <c r="CD72" i="3"/>
  <c r="CE72" i="3" s="1"/>
  <c r="BH72" i="3"/>
  <c r="BI72" i="3" s="1"/>
  <c r="AY23" i="3"/>
  <c r="CD21" i="3"/>
  <c r="CE21" i="3" s="1"/>
  <c r="BH21" i="3"/>
  <c r="BI21" i="3" s="1"/>
  <c r="AJ21" i="3"/>
  <c r="AK21" i="3" s="1"/>
  <c r="DC21" i="3"/>
  <c r="DD21" i="3" s="1"/>
  <c r="CN21" i="3"/>
  <c r="CO21" i="3" s="1"/>
  <c r="DM21" i="3"/>
  <c r="DN21" i="3" s="1"/>
  <c r="CX21" i="3"/>
  <c r="CY21" i="3" s="1"/>
  <c r="P21" i="3"/>
  <c r="Q21" i="3" s="1"/>
  <c r="DH21" i="3"/>
  <c r="DI21" i="3" s="1"/>
  <c r="Z21" i="3"/>
  <c r="AA21" i="3" s="1"/>
  <c r="CX29" i="3"/>
  <c r="CY29" i="3" s="1"/>
  <c r="P29" i="3"/>
  <c r="Q29" i="3" s="1"/>
  <c r="DH29" i="3"/>
  <c r="DI29" i="3" s="1"/>
  <c r="Z29" i="3"/>
  <c r="AA29" i="3" s="1"/>
  <c r="CD29" i="3"/>
  <c r="CE29" i="3" s="1"/>
  <c r="BH29" i="3"/>
  <c r="BI29" i="3" s="1"/>
  <c r="AJ29" i="3"/>
  <c r="AK29" i="3" s="1"/>
  <c r="DC29" i="3"/>
  <c r="DD29" i="3" s="1"/>
  <c r="CN29" i="3"/>
  <c r="CO29" i="3" s="1"/>
  <c r="DM29" i="3"/>
  <c r="DN29" i="3" s="1"/>
  <c r="CX50" i="3"/>
  <c r="CY50" i="3" s="1"/>
  <c r="Z50" i="3"/>
  <c r="AA50" i="3" s="1"/>
  <c r="DH50" i="3"/>
  <c r="DI50" i="3" s="1"/>
  <c r="AJ50" i="3"/>
  <c r="AK50" i="3" s="1"/>
  <c r="CD50" i="3"/>
  <c r="CE50" i="3" s="1"/>
  <c r="BH50" i="3"/>
  <c r="BI50" i="3" s="1"/>
  <c r="DM50" i="3"/>
  <c r="DN50" i="3" s="1"/>
  <c r="CN50" i="3"/>
  <c r="CO50" i="3" s="1"/>
  <c r="DC50" i="3"/>
  <c r="DD50" i="3" s="1"/>
  <c r="P50" i="3"/>
  <c r="Q50" i="3" s="1"/>
  <c r="CX62" i="3"/>
  <c r="CY62" i="3" s="1"/>
  <c r="Z62" i="3"/>
  <c r="AA62" i="3" s="1"/>
  <c r="DH62" i="3"/>
  <c r="DI62" i="3" s="1"/>
  <c r="AJ62" i="3"/>
  <c r="AK62" i="3" s="1"/>
  <c r="CD62" i="3"/>
  <c r="CE62" i="3" s="1"/>
  <c r="BH62" i="3"/>
  <c r="BI62" i="3" s="1"/>
  <c r="DM62" i="3"/>
  <c r="DN62" i="3" s="1"/>
  <c r="P62" i="3"/>
  <c r="Q62" i="3" s="1"/>
  <c r="DC62" i="3"/>
  <c r="DD62" i="3" s="1"/>
  <c r="CN62" i="3"/>
  <c r="CO62" i="3" s="1"/>
  <c r="CN74" i="3"/>
  <c r="CO74" i="3" s="1"/>
  <c r="P74" i="3"/>
  <c r="Q74" i="3" s="1"/>
  <c r="DC74" i="3"/>
  <c r="DD74" i="3" s="1"/>
  <c r="Z74" i="3"/>
  <c r="AA74" i="3" s="1"/>
  <c r="DM74" i="3"/>
  <c r="DN74" i="3" s="1"/>
  <c r="AJ74" i="3"/>
  <c r="AK74" i="3" s="1"/>
  <c r="CX74" i="3"/>
  <c r="CY74" i="3" s="1"/>
  <c r="CD74" i="3"/>
  <c r="CE74" i="3" s="1"/>
  <c r="BH74" i="3"/>
  <c r="BI74" i="3" s="1"/>
  <c r="DH74" i="3"/>
  <c r="DI74" i="3" s="1"/>
  <c r="DC101" i="3"/>
  <c r="DD101" i="3" s="1"/>
  <c r="Z101" i="3"/>
  <c r="AA101" i="3" s="1"/>
  <c r="DM101" i="3"/>
  <c r="DN101" i="3" s="1"/>
  <c r="CX101" i="3"/>
  <c r="CY101" i="3" s="1"/>
  <c r="AJ101" i="3"/>
  <c r="AK101" i="3" s="1"/>
  <c r="CN101" i="3"/>
  <c r="CO101" i="3" s="1"/>
  <c r="DH101" i="3"/>
  <c r="DI101" i="3" s="1"/>
  <c r="BH101" i="3"/>
  <c r="BI101" i="3" s="1"/>
  <c r="P101" i="3"/>
  <c r="Q101" i="3" s="1"/>
  <c r="CD101" i="3"/>
  <c r="CE101" i="3" s="1"/>
  <c r="DC104" i="3"/>
  <c r="DD104" i="3" s="1"/>
  <c r="CN104" i="3"/>
  <c r="CO104" i="3" s="1"/>
  <c r="P104" i="3"/>
  <c r="Q104" i="3" s="1"/>
  <c r="CX104" i="3"/>
  <c r="CY104" i="3" s="1"/>
  <c r="Z104" i="3"/>
  <c r="AA104" i="3" s="1"/>
  <c r="DH104" i="3"/>
  <c r="DI104" i="3" s="1"/>
  <c r="BH104" i="3"/>
  <c r="BI104" i="3" s="1"/>
  <c r="AJ104" i="3"/>
  <c r="AK104" i="3" s="1"/>
  <c r="CD104" i="3"/>
  <c r="CE104" i="3" s="1"/>
  <c r="DM104" i="3"/>
  <c r="DN104" i="3" s="1"/>
  <c r="CX135" i="3"/>
  <c r="CY135" i="3" s="1"/>
  <c r="AJ135" i="3"/>
  <c r="AK135" i="3" s="1"/>
  <c r="DC135" i="3"/>
  <c r="DD135" i="3" s="1"/>
  <c r="CN135" i="3"/>
  <c r="CO135" i="3" s="1"/>
  <c r="DH135" i="3"/>
  <c r="DI135" i="3" s="1"/>
  <c r="Z135" i="3"/>
  <c r="AA135" i="3" s="1"/>
  <c r="BH135" i="3"/>
  <c r="BI135" i="3" s="1"/>
  <c r="DM135" i="3"/>
  <c r="DN135" i="3" s="1"/>
  <c r="P135" i="3"/>
  <c r="Q135" i="3" s="1"/>
  <c r="CD135" i="3"/>
  <c r="CE135" i="3" s="1"/>
  <c r="CD137" i="3"/>
  <c r="CE137" i="3" s="1"/>
  <c r="BH137" i="3"/>
  <c r="BI137" i="3" s="1"/>
  <c r="CN137" i="3"/>
  <c r="CO137" i="3" s="1"/>
  <c r="Z137" i="3"/>
  <c r="AA137" i="3" s="1"/>
  <c r="CX137" i="3"/>
  <c r="CY137" i="3" s="1"/>
  <c r="DM137" i="3"/>
  <c r="DN137" i="3" s="1"/>
  <c r="AJ137" i="3"/>
  <c r="AK137" i="3" s="1"/>
  <c r="DH137" i="3"/>
  <c r="DI137" i="3" s="1"/>
  <c r="P137" i="3"/>
  <c r="Q137" i="3" s="1"/>
  <c r="DC137" i="3"/>
  <c r="DD137" i="3" s="1"/>
  <c r="AY29" i="3"/>
  <c r="AY18" i="3"/>
  <c r="EK10" i="3"/>
  <c r="FI21" i="3" s="1"/>
  <c r="DV5" i="3"/>
  <c r="FF16" i="3" s="1"/>
  <c r="DV3" i="3"/>
  <c r="FF14" i="3" s="1"/>
  <c r="DV6" i="3"/>
  <c r="FF17" i="3" s="1"/>
  <c r="DV9" i="3"/>
  <c r="FF20" i="3" s="1"/>
  <c r="DV7" i="3"/>
  <c r="FF18" i="3" s="1"/>
  <c r="DV8" i="3"/>
  <c r="FF19" i="3" s="1"/>
  <c r="DV10" i="3"/>
  <c r="FF21" i="3" s="1"/>
  <c r="DV11" i="3"/>
  <c r="FF22" i="3" s="1"/>
  <c r="DV12" i="3"/>
  <c r="FF23" i="3" s="1"/>
  <c r="DV4" i="3"/>
  <c r="FF15" i="3" s="1"/>
  <c r="EK11" i="3"/>
  <c r="FI22" i="3" s="1"/>
  <c r="BD33" i="3"/>
  <c r="DM31" i="3"/>
  <c r="DN31" i="3" s="1"/>
  <c r="CX31" i="3"/>
  <c r="CY31" i="3" s="1"/>
  <c r="CD31" i="3"/>
  <c r="CE31" i="3" s="1"/>
  <c r="BH31" i="3"/>
  <c r="BI31" i="3" s="1"/>
  <c r="AJ31" i="3"/>
  <c r="AK31" i="3" s="1"/>
  <c r="DH31" i="3"/>
  <c r="DI31" i="3" s="1"/>
  <c r="CN31" i="3"/>
  <c r="CO31" i="3" s="1"/>
  <c r="DC31" i="3"/>
  <c r="DD31" i="3" s="1"/>
  <c r="P31" i="3"/>
  <c r="Q31" i="3" s="1"/>
  <c r="Z31" i="3"/>
  <c r="AA31" i="3" s="1"/>
  <c r="AI6" i="3"/>
  <c r="FD17" i="3" s="1"/>
  <c r="Y7" i="3"/>
  <c r="FC18" i="3" s="1"/>
  <c r="AI3" i="3"/>
  <c r="FD14" i="3" s="1"/>
  <c r="BD28" i="3"/>
  <c r="BH9" i="3"/>
  <c r="BI9" i="3" s="1"/>
  <c r="DM9" i="3"/>
  <c r="DN9" i="3" s="1"/>
  <c r="DC9" i="3"/>
  <c r="DD9" i="3" s="1"/>
  <c r="AJ9" i="3"/>
  <c r="AK9" i="3" s="1"/>
  <c r="Z9" i="3"/>
  <c r="AA9" i="3" s="1"/>
  <c r="P9" i="3"/>
  <c r="Q9" i="3" s="1"/>
  <c r="DH9" i="3"/>
  <c r="DI9" i="3" s="1"/>
  <c r="CX9" i="3"/>
  <c r="CY9" i="3" s="1"/>
  <c r="CN9" i="3"/>
  <c r="CO9" i="3" s="1"/>
  <c r="CD9" i="3"/>
  <c r="CE9" i="3" s="1"/>
  <c r="EF4" i="3"/>
  <c r="FH15" i="3" s="1"/>
  <c r="EF3" i="3"/>
  <c r="FH14" i="3" s="1"/>
  <c r="AY11" i="3"/>
  <c r="BV6" i="3"/>
  <c r="BV10" i="3"/>
  <c r="AI10" i="3"/>
  <c r="FD21" i="3" s="1"/>
  <c r="BD13" i="3"/>
  <c r="CW4" i="3"/>
  <c r="AY8" i="3"/>
  <c r="BD110" i="3"/>
  <c r="CD91" i="3"/>
  <c r="CE91" i="3" s="1"/>
  <c r="BH91" i="3"/>
  <c r="BI91" i="3" s="1"/>
  <c r="DC91" i="3"/>
  <c r="DD91" i="3" s="1"/>
  <c r="CN91" i="3"/>
  <c r="CO91" i="3" s="1"/>
  <c r="P91" i="3"/>
  <c r="Q91" i="3" s="1"/>
  <c r="DM91" i="3"/>
  <c r="DN91" i="3" s="1"/>
  <c r="DH91" i="3"/>
  <c r="DI91" i="3" s="1"/>
  <c r="AJ91" i="3"/>
  <c r="AK91" i="3" s="1"/>
  <c r="Z91" i="3"/>
  <c r="AA91" i="3" s="1"/>
  <c r="CX91" i="3"/>
  <c r="CY91" i="3" s="1"/>
  <c r="CN67" i="3"/>
  <c r="CO67" i="3" s="1"/>
  <c r="P67" i="3"/>
  <c r="Q67" i="3" s="1"/>
  <c r="DM67" i="3"/>
  <c r="DN67" i="3" s="1"/>
  <c r="AJ67" i="3"/>
  <c r="AK67" i="3" s="1"/>
  <c r="CX67" i="3"/>
  <c r="CY67" i="3" s="1"/>
  <c r="DH67" i="3"/>
  <c r="DI67" i="3" s="1"/>
  <c r="CD67" i="3"/>
  <c r="CE67" i="3" s="1"/>
  <c r="BH67" i="3"/>
  <c r="BI67" i="3" s="1"/>
  <c r="Z67" i="3"/>
  <c r="AA67" i="3" s="1"/>
  <c r="DC67" i="3"/>
  <c r="DD67" i="3" s="1"/>
  <c r="DH44" i="3"/>
  <c r="DI44" i="3" s="1"/>
  <c r="AJ44" i="3"/>
  <c r="AK44" i="3" s="1"/>
  <c r="CD44" i="3"/>
  <c r="CE44" i="3" s="1"/>
  <c r="BH44" i="3"/>
  <c r="BI44" i="3" s="1"/>
  <c r="DM44" i="3"/>
  <c r="DN44" i="3" s="1"/>
  <c r="CX44" i="3"/>
  <c r="CY44" i="3" s="1"/>
  <c r="P44" i="3"/>
  <c r="Q44" i="3" s="1"/>
  <c r="DC44" i="3"/>
  <c r="DD44" i="3" s="1"/>
  <c r="Z44" i="3"/>
  <c r="AA44" i="3" s="1"/>
  <c r="CN44" i="3"/>
  <c r="CO44" i="3" s="1"/>
  <c r="BD36" i="3"/>
  <c r="DH33" i="3"/>
  <c r="DI33" i="3" s="1"/>
  <c r="AJ33" i="3"/>
  <c r="AK33" i="3" s="1"/>
  <c r="DC33" i="3"/>
  <c r="DD33" i="3" s="1"/>
  <c r="CN33" i="3"/>
  <c r="CO33" i="3" s="1"/>
  <c r="DM33" i="3"/>
  <c r="DN33" i="3" s="1"/>
  <c r="P33" i="3"/>
  <c r="Q33" i="3" s="1"/>
  <c r="BH33" i="3"/>
  <c r="BI33" i="3" s="1"/>
  <c r="Z33" i="3"/>
  <c r="AA33" i="3" s="1"/>
  <c r="CX33" i="3"/>
  <c r="CY33" i="3" s="1"/>
  <c r="CD33" i="3"/>
  <c r="CE33" i="3" s="1"/>
  <c r="DM150" i="3"/>
  <c r="DN150" i="3" s="1"/>
  <c r="CD150" i="3"/>
  <c r="CE150" i="3" s="1"/>
  <c r="BH150" i="3"/>
  <c r="BI150" i="3" s="1"/>
  <c r="P150" i="3"/>
  <c r="Q150" i="3" s="1"/>
  <c r="CX150" i="3"/>
  <c r="CY150" i="3" s="1"/>
  <c r="AJ150" i="3"/>
  <c r="AK150" i="3" s="1"/>
  <c r="DC150" i="3"/>
  <c r="DD150" i="3" s="1"/>
  <c r="Z150" i="3"/>
  <c r="AA150" i="3" s="1"/>
  <c r="CN150" i="3"/>
  <c r="CO150" i="3" s="1"/>
  <c r="DH150" i="3"/>
  <c r="DI150" i="3" s="1"/>
  <c r="BD124" i="3"/>
  <c r="BD112" i="3"/>
  <c r="BD133" i="3"/>
  <c r="BD118" i="3"/>
  <c r="BD134" i="3"/>
  <c r="CD87" i="3"/>
  <c r="CE87" i="3" s="1"/>
  <c r="BH87" i="3"/>
  <c r="BI87" i="3" s="1"/>
  <c r="DC87" i="3"/>
  <c r="DD87" i="3" s="1"/>
  <c r="CN87" i="3"/>
  <c r="CO87" i="3" s="1"/>
  <c r="P87" i="3"/>
  <c r="Q87" i="3" s="1"/>
  <c r="DM87" i="3"/>
  <c r="DN87" i="3" s="1"/>
  <c r="DH87" i="3"/>
  <c r="DI87" i="3" s="1"/>
  <c r="AJ87" i="3"/>
  <c r="AK87" i="3" s="1"/>
  <c r="CX87" i="3"/>
  <c r="CY87" i="3" s="1"/>
  <c r="Z87" i="3"/>
  <c r="AA87" i="3" s="1"/>
  <c r="BD84" i="3"/>
  <c r="BD111" i="3"/>
  <c r="BD93" i="3"/>
  <c r="DC103" i="3"/>
  <c r="DD103" i="3" s="1"/>
  <c r="CN103" i="3"/>
  <c r="CO103" i="3" s="1"/>
  <c r="P103" i="3"/>
  <c r="Q103" i="3" s="1"/>
  <c r="CD103" i="3"/>
  <c r="CE103" i="3" s="1"/>
  <c r="BH103" i="3"/>
  <c r="BI103" i="3" s="1"/>
  <c r="DH103" i="3"/>
  <c r="DI103" i="3" s="1"/>
  <c r="Z103" i="3"/>
  <c r="AA103" i="3" s="1"/>
  <c r="DM103" i="3"/>
  <c r="DN103" i="3" s="1"/>
  <c r="CX103" i="3"/>
  <c r="CY103" i="3" s="1"/>
  <c r="AJ103" i="3"/>
  <c r="AK103" i="3" s="1"/>
  <c r="BD103" i="3"/>
  <c r="BD90" i="3"/>
  <c r="BD72" i="3"/>
  <c r="BD66" i="3"/>
  <c r="BD68" i="3"/>
  <c r="BD89" i="3"/>
  <c r="BD42" i="3"/>
  <c r="AY21" i="3"/>
  <c r="CD23" i="3"/>
  <c r="CE23" i="3" s="1"/>
  <c r="BH23" i="3"/>
  <c r="BI23" i="3" s="1"/>
  <c r="AJ23" i="3"/>
  <c r="AK23" i="3" s="1"/>
  <c r="DC23" i="3"/>
  <c r="DD23" i="3" s="1"/>
  <c r="CN23" i="3"/>
  <c r="CO23" i="3" s="1"/>
  <c r="DM23" i="3"/>
  <c r="DN23" i="3" s="1"/>
  <c r="CX23" i="3"/>
  <c r="CY23" i="3" s="1"/>
  <c r="P23" i="3"/>
  <c r="Q23" i="3" s="1"/>
  <c r="DH23" i="3"/>
  <c r="DI23" i="3" s="1"/>
  <c r="Z23" i="3"/>
  <c r="AA23" i="3" s="1"/>
  <c r="DH40" i="3"/>
  <c r="DI40" i="3" s="1"/>
  <c r="AJ40" i="3"/>
  <c r="AK40" i="3" s="1"/>
  <c r="CD40" i="3"/>
  <c r="CE40" i="3" s="1"/>
  <c r="BH40" i="3"/>
  <c r="BI40" i="3" s="1"/>
  <c r="Z40" i="3"/>
  <c r="AA40" i="3" s="1"/>
  <c r="DC40" i="3"/>
  <c r="DD40" i="3" s="1"/>
  <c r="CN40" i="3"/>
  <c r="CO40" i="3" s="1"/>
  <c r="DM40" i="3"/>
  <c r="DN40" i="3" s="1"/>
  <c r="P40" i="3"/>
  <c r="Q40" i="3" s="1"/>
  <c r="CX40" i="3"/>
  <c r="CY40" i="3" s="1"/>
  <c r="CX51" i="3"/>
  <c r="CY51" i="3" s="1"/>
  <c r="Z51" i="3"/>
  <c r="AA51" i="3" s="1"/>
  <c r="DH51" i="3"/>
  <c r="DI51" i="3" s="1"/>
  <c r="AJ51" i="3"/>
  <c r="AK51" i="3" s="1"/>
  <c r="CD51" i="3"/>
  <c r="CE51" i="3" s="1"/>
  <c r="BH51" i="3"/>
  <c r="BI51" i="3" s="1"/>
  <c r="DM51" i="3"/>
  <c r="DN51" i="3" s="1"/>
  <c r="CN51" i="3"/>
  <c r="CO51" i="3" s="1"/>
  <c r="DC51" i="3"/>
  <c r="DD51" i="3" s="1"/>
  <c r="P51" i="3"/>
  <c r="Q51" i="3" s="1"/>
  <c r="DC78" i="3"/>
  <c r="DD78" i="3" s="1"/>
  <c r="CN78" i="3"/>
  <c r="CO78" i="3" s="1"/>
  <c r="P78" i="3"/>
  <c r="Q78" i="3" s="1"/>
  <c r="CD78" i="3"/>
  <c r="CE78" i="3" s="1"/>
  <c r="Z78" i="3"/>
  <c r="AA78" i="3" s="1"/>
  <c r="DH78" i="3"/>
  <c r="DI78" i="3" s="1"/>
  <c r="AJ78" i="3"/>
  <c r="AK78" i="3" s="1"/>
  <c r="DM78" i="3"/>
  <c r="DN78" i="3" s="1"/>
  <c r="CX78" i="3"/>
  <c r="CY78" i="3" s="1"/>
  <c r="BH78" i="3"/>
  <c r="BI78" i="3" s="1"/>
  <c r="DC107" i="3"/>
  <c r="DD107" i="3" s="1"/>
  <c r="CN107" i="3"/>
  <c r="CO107" i="3" s="1"/>
  <c r="P107" i="3"/>
  <c r="Q107" i="3" s="1"/>
  <c r="CX107" i="3"/>
  <c r="CY107" i="3" s="1"/>
  <c r="Z107" i="3"/>
  <c r="AA107" i="3" s="1"/>
  <c r="BH107" i="3"/>
  <c r="BI107" i="3" s="1"/>
  <c r="DM107" i="3"/>
  <c r="DN107" i="3" s="1"/>
  <c r="CD107" i="3"/>
  <c r="CE107" i="3" s="1"/>
  <c r="AJ107" i="3"/>
  <c r="AK107" i="3" s="1"/>
  <c r="DH107" i="3"/>
  <c r="DI107" i="3" s="1"/>
  <c r="DC106" i="3"/>
  <c r="DD106" i="3" s="1"/>
  <c r="CN106" i="3"/>
  <c r="CO106" i="3" s="1"/>
  <c r="P106" i="3"/>
  <c r="Q106" i="3" s="1"/>
  <c r="CX106" i="3"/>
  <c r="CY106" i="3" s="1"/>
  <c r="Z106" i="3"/>
  <c r="AA106" i="3" s="1"/>
  <c r="BH106" i="3"/>
  <c r="BI106" i="3" s="1"/>
  <c r="DM106" i="3"/>
  <c r="DN106" i="3" s="1"/>
  <c r="CD106" i="3"/>
  <c r="CE106" i="3" s="1"/>
  <c r="AJ106" i="3"/>
  <c r="AK106" i="3" s="1"/>
  <c r="DH106" i="3"/>
  <c r="DI106" i="3" s="1"/>
  <c r="CD120" i="3"/>
  <c r="CE120" i="3" s="1"/>
  <c r="BH120" i="3"/>
  <c r="BI120" i="3" s="1"/>
  <c r="CN120" i="3"/>
  <c r="CO120" i="3" s="1"/>
  <c r="P120" i="3"/>
  <c r="Q120" i="3" s="1"/>
  <c r="DM120" i="3"/>
  <c r="DN120" i="3" s="1"/>
  <c r="CX120" i="3"/>
  <c r="CY120" i="3" s="1"/>
  <c r="Z120" i="3"/>
  <c r="AA120" i="3" s="1"/>
  <c r="DH120" i="3"/>
  <c r="DI120" i="3" s="1"/>
  <c r="AJ120" i="3"/>
  <c r="AK120" i="3" s="1"/>
  <c r="DC120" i="3"/>
  <c r="DD120" i="3" s="1"/>
  <c r="CD113" i="3"/>
  <c r="CE113" i="3" s="1"/>
  <c r="BH113" i="3"/>
  <c r="BI113" i="3" s="1"/>
  <c r="CN113" i="3"/>
  <c r="CO113" i="3" s="1"/>
  <c r="P113" i="3"/>
  <c r="Q113" i="3" s="1"/>
  <c r="DC113" i="3"/>
  <c r="DD113" i="3" s="1"/>
  <c r="DH113" i="3"/>
  <c r="DI113" i="3" s="1"/>
  <c r="AJ113" i="3"/>
  <c r="AK113" i="3" s="1"/>
  <c r="CX113" i="3"/>
  <c r="CY113" i="3" s="1"/>
  <c r="DM113" i="3"/>
  <c r="DN113" i="3" s="1"/>
  <c r="Z113" i="3"/>
  <c r="AA113" i="3" s="1"/>
  <c r="DM147" i="3"/>
  <c r="DN147" i="3" s="1"/>
  <c r="CD147" i="3"/>
  <c r="CE147" i="3" s="1"/>
  <c r="BH147" i="3"/>
  <c r="BI147" i="3" s="1"/>
  <c r="DH147" i="3"/>
  <c r="DI147" i="3" s="1"/>
  <c r="DC147" i="3"/>
  <c r="DD147" i="3" s="1"/>
  <c r="CN147" i="3"/>
  <c r="CO147" i="3" s="1"/>
  <c r="Z147" i="3"/>
  <c r="AA147" i="3" s="1"/>
  <c r="AJ147" i="3"/>
  <c r="AK147" i="3" s="1"/>
  <c r="P147" i="3"/>
  <c r="Q147" i="3" s="1"/>
  <c r="CX147" i="3"/>
  <c r="CY147" i="3" s="1"/>
  <c r="AY16" i="3"/>
  <c r="EA11" i="3"/>
  <c r="FG22" i="3" s="1"/>
  <c r="CD27" i="3"/>
  <c r="CE27" i="3" s="1"/>
  <c r="BH27" i="3"/>
  <c r="BI27" i="3" s="1"/>
  <c r="AJ27" i="3"/>
  <c r="AK27" i="3" s="1"/>
  <c r="DC27" i="3"/>
  <c r="DD27" i="3" s="1"/>
  <c r="CN27" i="3"/>
  <c r="CO27" i="3" s="1"/>
  <c r="DM27" i="3"/>
  <c r="DN27" i="3" s="1"/>
  <c r="CX27" i="3"/>
  <c r="CY27" i="3" s="1"/>
  <c r="P27" i="3"/>
  <c r="Q27" i="3" s="1"/>
  <c r="DH27" i="3"/>
  <c r="DI27" i="3" s="1"/>
  <c r="Z27" i="3"/>
  <c r="AA27" i="3" s="1"/>
  <c r="DH14" i="3"/>
  <c r="DI14" i="3" s="1"/>
  <c r="CD14" i="3"/>
  <c r="CE14" i="3" s="1"/>
  <c r="DC14" i="3"/>
  <c r="DD14" i="3" s="1"/>
  <c r="DM14" i="3"/>
  <c r="DN14" i="3" s="1"/>
  <c r="CX14" i="3"/>
  <c r="CY14" i="3" s="1"/>
  <c r="AJ14" i="3"/>
  <c r="AK14" i="3" s="1"/>
  <c r="P14" i="3"/>
  <c r="Q14" i="3" s="1"/>
  <c r="CN14" i="3"/>
  <c r="CO14" i="3" s="1"/>
  <c r="CR10" i="3" s="1"/>
  <c r="BH14" i="3"/>
  <c r="BI14" i="3" s="1"/>
  <c r="Z14" i="3"/>
  <c r="AA14" i="3" s="1"/>
  <c r="BD6" i="3"/>
  <c r="Y3" i="3"/>
  <c r="FC14" i="3" s="1"/>
  <c r="BD24" i="3"/>
  <c r="BD27" i="3"/>
  <c r="EK8" i="3"/>
  <c r="FI19" i="3" s="1"/>
  <c r="BQ6" i="3"/>
  <c r="FB17" i="3" s="1"/>
  <c r="BQ7" i="3"/>
  <c r="FB18" i="3" s="1"/>
  <c r="BQ3" i="3"/>
  <c r="FB14" i="3" s="1"/>
  <c r="BQ8" i="3"/>
  <c r="FB19" i="3" s="1"/>
  <c r="BQ9" i="3"/>
  <c r="FB20" i="3" s="1"/>
  <c r="BQ10" i="3"/>
  <c r="FB21" i="3" s="1"/>
  <c r="BQ11" i="3"/>
  <c r="FB22" i="3" s="1"/>
  <c r="BQ4" i="3"/>
  <c r="FB15" i="3" s="1"/>
  <c r="BQ12" i="3"/>
  <c r="FB23" i="3" s="1"/>
  <c r="BQ5" i="3"/>
  <c r="FB16" i="3" s="1"/>
  <c r="EF12" i="3"/>
  <c r="FH23" i="3" s="1"/>
  <c r="EF5" i="3"/>
  <c r="FH16" i="3" s="1"/>
  <c r="AI4" i="3"/>
  <c r="FD15" i="3" s="1"/>
  <c r="BV8" i="3"/>
  <c r="BV5" i="3"/>
  <c r="BD11" i="3"/>
  <c r="CW3" i="3"/>
  <c r="FK14" i="3" s="1"/>
  <c r="AS4" i="3"/>
  <c r="FE15" i="3" s="1"/>
  <c r="CD126" i="3"/>
  <c r="CE126" i="3" s="1"/>
  <c r="BH126" i="3"/>
  <c r="BI126" i="3" s="1"/>
  <c r="CN126" i="3"/>
  <c r="CO126" i="3" s="1"/>
  <c r="P126" i="3"/>
  <c r="Q126" i="3" s="1"/>
  <c r="DH126" i="3"/>
  <c r="DI126" i="3" s="1"/>
  <c r="AJ126" i="3"/>
  <c r="AK126" i="3" s="1"/>
  <c r="DM126" i="3"/>
  <c r="DN126" i="3" s="1"/>
  <c r="CX126" i="3"/>
  <c r="CY126" i="3" s="1"/>
  <c r="DC126" i="3"/>
  <c r="DD126" i="3" s="1"/>
  <c r="Z126" i="3"/>
  <c r="AA126" i="3" s="1"/>
  <c r="CD83" i="3"/>
  <c r="CE83" i="3" s="1"/>
  <c r="BH83" i="3"/>
  <c r="BI83" i="3" s="1"/>
  <c r="DC83" i="3"/>
  <c r="DD83" i="3" s="1"/>
  <c r="CN83" i="3"/>
  <c r="CO83" i="3" s="1"/>
  <c r="P83" i="3"/>
  <c r="Q83" i="3" s="1"/>
  <c r="DM83" i="3"/>
  <c r="DN83" i="3" s="1"/>
  <c r="DH83" i="3"/>
  <c r="DI83" i="3" s="1"/>
  <c r="AJ83" i="3"/>
  <c r="AK83" i="3" s="1"/>
  <c r="CX83" i="3"/>
  <c r="CY83" i="3" s="1"/>
  <c r="Z83" i="3"/>
  <c r="AA83" i="3" s="1"/>
  <c r="BD76" i="3"/>
  <c r="BD38" i="3"/>
  <c r="CD122" i="3"/>
  <c r="CE122" i="3" s="1"/>
  <c r="BH122" i="3"/>
  <c r="BI122" i="3" s="1"/>
  <c r="CN122" i="3"/>
  <c r="CO122" i="3" s="1"/>
  <c r="P122" i="3"/>
  <c r="Q122" i="3" s="1"/>
  <c r="DM122" i="3"/>
  <c r="DN122" i="3" s="1"/>
  <c r="CX122" i="3"/>
  <c r="CY122" i="3" s="1"/>
  <c r="Z122" i="3"/>
  <c r="AA122" i="3" s="1"/>
  <c r="DH122" i="3"/>
  <c r="DI122" i="3" s="1"/>
  <c r="AJ122" i="3"/>
  <c r="AK122" i="3" s="1"/>
  <c r="DC122" i="3"/>
  <c r="DD122" i="3" s="1"/>
  <c r="AY30" i="3"/>
  <c r="BD152" i="3"/>
  <c r="DM148" i="3"/>
  <c r="DN148" i="3" s="1"/>
  <c r="CD148" i="3"/>
  <c r="CE148" i="3" s="1"/>
  <c r="BH148" i="3"/>
  <c r="BI148" i="3" s="1"/>
  <c r="P148" i="3"/>
  <c r="Q148" i="3" s="1"/>
  <c r="CX148" i="3"/>
  <c r="CY148" i="3" s="1"/>
  <c r="AJ148" i="3"/>
  <c r="AK148" i="3" s="1"/>
  <c r="Z148" i="3"/>
  <c r="AA148" i="3" s="1"/>
  <c r="DC148" i="3"/>
  <c r="DD148" i="3" s="1"/>
  <c r="DH148" i="3"/>
  <c r="DI148" i="3" s="1"/>
  <c r="CN148" i="3"/>
  <c r="CO148" i="3" s="1"/>
  <c r="DM153" i="3"/>
  <c r="DN153" i="3" s="1"/>
  <c r="CD153" i="3"/>
  <c r="CE153" i="3" s="1"/>
  <c r="BH153" i="3"/>
  <c r="BI153" i="3" s="1"/>
  <c r="DH153" i="3"/>
  <c r="DI153" i="3" s="1"/>
  <c r="DC153" i="3"/>
  <c r="DD153" i="3" s="1"/>
  <c r="CN153" i="3"/>
  <c r="CO153" i="3" s="1"/>
  <c r="Z153" i="3"/>
  <c r="AA153" i="3" s="1"/>
  <c r="AJ153" i="3"/>
  <c r="AK153" i="3" s="1"/>
  <c r="P153" i="3"/>
  <c r="Q153" i="3" s="1"/>
  <c r="CX153" i="3"/>
  <c r="CY153" i="3" s="1"/>
  <c r="BD139" i="3"/>
  <c r="BD131" i="3"/>
  <c r="BD123" i="3"/>
  <c r="DM149" i="3"/>
  <c r="DN149" i="3" s="1"/>
  <c r="CD149" i="3"/>
  <c r="CE149" i="3" s="1"/>
  <c r="BH149" i="3"/>
  <c r="BI149" i="3" s="1"/>
  <c r="DH149" i="3"/>
  <c r="DI149" i="3" s="1"/>
  <c r="DC149" i="3"/>
  <c r="DD149" i="3" s="1"/>
  <c r="CN149" i="3"/>
  <c r="CO149" i="3" s="1"/>
  <c r="Z149" i="3"/>
  <c r="AA149" i="3" s="1"/>
  <c r="CX149" i="3"/>
  <c r="CY149" i="3" s="1"/>
  <c r="P149" i="3"/>
  <c r="Q149" i="3" s="1"/>
  <c r="AJ149" i="3"/>
  <c r="AK149" i="3" s="1"/>
  <c r="DH132" i="3"/>
  <c r="DI132" i="3" s="1"/>
  <c r="CD132" i="3"/>
  <c r="CE132" i="3" s="1"/>
  <c r="BH132" i="3"/>
  <c r="BI132" i="3" s="1"/>
  <c r="P132" i="3"/>
  <c r="Q132" i="3" s="1"/>
  <c r="DM132" i="3"/>
  <c r="DN132" i="3" s="1"/>
  <c r="CX132" i="3"/>
  <c r="CY132" i="3" s="1"/>
  <c r="AJ132" i="3"/>
  <c r="AK132" i="3" s="1"/>
  <c r="CN132" i="3"/>
  <c r="CO132" i="3" s="1"/>
  <c r="DC132" i="3"/>
  <c r="DD132" i="3" s="1"/>
  <c r="Z132" i="3"/>
  <c r="AA132" i="3" s="1"/>
  <c r="CD128" i="3"/>
  <c r="CE128" i="3" s="1"/>
  <c r="BH128" i="3"/>
  <c r="BI128" i="3" s="1"/>
  <c r="CN128" i="3"/>
  <c r="CO128" i="3" s="1"/>
  <c r="P128" i="3"/>
  <c r="Q128" i="3" s="1"/>
  <c r="DH128" i="3"/>
  <c r="DI128" i="3" s="1"/>
  <c r="AJ128" i="3"/>
  <c r="AK128" i="3" s="1"/>
  <c r="DM128" i="3"/>
  <c r="DN128" i="3" s="1"/>
  <c r="CX128" i="3"/>
  <c r="CY128" i="3" s="1"/>
  <c r="DC128" i="3"/>
  <c r="DD128" i="3" s="1"/>
  <c r="Z128" i="3"/>
  <c r="AA128" i="3" s="1"/>
  <c r="CD124" i="3"/>
  <c r="CE124" i="3" s="1"/>
  <c r="BH124" i="3"/>
  <c r="BI124" i="3" s="1"/>
  <c r="CN124" i="3"/>
  <c r="CO124" i="3" s="1"/>
  <c r="P124" i="3"/>
  <c r="Q124" i="3" s="1"/>
  <c r="DH124" i="3"/>
  <c r="DI124" i="3" s="1"/>
  <c r="AJ124" i="3"/>
  <c r="AK124" i="3" s="1"/>
  <c r="DM124" i="3"/>
  <c r="DN124" i="3" s="1"/>
  <c r="CX124" i="3"/>
  <c r="CY124" i="3" s="1"/>
  <c r="DC124" i="3"/>
  <c r="DD124" i="3" s="1"/>
  <c r="Z124" i="3"/>
  <c r="AA124" i="3" s="1"/>
  <c r="BD115" i="3"/>
  <c r="BD104" i="3"/>
  <c r="CD90" i="3"/>
  <c r="CE90" i="3" s="1"/>
  <c r="BH90" i="3"/>
  <c r="BI90" i="3" s="1"/>
  <c r="DC90" i="3"/>
  <c r="DD90" i="3" s="1"/>
  <c r="CN90" i="3"/>
  <c r="CO90" i="3" s="1"/>
  <c r="P90" i="3"/>
  <c r="Q90" i="3" s="1"/>
  <c r="DM90" i="3"/>
  <c r="DN90" i="3" s="1"/>
  <c r="DH90" i="3"/>
  <c r="DI90" i="3" s="1"/>
  <c r="AJ90" i="3"/>
  <c r="AK90" i="3" s="1"/>
  <c r="CX90" i="3"/>
  <c r="CY90" i="3" s="1"/>
  <c r="Z90" i="3"/>
  <c r="AA90" i="3" s="1"/>
  <c r="BD113" i="3"/>
  <c r="CN71" i="3"/>
  <c r="CO71" i="3" s="1"/>
  <c r="P71" i="3"/>
  <c r="Q71" i="3" s="1"/>
  <c r="CD71" i="3"/>
  <c r="CE71" i="3" s="1"/>
  <c r="BH71" i="3"/>
  <c r="BI71" i="3" s="1"/>
  <c r="DC71" i="3"/>
  <c r="DD71" i="3" s="1"/>
  <c r="Z71" i="3"/>
  <c r="AA71" i="3" s="1"/>
  <c r="DM71" i="3"/>
  <c r="DN71" i="3" s="1"/>
  <c r="AJ71" i="3"/>
  <c r="AK71" i="3" s="1"/>
  <c r="DH71" i="3"/>
  <c r="DI71" i="3" s="1"/>
  <c r="CX71" i="3"/>
  <c r="CY71" i="3" s="1"/>
  <c r="BD96" i="3"/>
  <c r="BD78" i="3"/>
  <c r="DH45" i="3"/>
  <c r="DI45" i="3" s="1"/>
  <c r="AJ45" i="3"/>
  <c r="AK45" i="3" s="1"/>
  <c r="CD45" i="3"/>
  <c r="CE45" i="3" s="1"/>
  <c r="BH45" i="3"/>
  <c r="BI45" i="3" s="1"/>
  <c r="DM45" i="3"/>
  <c r="DN45" i="3" s="1"/>
  <c r="CN45" i="3"/>
  <c r="CO45" i="3" s="1"/>
  <c r="DC45" i="3"/>
  <c r="DD45" i="3" s="1"/>
  <c r="Z45" i="3"/>
  <c r="AA45" i="3" s="1"/>
  <c r="CX45" i="3"/>
  <c r="CY45" i="3" s="1"/>
  <c r="P45" i="3"/>
  <c r="Q45" i="3" s="1"/>
  <c r="BD55" i="3"/>
  <c r="CX46" i="3"/>
  <c r="CY46" i="3" s="1"/>
  <c r="DH46" i="3"/>
  <c r="DI46" i="3" s="1"/>
  <c r="AJ46" i="3"/>
  <c r="AK46" i="3" s="1"/>
  <c r="CD46" i="3"/>
  <c r="CE46" i="3" s="1"/>
  <c r="BH46" i="3"/>
  <c r="BI46" i="3" s="1"/>
  <c r="DM46" i="3"/>
  <c r="DN46" i="3" s="1"/>
  <c r="P46" i="3"/>
  <c r="Q46" i="3" s="1"/>
  <c r="CN46" i="3"/>
  <c r="CO46" i="3" s="1"/>
  <c r="Z46" i="3"/>
  <c r="AA46" i="3" s="1"/>
  <c r="DC46" i="3"/>
  <c r="DD46" i="3" s="1"/>
  <c r="BD70" i="3"/>
  <c r="AY32" i="3"/>
  <c r="CA20" i="3" a="1"/>
  <c r="CA20" i="3" s="1"/>
  <c r="CA19" i="3" a="1"/>
  <c r="CA19" i="3" s="1"/>
  <c r="CA18" i="3" a="1"/>
  <c r="CA18" i="3" s="1"/>
  <c r="CA17" i="3" a="1"/>
  <c r="CA17" i="3" s="1"/>
  <c r="CA16" i="3" a="1"/>
  <c r="CA16" i="3" s="1"/>
  <c r="CA15" i="3" a="1"/>
  <c r="CA15" i="3" s="1"/>
  <c r="CA8" i="3" a="1"/>
  <c r="CA8" i="3" s="1"/>
  <c r="EZ8" i="3" s="1"/>
  <c r="CA9" i="3" a="1"/>
  <c r="CA9" i="3" s="1"/>
  <c r="EZ9" i="3" s="1"/>
  <c r="CA14" i="3" a="1"/>
  <c r="CA14" i="3" s="1"/>
  <c r="CA10" i="3" a="1"/>
  <c r="CA10" i="3" s="1"/>
  <c r="EZ10" i="3" s="1"/>
  <c r="CA11" i="3" a="1"/>
  <c r="CA11" i="3" s="1"/>
  <c r="EZ11" i="3" s="1"/>
  <c r="CA12" i="3" a="1"/>
  <c r="CA12" i="3" s="1"/>
  <c r="EZ12" i="3" s="1"/>
  <c r="CA5" i="3" a="1"/>
  <c r="CA5" i="3" s="1"/>
  <c r="EZ5" i="3" s="1"/>
  <c r="CA6" i="3" a="1"/>
  <c r="CA6" i="3" s="1"/>
  <c r="EZ6" i="3" s="1"/>
  <c r="CA13" i="3" a="1"/>
  <c r="CA13" i="3" s="1"/>
  <c r="CA7" i="3" a="1"/>
  <c r="CA7" i="3" s="1"/>
  <c r="EZ7" i="3" s="1"/>
  <c r="CA3" i="3" a="1"/>
  <c r="CA3" i="3" s="1"/>
  <c r="EZ3" i="3" s="1"/>
  <c r="CA4" i="3" a="1"/>
  <c r="CA4" i="3" s="1"/>
  <c r="EZ4" i="3" s="1"/>
  <c r="DH35" i="3"/>
  <c r="DI35" i="3" s="1"/>
  <c r="AJ35" i="3"/>
  <c r="AK35" i="3" s="1"/>
  <c r="CD35" i="3"/>
  <c r="CE35" i="3" s="1"/>
  <c r="BH35" i="3"/>
  <c r="BI35" i="3" s="1"/>
  <c r="P35" i="3"/>
  <c r="Q35" i="3" s="1"/>
  <c r="DC35" i="3"/>
  <c r="DD35" i="3" s="1"/>
  <c r="CN35" i="3"/>
  <c r="CO35" i="3" s="1"/>
  <c r="Z35" i="3"/>
  <c r="AA35" i="3" s="1"/>
  <c r="CX35" i="3"/>
  <c r="CY35" i="3" s="1"/>
  <c r="DM35" i="3"/>
  <c r="DN35" i="3" s="1"/>
  <c r="CX59" i="3"/>
  <c r="CY59" i="3" s="1"/>
  <c r="Z59" i="3"/>
  <c r="AA59" i="3" s="1"/>
  <c r="DH59" i="3"/>
  <c r="DI59" i="3" s="1"/>
  <c r="CD59" i="3"/>
  <c r="CE59" i="3" s="1"/>
  <c r="BH59" i="3"/>
  <c r="BI59" i="3" s="1"/>
  <c r="AJ59" i="3"/>
  <c r="AK59" i="3" s="1"/>
  <c r="DM59" i="3"/>
  <c r="DN59" i="3" s="1"/>
  <c r="P59" i="3"/>
  <c r="Q59" i="3" s="1"/>
  <c r="CN59" i="3"/>
  <c r="CO59" i="3" s="1"/>
  <c r="DC59" i="3"/>
  <c r="DD59" i="3" s="1"/>
  <c r="CX52" i="3"/>
  <c r="CY52" i="3" s="1"/>
  <c r="Z52" i="3"/>
  <c r="AA52" i="3" s="1"/>
  <c r="DH52" i="3"/>
  <c r="DI52" i="3" s="1"/>
  <c r="AJ52" i="3"/>
  <c r="AK52" i="3" s="1"/>
  <c r="CD52" i="3"/>
  <c r="CE52" i="3" s="1"/>
  <c r="BH52" i="3"/>
  <c r="BI52" i="3" s="1"/>
  <c r="DM52" i="3"/>
  <c r="DN52" i="3" s="1"/>
  <c r="DC52" i="3"/>
  <c r="DD52" i="3" s="1"/>
  <c r="P52" i="3"/>
  <c r="Q52" i="3" s="1"/>
  <c r="CN52" i="3"/>
  <c r="CO52" i="3" s="1"/>
  <c r="CX56" i="3"/>
  <c r="CY56" i="3" s="1"/>
  <c r="Z56" i="3"/>
  <c r="AA56" i="3" s="1"/>
  <c r="CD56" i="3"/>
  <c r="CE56" i="3" s="1"/>
  <c r="BH56" i="3"/>
  <c r="BI56" i="3" s="1"/>
  <c r="DM56" i="3"/>
  <c r="DN56" i="3" s="1"/>
  <c r="DH56" i="3"/>
  <c r="DI56" i="3" s="1"/>
  <c r="P56" i="3"/>
  <c r="Q56" i="3" s="1"/>
  <c r="CN56" i="3"/>
  <c r="CO56" i="3" s="1"/>
  <c r="AJ56" i="3"/>
  <c r="AK56" i="3" s="1"/>
  <c r="DC56" i="3"/>
  <c r="DD56" i="3" s="1"/>
  <c r="DC108" i="3"/>
  <c r="DD108" i="3" s="1"/>
  <c r="CN108" i="3"/>
  <c r="CO108" i="3" s="1"/>
  <c r="P108" i="3"/>
  <c r="Q108" i="3" s="1"/>
  <c r="CX108" i="3"/>
  <c r="CY108" i="3" s="1"/>
  <c r="Z108" i="3"/>
  <c r="AA108" i="3" s="1"/>
  <c r="CD108" i="3"/>
  <c r="CE108" i="3" s="1"/>
  <c r="BH108" i="3"/>
  <c r="BI108" i="3" s="1"/>
  <c r="DH108" i="3"/>
  <c r="DI108" i="3" s="1"/>
  <c r="AJ108" i="3"/>
  <c r="AK108" i="3" s="1"/>
  <c r="DM108" i="3"/>
  <c r="DN108" i="3" s="1"/>
  <c r="CD112" i="3"/>
  <c r="CE112" i="3" s="1"/>
  <c r="BH112" i="3"/>
  <c r="BI112" i="3" s="1"/>
  <c r="CN112" i="3"/>
  <c r="CO112" i="3" s="1"/>
  <c r="P112" i="3"/>
  <c r="Q112" i="3" s="1"/>
  <c r="DM112" i="3"/>
  <c r="DN112" i="3" s="1"/>
  <c r="CX112" i="3"/>
  <c r="CY112" i="3" s="1"/>
  <c r="Z112" i="3"/>
  <c r="AA112" i="3" s="1"/>
  <c r="DH112" i="3"/>
  <c r="DI112" i="3" s="1"/>
  <c r="AJ112" i="3"/>
  <c r="AK112" i="3" s="1"/>
  <c r="DC112" i="3"/>
  <c r="DD112" i="3" s="1"/>
  <c r="CD142" i="3"/>
  <c r="CE142" i="3" s="1"/>
  <c r="BH142" i="3"/>
  <c r="BI142" i="3" s="1"/>
  <c r="DH142" i="3"/>
  <c r="DI142" i="3" s="1"/>
  <c r="P142" i="3"/>
  <c r="Q142" i="3" s="1"/>
  <c r="DC142" i="3"/>
  <c r="DD142" i="3" s="1"/>
  <c r="Z142" i="3"/>
  <c r="AA142" i="3" s="1"/>
  <c r="CX142" i="3"/>
  <c r="CY142" i="3" s="1"/>
  <c r="DM142" i="3"/>
  <c r="DN142" i="3" s="1"/>
  <c r="CN142" i="3"/>
  <c r="CO142" i="3" s="1"/>
  <c r="AJ142" i="3"/>
  <c r="AK142" i="3" s="1"/>
  <c r="CD115" i="3"/>
  <c r="CE115" i="3" s="1"/>
  <c r="BH115" i="3"/>
  <c r="BI115" i="3" s="1"/>
  <c r="CN115" i="3"/>
  <c r="CO115" i="3" s="1"/>
  <c r="P115" i="3"/>
  <c r="Q115" i="3" s="1"/>
  <c r="DC115" i="3"/>
  <c r="DD115" i="3" s="1"/>
  <c r="DH115" i="3"/>
  <c r="DI115" i="3" s="1"/>
  <c r="AJ115" i="3"/>
  <c r="AK115" i="3" s="1"/>
  <c r="CX115" i="3"/>
  <c r="CY115" i="3" s="1"/>
  <c r="Z115" i="3"/>
  <c r="AA115" i="3" s="1"/>
  <c r="DM115" i="3"/>
  <c r="DN115" i="3" s="1"/>
  <c r="CD144" i="3"/>
  <c r="CE144" i="3" s="1"/>
  <c r="BH144" i="3"/>
  <c r="BI144" i="3" s="1"/>
  <c r="DH144" i="3"/>
  <c r="DI144" i="3" s="1"/>
  <c r="P144" i="3"/>
  <c r="Q144" i="3" s="1"/>
  <c r="DC144" i="3"/>
  <c r="DD144" i="3" s="1"/>
  <c r="Z144" i="3"/>
  <c r="AA144" i="3" s="1"/>
  <c r="DM144" i="3"/>
  <c r="DN144" i="3" s="1"/>
  <c r="CN144" i="3"/>
  <c r="CO144" i="3" s="1"/>
  <c r="CX144" i="3"/>
  <c r="CY144" i="3" s="1"/>
  <c r="AJ144" i="3"/>
  <c r="AK144" i="3" s="1"/>
  <c r="EA6" i="3"/>
  <c r="FG17" i="3" s="1"/>
  <c r="BD16" i="3"/>
  <c r="BH8" i="3"/>
  <c r="BI8" i="3" s="1"/>
  <c r="DM8" i="3"/>
  <c r="DN8" i="3" s="1"/>
  <c r="DC8" i="3"/>
  <c r="DD8" i="3" s="1"/>
  <c r="AJ8" i="3"/>
  <c r="AK8" i="3" s="1"/>
  <c r="Z8" i="3"/>
  <c r="AA8" i="3" s="1"/>
  <c r="P8" i="3"/>
  <c r="Q8" i="3" s="1"/>
  <c r="DH8" i="3"/>
  <c r="DI8" i="3" s="1"/>
  <c r="CX8" i="3"/>
  <c r="CY8" i="3" s="1"/>
  <c r="DB5" i="3" s="1"/>
  <c r="FF5" i="3" s="1"/>
  <c r="CN8" i="3"/>
  <c r="CO8" i="3" s="1"/>
  <c r="CD8" i="3"/>
  <c r="CE8" i="3" s="1"/>
  <c r="EA8" i="3"/>
  <c r="FG19" i="3" s="1"/>
  <c r="AS6" i="3"/>
  <c r="FE17" i="3" s="1"/>
  <c r="EF11" i="3"/>
  <c r="FH22" i="3" s="1"/>
  <c r="EK5" i="3"/>
  <c r="FI16" i="3" s="1"/>
  <c r="CW9" i="3"/>
  <c r="BV4" i="3"/>
  <c r="BV15" i="3"/>
  <c r="Y6" i="3"/>
  <c r="FC17" i="3" s="1"/>
  <c r="CD130" i="3"/>
  <c r="CE130" i="3" s="1"/>
  <c r="BH130" i="3"/>
  <c r="BI130" i="3" s="1"/>
  <c r="CN130" i="3"/>
  <c r="CO130" i="3" s="1"/>
  <c r="P130" i="3"/>
  <c r="Q130" i="3" s="1"/>
  <c r="DH130" i="3"/>
  <c r="DI130" i="3" s="1"/>
  <c r="AJ130" i="3"/>
  <c r="AK130" i="3" s="1"/>
  <c r="DM130" i="3"/>
  <c r="DN130" i="3" s="1"/>
  <c r="CX130" i="3"/>
  <c r="CY130" i="3" s="1"/>
  <c r="DC130" i="3"/>
  <c r="DD130" i="3" s="1"/>
  <c r="Z130" i="3"/>
  <c r="AA130" i="3" s="1"/>
  <c r="BD102" i="3"/>
  <c r="BD40" i="3"/>
  <c r="DC77" i="3"/>
  <c r="DD77" i="3" s="1"/>
  <c r="CN77" i="3"/>
  <c r="CO77" i="3" s="1"/>
  <c r="P77" i="3"/>
  <c r="Q77" i="3" s="1"/>
  <c r="DM77" i="3"/>
  <c r="DN77" i="3" s="1"/>
  <c r="CX77" i="3"/>
  <c r="CY77" i="3" s="1"/>
  <c r="BH77" i="3"/>
  <c r="BI77" i="3" s="1"/>
  <c r="CD77" i="3"/>
  <c r="CE77" i="3" s="1"/>
  <c r="AJ77" i="3"/>
  <c r="AK77" i="3" s="1"/>
  <c r="Z77" i="3"/>
  <c r="AA77" i="3" s="1"/>
  <c r="DH77" i="3"/>
  <c r="DI77" i="3" s="1"/>
  <c r="Y4" i="3"/>
  <c r="FC15" i="3" s="1"/>
  <c r="BD9" i="3"/>
  <c r="AI9" i="3"/>
  <c r="FD20" i="3" s="1"/>
  <c r="BD136" i="3"/>
  <c r="BD130" i="3"/>
  <c r="CD139" i="3"/>
  <c r="CE139" i="3" s="1"/>
  <c r="BH139" i="3"/>
  <c r="BI139" i="3" s="1"/>
  <c r="CN139" i="3"/>
  <c r="CO139" i="3" s="1"/>
  <c r="AJ139" i="3"/>
  <c r="AK139" i="3" s="1"/>
  <c r="DH139" i="3"/>
  <c r="DI139" i="3" s="1"/>
  <c r="DC139" i="3"/>
  <c r="DD139" i="3" s="1"/>
  <c r="DM139" i="3"/>
  <c r="DN139" i="3" s="1"/>
  <c r="Z139" i="3"/>
  <c r="AA139" i="3" s="1"/>
  <c r="CX139" i="3"/>
  <c r="CY139" i="3" s="1"/>
  <c r="P139" i="3"/>
  <c r="Q139" i="3" s="1"/>
  <c r="BD82" i="3"/>
  <c r="CD89" i="3"/>
  <c r="CE89" i="3" s="1"/>
  <c r="BH89" i="3"/>
  <c r="BI89" i="3" s="1"/>
  <c r="DC89" i="3"/>
  <c r="DD89" i="3" s="1"/>
  <c r="CN89" i="3"/>
  <c r="CO89" i="3" s="1"/>
  <c r="P89" i="3"/>
  <c r="Q89" i="3" s="1"/>
  <c r="DM89" i="3"/>
  <c r="DN89" i="3" s="1"/>
  <c r="DH89" i="3"/>
  <c r="DI89" i="3" s="1"/>
  <c r="AJ89" i="3"/>
  <c r="AK89" i="3" s="1"/>
  <c r="CX89" i="3"/>
  <c r="CY89" i="3" s="1"/>
  <c r="Z89" i="3"/>
  <c r="AA89" i="3" s="1"/>
  <c r="BD101" i="3"/>
  <c r="BD81" i="3"/>
  <c r="DC98" i="3"/>
  <c r="DD98" i="3" s="1"/>
  <c r="DH98" i="3"/>
  <c r="DI98" i="3" s="1"/>
  <c r="CD98" i="3"/>
  <c r="CE98" i="3" s="1"/>
  <c r="BH98" i="3"/>
  <c r="BI98" i="3" s="1"/>
  <c r="CN98" i="3"/>
  <c r="CO98" i="3" s="1"/>
  <c r="P98" i="3"/>
  <c r="Q98" i="3" s="1"/>
  <c r="AJ98" i="3"/>
  <c r="AK98" i="3" s="1"/>
  <c r="DM98" i="3"/>
  <c r="DN98" i="3" s="1"/>
  <c r="Z98" i="3"/>
  <c r="AA98" i="3" s="1"/>
  <c r="CX98" i="3"/>
  <c r="CY98" i="3" s="1"/>
  <c r="CD86" i="3"/>
  <c r="CE86" i="3" s="1"/>
  <c r="BH86" i="3"/>
  <c r="BI86" i="3" s="1"/>
  <c r="DC86" i="3"/>
  <c r="DD86" i="3" s="1"/>
  <c r="CN86" i="3"/>
  <c r="CO86" i="3" s="1"/>
  <c r="P86" i="3"/>
  <c r="Q86" i="3" s="1"/>
  <c r="DM86" i="3"/>
  <c r="DN86" i="3" s="1"/>
  <c r="DH86" i="3"/>
  <c r="DI86" i="3" s="1"/>
  <c r="AJ86" i="3"/>
  <c r="AK86" i="3" s="1"/>
  <c r="Z86" i="3"/>
  <c r="AA86" i="3" s="1"/>
  <c r="CX86" i="3"/>
  <c r="CY86" i="3" s="1"/>
  <c r="BD62" i="3"/>
  <c r="BD97" i="3"/>
  <c r="CD93" i="3"/>
  <c r="CE93" i="3" s="1"/>
  <c r="BH93" i="3"/>
  <c r="BI93" i="3" s="1"/>
  <c r="DC93" i="3"/>
  <c r="DD93" i="3" s="1"/>
  <c r="CN93" i="3"/>
  <c r="CO93" i="3" s="1"/>
  <c r="P93" i="3"/>
  <c r="Q93" i="3" s="1"/>
  <c r="DM93" i="3"/>
  <c r="DN93" i="3" s="1"/>
  <c r="DH93" i="3"/>
  <c r="DI93" i="3" s="1"/>
  <c r="AJ93" i="3"/>
  <c r="AK93" i="3" s="1"/>
  <c r="Z93" i="3"/>
  <c r="AA93" i="3" s="1"/>
  <c r="CX93" i="3"/>
  <c r="CY93" i="3" s="1"/>
  <c r="BD79" i="3"/>
  <c r="BD117" i="3"/>
  <c r="CD84" i="3"/>
  <c r="CE84" i="3" s="1"/>
  <c r="BH84" i="3"/>
  <c r="BI84" i="3" s="1"/>
  <c r="DC84" i="3"/>
  <c r="DD84" i="3" s="1"/>
  <c r="CN84" i="3"/>
  <c r="CO84" i="3" s="1"/>
  <c r="P84" i="3"/>
  <c r="Q84" i="3" s="1"/>
  <c r="DM84" i="3"/>
  <c r="DN84" i="3" s="1"/>
  <c r="DH84" i="3"/>
  <c r="DI84" i="3" s="1"/>
  <c r="AJ84" i="3"/>
  <c r="AK84" i="3" s="1"/>
  <c r="Z84" i="3"/>
  <c r="AA84" i="3" s="1"/>
  <c r="CX84" i="3"/>
  <c r="CY84" i="3" s="1"/>
  <c r="BD54" i="3"/>
  <c r="BD60" i="3"/>
  <c r="BD41" i="3"/>
  <c r="CD54" i="3"/>
  <c r="CE54" i="3" s="1"/>
  <c r="BH54" i="3"/>
  <c r="BI54" i="3" s="1"/>
  <c r="DH54" i="3"/>
  <c r="DI54" i="3" s="1"/>
  <c r="P54" i="3"/>
  <c r="Q54" i="3" s="1"/>
  <c r="DC54" i="3"/>
  <c r="DD54" i="3" s="1"/>
  <c r="Z54" i="3"/>
  <c r="AA54" i="3" s="1"/>
  <c r="DM54" i="3"/>
  <c r="DN54" i="3" s="1"/>
  <c r="CX54" i="3"/>
  <c r="CY54" i="3" s="1"/>
  <c r="AJ54" i="3"/>
  <c r="AK54" i="3" s="1"/>
  <c r="CN54" i="3"/>
  <c r="CO54" i="3" s="1"/>
  <c r="DH42" i="3"/>
  <c r="DI42" i="3" s="1"/>
  <c r="AJ42" i="3"/>
  <c r="AK42" i="3" s="1"/>
  <c r="CD42" i="3"/>
  <c r="CE42" i="3" s="1"/>
  <c r="BH42" i="3"/>
  <c r="BI42" i="3" s="1"/>
  <c r="DM42" i="3"/>
  <c r="DN42" i="3" s="1"/>
  <c r="DC42" i="3"/>
  <c r="DD42" i="3" s="1"/>
  <c r="CN42" i="3"/>
  <c r="CO42" i="3" s="1"/>
  <c r="P42" i="3"/>
  <c r="Q42" i="3" s="1"/>
  <c r="CX42" i="3"/>
  <c r="CY42" i="3" s="1"/>
  <c r="Z42" i="3"/>
  <c r="AA42" i="3" s="1"/>
  <c r="DH38" i="3"/>
  <c r="DI38" i="3" s="1"/>
  <c r="AJ38" i="3"/>
  <c r="AK38" i="3" s="1"/>
  <c r="CD38" i="3"/>
  <c r="CE38" i="3" s="1"/>
  <c r="BH38" i="3"/>
  <c r="BI38" i="3" s="1"/>
  <c r="P38" i="3"/>
  <c r="Q38" i="3" s="1"/>
  <c r="DC38" i="3"/>
  <c r="DD38" i="3" s="1"/>
  <c r="CN38" i="3"/>
  <c r="CO38" i="3" s="1"/>
  <c r="Z38" i="3"/>
  <c r="AA38" i="3" s="1"/>
  <c r="DM38" i="3"/>
  <c r="DN38" i="3" s="1"/>
  <c r="CX38" i="3"/>
  <c r="CY38" i="3" s="1"/>
  <c r="DH36" i="3"/>
  <c r="DI36" i="3" s="1"/>
  <c r="AJ36" i="3"/>
  <c r="AK36" i="3" s="1"/>
  <c r="DC36" i="3"/>
  <c r="DD36" i="3" s="1"/>
  <c r="CN36" i="3"/>
  <c r="CO36" i="3" s="1"/>
  <c r="Z36" i="3"/>
  <c r="AA36" i="3" s="1"/>
  <c r="DM36" i="3"/>
  <c r="DN36" i="3" s="1"/>
  <c r="CX36" i="3"/>
  <c r="CY36" i="3" s="1"/>
  <c r="P36" i="3"/>
  <c r="Q36" i="3" s="1"/>
  <c r="BH36" i="3"/>
  <c r="BI36" i="3" s="1"/>
  <c r="CD36" i="3"/>
  <c r="CE36" i="3" s="1"/>
  <c r="CX60" i="3"/>
  <c r="CY60" i="3" s="1"/>
  <c r="Z60" i="3"/>
  <c r="AA60" i="3" s="1"/>
  <c r="DH60" i="3"/>
  <c r="DI60" i="3" s="1"/>
  <c r="AJ60" i="3"/>
  <c r="AK60" i="3" s="1"/>
  <c r="CD60" i="3"/>
  <c r="CE60" i="3" s="1"/>
  <c r="BH60" i="3"/>
  <c r="BI60" i="3" s="1"/>
  <c r="DC60" i="3"/>
  <c r="DD60" i="3" s="1"/>
  <c r="P60" i="3"/>
  <c r="Q60" i="3" s="1"/>
  <c r="CN60" i="3"/>
  <c r="CO60" i="3" s="1"/>
  <c r="DM60" i="3"/>
  <c r="DN60" i="3" s="1"/>
  <c r="CD53" i="3"/>
  <c r="CE53" i="3" s="1"/>
  <c r="BH53" i="3"/>
  <c r="BI53" i="3" s="1"/>
  <c r="DC53" i="3"/>
  <c r="DD53" i="3" s="1"/>
  <c r="Z53" i="3"/>
  <c r="AA53" i="3" s="1"/>
  <c r="CN53" i="3"/>
  <c r="CO53" i="3" s="1"/>
  <c r="DM53" i="3"/>
  <c r="DN53" i="3" s="1"/>
  <c r="CX53" i="3"/>
  <c r="CY53" i="3" s="1"/>
  <c r="AJ53" i="3"/>
  <c r="AK53" i="3" s="1"/>
  <c r="P53" i="3"/>
  <c r="Q53" i="3" s="1"/>
  <c r="DH53" i="3"/>
  <c r="DI53" i="3" s="1"/>
  <c r="CX58" i="3"/>
  <c r="CY58" i="3" s="1"/>
  <c r="Z58" i="3"/>
  <c r="AA58" i="3" s="1"/>
  <c r="CD58" i="3"/>
  <c r="CE58" i="3" s="1"/>
  <c r="BH58" i="3"/>
  <c r="BI58" i="3" s="1"/>
  <c r="DC58" i="3"/>
  <c r="DD58" i="3" s="1"/>
  <c r="CN58" i="3"/>
  <c r="CO58" i="3" s="1"/>
  <c r="DM58" i="3"/>
  <c r="DN58" i="3" s="1"/>
  <c r="P58" i="3"/>
  <c r="Q58" i="3" s="1"/>
  <c r="AJ58" i="3"/>
  <c r="AK58" i="3" s="1"/>
  <c r="DH58" i="3"/>
  <c r="DI58" i="3" s="1"/>
  <c r="CN70" i="3"/>
  <c r="CO70" i="3" s="1"/>
  <c r="P70" i="3"/>
  <c r="Q70" i="3" s="1"/>
  <c r="CX70" i="3"/>
  <c r="CY70" i="3" s="1"/>
  <c r="DH70" i="3"/>
  <c r="DI70" i="3" s="1"/>
  <c r="CD70" i="3"/>
  <c r="CE70" i="3" s="1"/>
  <c r="BH70" i="3"/>
  <c r="BI70" i="3" s="1"/>
  <c r="DM70" i="3"/>
  <c r="DN70" i="3" s="1"/>
  <c r="AJ70" i="3"/>
  <c r="AK70" i="3" s="1"/>
  <c r="Z70" i="3"/>
  <c r="AA70" i="3" s="1"/>
  <c r="DC70" i="3"/>
  <c r="DD70" i="3" s="1"/>
  <c r="CD114" i="3"/>
  <c r="CE114" i="3" s="1"/>
  <c r="BH114" i="3"/>
  <c r="BI114" i="3" s="1"/>
  <c r="CN114" i="3"/>
  <c r="CO114" i="3" s="1"/>
  <c r="P114" i="3"/>
  <c r="Q114" i="3" s="1"/>
  <c r="DM114" i="3"/>
  <c r="DN114" i="3" s="1"/>
  <c r="CX114" i="3"/>
  <c r="CY114" i="3" s="1"/>
  <c r="Z114" i="3"/>
  <c r="AA114" i="3" s="1"/>
  <c r="DH114" i="3"/>
  <c r="DI114" i="3" s="1"/>
  <c r="AJ114" i="3"/>
  <c r="AK114" i="3" s="1"/>
  <c r="DC114" i="3"/>
  <c r="DD114" i="3" s="1"/>
  <c r="DC105" i="3"/>
  <c r="DD105" i="3" s="1"/>
  <c r="CN105" i="3"/>
  <c r="CO105" i="3" s="1"/>
  <c r="P105" i="3"/>
  <c r="Q105" i="3" s="1"/>
  <c r="CX105" i="3"/>
  <c r="CY105" i="3" s="1"/>
  <c r="Z105" i="3"/>
  <c r="AA105" i="3" s="1"/>
  <c r="BH105" i="3"/>
  <c r="BI105" i="3" s="1"/>
  <c r="DM105" i="3"/>
  <c r="DN105" i="3" s="1"/>
  <c r="CD105" i="3"/>
  <c r="CE105" i="3" s="1"/>
  <c r="DH105" i="3"/>
  <c r="DI105" i="3" s="1"/>
  <c r="AJ105" i="3"/>
  <c r="AK105" i="3" s="1"/>
  <c r="CD117" i="3"/>
  <c r="CE117" i="3" s="1"/>
  <c r="BH117" i="3"/>
  <c r="BI117" i="3" s="1"/>
  <c r="CN117" i="3"/>
  <c r="CO117" i="3" s="1"/>
  <c r="P117" i="3"/>
  <c r="Q117" i="3" s="1"/>
  <c r="DC117" i="3"/>
  <c r="DD117" i="3" s="1"/>
  <c r="DH117" i="3"/>
  <c r="DI117" i="3" s="1"/>
  <c r="AJ117" i="3"/>
  <c r="AK117" i="3" s="1"/>
  <c r="DM117" i="3"/>
  <c r="DN117" i="3" s="1"/>
  <c r="Z117" i="3"/>
  <c r="AA117" i="3" s="1"/>
  <c r="CX117" i="3"/>
  <c r="CY117" i="3" s="1"/>
  <c r="CD140" i="3"/>
  <c r="CE140" i="3" s="1"/>
  <c r="BH140" i="3"/>
  <c r="BI140" i="3" s="1"/>
  <c r="DH140" i="3"/>
  <c r="DI140" i="3" s="1"/>
  <c r="P140" i="3"/>
  <c r="Q140" i="3" s="1"/>
  <c r="DC140" i="3"/>
  <c r="DD140" i="3" s="1"/>
  <c r="Z140" i="3"/>
  <c r="AA140" i="3" s="1"/>
  <c r="AJ140" i="3"/>
  <c r="AK140" i="3" s="1"/>
  <c r="CN140" i="3"/>
  <c r="CO140" i="3" s="1"/>
  <c r="DM140" i="3"/>
  <c r="DN140" i="3" s="1"/>
  <c r="CX140" i="3"/>
  <c r="CY140" i="3" s="1"/>
  <c r="BD29" i="3"/>
  <c r="EA12" i="3"/>
  <c r="FG23" i="3" s="1"/>
  <c r="DH26" i="3"/>
  <c r="DI26" i="3" s="1"/>
  <c r="Z26" i="3"/>
  <c r="AA26" i="3" s="1"/>
  <c r="CD26" i="3"/>
  <c r="CE26" i="3" s="1"/>
  <c r="BH26" i="3"/>
  <c r="BI26" i="3" s="1"/>
  <c r="AJ26" i="3"/>
  <c r="AK26" i="3" s="1"/>
  <c r="DC26" i="3"/>
  <c r="DD26" i="3" s="1"/>
  <c r="CN26" i="3"/>
  <c r="CO26" i="3" s="1"/>
  <c r="DM26" i="3"/>
  <c r="DN26" i="3" s="1"/>
  <c r="CX26" i="3"/>
  <c r="CY26" i="3" s="1"/>
  <c r="P26" i="3"/>
  <c r="Q26" i="3" s="1"/>
  <c r="AY12" i="3"/>
  <c r="BD141" i="3"/>
  <c r="BD145" i="3"/>
  <c r="BD140" i="3"/>
  <c r="BD135" i="3"/>
  <c r="BD63" i="3"/>
  <c r="BD64" i="3"/>
  <c r="BD65" i="3"/>
  <c r="BD57" i="3"/>
  <c r="BD46" i="3"/>
  <c r="BD52" i="3"/>
  <c r="BD44" i="3"/>
  <c r="BD51" i="3"/>
  <c r="BD50" i="3"/>
  <c r="BD49" i="3"/>
  <c r="BD45" i="3"/>
  <c r="BD61" i="3"/>
  <c r="BD47" i="3"/>
  <c r="BD43" i="3"/>
  <c r="BD34" i="3"/>
  <c r="BD48" i="3"/>
  <c r="BD3" i="3"/>
  <c r="BD22" i="3"/>
  <c r="AY14" i="3"/>
  <c r="EF10" i="3"/>
  <c r="FH21" i="3" s="1"/>
  <c r="BV12" i="3"/>
  <c r="BV16" i="3"/>
  <c r="AY7" i="3"/>
  <c r="BD4" i="3"/>
  <c r="CD95" i="3"/>
  <c r="CE95" i="3" s="1"/>
  <c r="BH95" i="3"/>
  <c r="BI95" i="3" s="1"/>
  <c r="DC95" i="3"/>
  <c r="DD95" i="3" s="1"/>
  <c r="CN95" i="3"/>
  <c r="CO95" i="3" s="1"/>
  <c r="P95" i="3"/>
  <c r="Q95" i="3" s="1"/>
  <c r="DM95" i="3"/>
  <c r="DN95" i="3" s="1"/>
  <c r="DH95" i="3"/>
  <c r="DI95" i="3" s="1"/>
  <c r="AJ95" i="3"/>
  <c r="AK95" i="3" s="1"/>
  <c r="Z95" i="3"/>
  <c r="AA95" i="3" s="1"/>
  <c r="CX95" i="3"/>
  <c r="CY95" i="3" s="1"/>
  <c r="AY25" i="3"/>
  <c r="CD19" i="3"/>
  <c r="CE19" i="3" s="1"/>
  <c r="CN19" i="3"/>
  <c r="CO19" i="3" s="1"/>
  <c r="DM19" i="3"/>
  <c r="DN19" i="3" s="1"/>
  <c r="CX19" i="3"/>
  <c r="CY19" i="3" s="1"/>
  <c r="P19" i="3"/>
  <c r="Q19" i="3" s="1"/>
  <c r="DH19" i="3"/>
  <c r="DI19" i="3" s="1"/>
  <c r="Z19" i="3"/>
  <c r="AA19" i="3" s="1"/>
  <c r="DC19" i="3"/>
  <c r="DD19" i="3" s="1"/>
  <c r="BH19" i="3"/>
  <c r="BI19" i="3" s="1"/>
  <c r="AJ19" i="3"/>
  <c r="AK19" i="3" s="1"/>
  <c r="CD134" i="3"/>
  <c r="CE134" i="3" s="1"/>
  <c r="BH134" i="3"/>
  <c r="BI134" i="3" s="1"/>
  <c r="P134" i="3"/>
  <c r="Q134" i="3" s="1"/>
  <c r="CN134" i="3"/>
  <c r="CO134" i="3" s="1"/>
  <c r="Z134" i="3"/>
  <c r="AA134" i="3" s="1"/>
  <c r="DH134" i="3"/>
  <c r="DI134" i="3" s="1"/>
  <c r="CX134" i="3"/>
  <c r="CY134" i="3" s="1"/>
  <c r="DC134" i="3"/>
  <c r="DD134" i="3" s="1"/>
  <c r="DM134" i="3"/>
  <c r="DN134" i="3" s="1"/>
  <c r="AJ134" i="3"/>
  <c r="AK134" i="3" s="1"/>
  <c r="BD20" i="3"/>
  <c r="BD151" i="3"/>
  <c r="BD129" i="3"/>
  <c r="BD137" i="3"/>
  <c r="BD119" i="3"/>
  <c r="CD131" i="3"/>
  <c r="CE131" i="3" s="1"/>
  <c r="BH131" i="3"/>
  <c r="BI131" i="3" s="1"/>
  <c r="CN131" i="3"/>
  <c r="CO131" i="3" s="1"/>
  <c r="P131" i="3"/>
  <c r="Q131" i="3" s="1"/>
  <c r="DH131" i="3"/>
  <c r="DI131" i="3" s="1"/>
  <c r="AJ131" i="3"/>
  <c r="AK131" i="3" s="1"/>
  <c r="DM131" i="3"/>
  <c r="DN131" i="3" s="1"/>
  <c r="CX131" i="3"/>
  <c r="CY131" i="3" s="1"/>
  <c r="Z131" i="3"/>
  <c r="AA131" i="3" s="1"/>
  <c r="DC131" i="3"/>
  <c r="DD131" i="3" s="1"/>
  <c r="CD127" i="3"/>
  <c r="CE127" i="3" s="1"/>
  <c r="BH127" i="3"/>
  <c r="BI127" i="3" s="1"/>
  <c r="CN127" i="3"/>
  <c r="CO127" i="3" s="1"/>
  <c r="P127" i="3"/>
  <c r="Q127" i="3" s="1"/>
  <c r="DH127" i="3"/>
  <c r="DI127" i="3" s="1"/>
  <c r="AJ127" i="3"/>
  <c r="AK127" i="3" s="1"/>
  <c r="DM127" i="3"/>
  <c r="DN127" i="3" s="1"/>
  <c r="CX127" i="3"/>
  <c r="CY127" i="3" s="1"/>
  <c r="Z127" i="3"/>
  <c r="AA127" i="3" s="1"/>
  <c r="DC127" i="3"/>
  <c r="DD127" i="3" s="1"/>
  <c r="CD123" i="3"/>
  <c r="CE123" i="3" s="1"/>
  <c r="BH123" i="3"/>
  <c r="BI123" i="3" s="1"/>
  <c r="CN123" i="3"/>
  <c r="CO123" i="3" s="1"/>
  <c r="P123" i="3"/>
  <c r="Q123" i="3" s="1"/>
  <c r="DH123" i="3"/>
  <c r="DI123" i="3" s="1"/>
  <c r="AJ123" i="3"/>
  <c r="AK123" i="3" s="1"/>
  <c r="DM123" i="3"/>
  <c r="DN123" i="3" s="1"/>
  <c r="CX123" i="3"/>
  <c r="CY123" i="3" s="1"/>
  <c r="Z123" i="3"/>
  <c r="AA123" i="3" s="1"/>
  <c r="DC123" i="3"/>
  <c r="DD123" i="3" s="1"/>
  <c r="BD121" i="3"/>
  <c r="DC100" i="3"/>
  <c r="DD100" i="3" s="1"/>
  <c r="DH100" i="3"/>
  <c r="DI100" i="3" s="1"/>
  <c r="CD100" i="3"/>
  <c r="CE100" i="3" s="1"/>
  <c r="BH100" i="3"/>
  <c r="BI100" i="3" s="1"/>
  <c r="P100" i="3"/>
  <c r="Q100" i="3" s="1"/>
  <c r="CN100" i="3"/>
  <c r="CO100" i="3" s="1"/>
  <c r="AJ100" i="3"/>
  <c r="AK100" i="3" s="1"/>
  <c r="CX100" i="3"/>
  <c r="CY100" i="3" s="1"/>
  <c r="DM100" i="3"/>
  <c r="DN100" i="3" s="1"/>
  <c r="Z100" i="3"/>
  <c r="AA100" i="3" s="1"/>
  <c r="DC81" i="3"/>
  <c r="DD81" i="3" s="1"/>
  <c r="CN81" i="3"/>
  <c r="CO81" i="3" s="1"/>
  <c r="P81" i="3"/>
  <c r="Q81" i="3" s="1"/>
  <c r="DM81" i="3"/>
  <c r="DN81" i="3" s="1"/>
  <c r="DH81" i="3"/>
  <c r="DI81" i="3" s="1"/>
  <c r="AJ81" i="3"/>
  <c r="AK81" i="3" s="1"/>
  <c r="CD81" i="3"/>
  <c r="CE81" i="3" s="1"/>
  <c r="BH81" i="3"/>
  <c r="BI81" i="3" s="1"/>
  <c r="CX81" i="3"/>
  <c r="CY81" i="3" s="1"/>
  <c r="Z81" i="3"/>
  <c r="AA81" i="3" s="1"/>
  <c r="BD86" i="3"/>
  <c r="BD116" i="3"/>
  <c r="CD97" i="3"/>
  <c r="CE97" i="3" s="1"/>
  <c r="BH97" i="3"/>
  <c r="BI97" i="3" s="1"/>
  <c r="DC97" i="3"/>
  <c r="DD97" i="3" s="1"/>
  <c r="CN97" i="3"/>
  <c r="CO97" i="3" s="1"/>
  <c r="P97" i="3"/>
  <c r="Q97" i="3" s="1"/>
  <c r="DM97" i="3"/>
  <c r="DN97" i="3" s="1"/>
  <c r="DH97" i="3"/>
  <c r="DI97" i="3" s="1"/>
  <c r="AJ97" i="3"/>
  <c r="AK97" i="3" s="1"/>
  <c r="Z97" i="3"/>
  <c r="AA97" i="3" s="1"/>
  <c r="CX97" i="3"/>
  <c r="CY97" i="3" s="1"/>
  <c r="BD132" i="3"/>
  <c r="BD88" i="3"/>
  <c r="BD59" i="3"/>
  <c r="BD75" i="3"/>
  <c r="BD69" i="3"/>
  <c r="DH43" i="3"/>
  <c r="DI43" i="3" s="1"/>
  <c r="AJ43" i="3"/>
  <c r="AK43" i="3" s="1"/>
  <c r="CD43" i="3"/>
  <c r="CE43" i="3" s="1"/>
  <c r="BH43" i="3"/>
  <c r="BI43" i="3" s="1"/>
  <c r="DM43" i="3"/>
  <c r="DN43" i="3" s="1"/>
  <c r="P43" i="3"/>
  <c r="Q43" i="3" s="1"/>
  <c r="CN43" i="3"/>
  <c r="CO43" i="3" s="1"/>
  <c r="DC43" i="3"/>
  <c r="DD43" i="3" s="1"/>
  <c r="Z43" i="3"/>
  <c r="AA43" i="3" s="1"/>
  <c r="CX43" i="3"/>
  <c r="CY43" i="3" s="1"/>
  <c r="BD53" i="3"/>
  <c r="DH41" i="3"/>
  <c r="DI41" i="3" s="1"/>
  <c r="AJ41" i="3"/>
  <c r="AK41" i="3" s="1"/>
  <c r="CD41" i="3"/>
  <c r="CE41" i="3" s="1"/>
  <c r="BH41" i="3"/>
  <c r="BI41" i="3" s="1"/>
  <c r="CX41" i="3"/>
  <c r="CY41" i="3" s="1"/>
  <c r="DM41" i="3"/>
  <c r="DN41" i="3" s="1"/>
  <c r="Z41" i="3"/>
  <c r="AA41" i="3" s="1"/>
  <c r="DC41" i="3"/>
  <c r="DD41" i="3" s="1"/>
  <c r="CN41" i="3"/>
  <c r="CO41" i="3" s="1"/>
  <c r="P41" i="3"/>
  <c r="Q41" i="3" s="1"/>
  <c r="AY26" i="3"/>
  <c r="AY19" i="3"/>
  <c r="CN24" i="3"/>
  <c r="CO24" i="3" s="1"/>
  <c r="DM24" i="3"/>
  <c r="DN24" i="3" s="1"/>
  <c r="CX24" i="3"/>
  <c r="CY24" i="3" s="1"/>
  <c r="P24" i="3"/>
  <c r="Q24" i="3" s="1"/>
  <c r="DH24" i="3"/>
  <c r="DI24" i="3" s="1"/>
  <c r="Z24" i="3"/>
  <c r="AA24" i="3" s="1"/>
  <c r="CD24" i="3"/>
  <c r="CE24" i="3" s="1"/>
  <c r="BH24" i="3"/>
  <c r="BI24" i="3" s="1"/>
  <c r="AJ24" i="3"/>
  <c r="AK24" i="3" s="1"/>
  <c r="DC24" i="3"/>
  <c r="DD24" i="3" s="1"/>
  <c r="DH37" i="3"/>
  <c r="DI37" i="3" s="1"/>
  <c r="AJ37" i="3"/>
  <c r="AK37" i="3" s="1"/>
  <c r="DM37" i="3"/>
  <c r="DN37" i="3" s="1"/>
  <c r="CX37" i="3"/>
  <c r="CY37" i="3" s="1"/>
  <c r="CD37" i="3"/>
  <c r="CE37" i="3" s="1"/>
  <c r="BH37" i="3"/>
  <c r="BI37" i="3" s="1"/>
  <c r="P37" i="3"/>
  <c r="Q37" i="3" s="1"/>
  <c r="DC37" i="3"/>
  <c r="DD37" i="3" s="1"/>
  <c r="CN37" i="3"/>
  <c r="CO37" i="3" s="1"/>
  <c r="Z37" i="3"/>
  <c r="AA37" i="3" s="1"/>
  <c r="CX55" i="3"/>
  <c r="CY55" i="3" s="1"/>
  <c r="CD55" i="3"/>
  <c r="CE55" i="3" s="1"/>
  <c r="BH55" i="3"/>
  <c r="BI55" i="3" s="1"/>
  <c r="Z55" i="3"/>
  <c r="AA55" i="3" s="1"/>
  <c r="DH55" i="3"/>
  <c r="DI55" i="3" s="1"/>
  <c r="AJ55" i="3"/>
  <c r="AK55" i="3" s="1"/>
  <c r="DC55" i="3"/>
  <c r="DD55" i="3" s="1"/>
  <c r="CN55" i="3"/>
  <c r="CO55" i="3" s="1"/>
  <c r="DM55" i="3"/>
  <c r="DN55" i="3" s="1"/>
  <c r="P55" i="3"/>
  <c r="Q55" i="3" s="1"/>
  <c r="CX63" i="3"/>
  <c r="CY63" i="3" s="1"/>
  <c r="Z63" i="3"/>
  <c r="AA63" i="3" s="1"/>
  <c r="DH63" i="3"/>
  <c r="DI63" i="3" s="1"/>
  <c r="AJ63" i="3"/>
  <c r="AK63" i="3" s="1"/>
  <c r="CD63" i="3"/>
  <c r="CE63" i="3" s="1"/>
  <c r="BH63" i="3"/>
  <c r="BI63" i="3" s="1"/>
  <c r="DM63" i="3"/>
  <c r="DN63" i="3" s="1"/>
  <c r="CN63" i="3"/>
  <c r="CO63" i="3" s="1"/>
  <c r="DC63" i="3"/>
  <c r="DD63" i="3" s="1"/>
  <c r="P63" i="3"/>
  <c r="Q63" i="3" s="1"/>
  <c r="DC79" i="3"/>
  <c r="DD79" i="3" s="1"/>
  <c r="CN79" i="3"/>
  <c r="CO79" i="3" s="1"/>
  <c r="P79" i="3"/>
  <c r="Q79" i="3" s="1"/>
  <c r="DH79" i="3"/>
  <c r="DI79" i="3" s="1"/>
  <c r="AJ79" i="3"/>
  <c r="AK79" i="3" s="1"/>
  <c r="DM79" i="3"/>
  <c r="DN79" i="3" s="1"/>
  <c r="CD79" i="3"/>
  <c r="CE79" i="3" s="1"/>
  <c r="Z79" i="3"/>
  <c r="AA79" i="3" s="1"/>
  <c r="CX79" i="3"/>
  <c r="CY79" i="3" s="1"/>
  <c r="BH79" i="3"/>
  <c r="BI79" i="3" s="1"/>
  <c r="CD138" i="3"/>
  <c r="CE138" i="3" s="1"/>
  <c r="BH138" i="3"/>
  <c r="BI138" i="3" s="1"/>
  <c r="DH138" i="3"/>
  <c r="DI138" i="3" s="1"/>
  <c r="P138" i="3"/>
  <c r="Q138" i="3" s="1"/>
  <c r="DC138" i="3"/>
  <c r="DD138" i="3" s="1"/>
  <c r="Z138" i="3"/>
  <c r="AA138" i="3" s="1"/>
  <c r="AJ138" i="3"/>
  <c r="AK138" i="3" s="1"/>
  <c r="CX138" i="3"/>
  <c r="CY138" i="3" s="1"/>
  <c r="DM138" i="3"/>
  <c r="DN138" i="3" s="1"/>
  <c r="CN138" i="3"/>
  <c r="CO138" i="3" s="1"/>
  <c r="CN109" i="3"/>
  <c r="CO109" i="3" s="1"/>
  <c r="P109" i="3"/>
  <c r="Q109" i="3" s="1"/>
  <c r="DM109" i="3"/>
  <c r="DN109" i="3" s="1"/>
  <c r="CX109" i="3"/>
  <c r="CY109" i="3" s="1"/>
  <c r="DH109" i="3"/>
  <c r="DI109" i="3" s="1"/>
  <c r="CD109" i="3"/>
  <c r="CE109" i="3" s="1"/>
  <c r="BH109" i="3"/>
  <c r="BI109" i="3" s="1"/>
  <c r="Z109" i="3"/>
  <c r="AA109" i="3" s="1"/>
  <c r="DC109" i="3"/>
  <c r="DD109" i="3" s="1"/>
  <c r="AJ109" i="3"/>
  <c r="AK109" i="3" s="1"/>
  <c r="CD119" i="3"/>
  <c r="CE119" i="3" s="1"/>
  <c r="BH119" i="3"/>
  <c r="BI119" i="3" s="1"/>
  <c r="CN119" i="3"/>
  <c r="CO119" i="3" s="1"/>
  <c r="P119" i="3"/>
  <c r="Q119" i="3" s="1"/>
  <c r="DC119" i="3"/>
  <c r="DD119" i="3" s="1"/>
  <c r="DH119" i="3"/>
  <c r="DI119" i="3" s="1"/>
  <c r="AJ119" i="3"/>
  <c r="AK119" i="3" s="1"/>
  <c r="CX119" i="3"/>
  <c r="CY119" i="3" s="1"/>
  <c r="DM119" i="3"/>
  <c r="DN119" i="3" s="1"/>
  <c r="Z119" i="3"/>
  <c r="AA119" i="3" s="1"/>
  <c r="CD146" i="3"/>
  <c r="CE146" i="3" s="1"/>
  <c r="BH146" i="3"/>
  <c r="BI146" i="3" s="1"/>
  <c r="DH146" i="3"/>
  <c r="DI146" i="3" s="1"/>
  <c r="P146" i="3"/>
  <c r="Q146" i="3" s="1"/>
  <c r="DC146" i="3"/>
  <c r="DD146" i="3" s="1"/>
  <c r="Z146" i="3"/>
  <c r="AA146" i="3" s="1"/>
  <c r="CN146" i="3"/>
  <c r="CO146" i="3" s="1"/>
  <c r="CX146" i="3"/>
  <c r="CY146" i="3" s="1"/>
  <c r="AJ146" i="3"/>
  <c r="AK146" i="3" s="1"/>
  <c r="DM146" i="3"/>
  <c r="DN146" i="3" s="1"/>
  <c r="BD25" i="3"/>
  <c r="AY17" i="3"/>
  <c r="CD16" i="3"/>
  <c r="CE16" i="3" s="1"/>
  <c r="CH3" i="3" s="1"/>
  <c r="FJ3" i="3" s="1"/>
  <c r="CN16" i="3"/>
  <c r="CO16" i="3" s="1"/>
  <c r="DM16" i="3"/>
  <c r="DN16" i="3" s="1"/>
  <c r="P16" i="3"/>
  <c r="Q16" i="3" s="1"/>
  <c r="Z16" i="3"/>
  <c r="AA16" i="3" s="1"/>
  <c r="AD4" i="3" s="1"/>
  <c r="FD4" i="3" s="1"/>
  <c r="CX16" i="3"/>
  <c r="CY16" i="3" s="1"/>
  <c r="BH16" i="3"/>
  <c r="BI16" i="3" s="1"/>
  <c r="DH16" i="3"/>
  <c r="DI16" i="3" s="1"/>
  <c r="DC16" i="3"/>
  <c r="DD16" i="3" s="1"/>
  <c r="AJ16" i="3"/>
  <c r="AK16" i="3" s="1"/>
  <c r="BD21" i="3"/>
  <c r="BD23" i="3"/>
  <c r="DH30" i="3"/>
  <c r="DI30" i="3" s="1"/>
  <c r="Z30" i="3"/>
  <c r="AA30" i="3" s="1"/>
  <c r="CD30" i="3"/>
  <c r="CE30" i="3" s="1"/>
  <c r="BH30" i="3"/>
  <c r="BI30" i="3" s="1"/>
  <c r="AJ30" i="3"/>
  <c r="AK30" i="3" s="1"/>
  <c r="DC30" i="3"/>
  <c r="DD30" i="3" s="1"/>
  <c r="CN30" i="3"/>
  <c r="CO30" i="3" s="1"/>
  <c r="DM30" i="3"/>
  <c r="DN30" i="3" s="1"/>
  <c r="CX30" i="3"/>
  <c r="CY30" i="3" s="1"/>
  <c r="P30" i="3"/>
  <c r="Q30" i="3" s="1"/>
  <c r="BD18" i="3"/>
  <c r="AY13" i="3"/>
  <c r="AY3" i="3"/>
  <c r="DB4" i="3"/>
  <c r="FF4" i="3" s="1"/>
  <c r="BV3" i="3"/>
  <c r="BV17" i="3"/>
  <c r="AY5" i="3"/>
  <c r="EW11" i="3" l="1"/>
  <c r="AN7" i="3"/>
  <c r="FE7" i="3" s="1"/>
  <c r="T11" i="3"/>
  <c r="FC11" i="3" s="1"/>
  <c r="DB3" i="3"/>
  <c r="FF3" i="3" s="1"/>
  <c r="CR9" i="3"/>
  <c r="T9" i="3"/>
  <c r="FC9" i="3" s="1"/>
  <c r="DQ6" i="3"/>
  <c r="FI6" i="3" s="1"/>
  <c r="DB8" i="3"/>
  <c r="FF8" i="3" s="1"/>
  <c r="DL3" i="3"/>
  <c r="FH3" i="3" s="1"/>
  <c r="DG4" i="3"/>
  <c r="FG4" i="3" s="1"/>
  <c r="DB9" i="3"/>
  <c r="FF9" i="3" s="1"/>
  <c r="DB10" i="3"/>
  <c r="FF10" i="3" s="1"/>
  <c r="CR6" i="3"/>
  <c r="BL10" i="3"/>
  <c r="FB10" i="3" s="1"/>
  <c r="AD11" i="3"/>
  <c r="FD11" i="3" s="1"/>
  <c r="CH12" i="3"/>
  <c r="CH5" i="3"/>
  <c r="EW15" i="3"/>
  <c r="BW15" i="3"/>
  <c r="T8" i="3"/>
  <c r="FC8" i="3" s="1"/>
  <c r="AN12" i="3"/>
  <c r="FE12" i="3" s="1"/>
  <c r="AN6" i="3"/>
  <c r="FE6" i="3" s="1"/>
  <c r="BL3" i="3"/>
  <c r="FB3" i="3" s="1"/>
  <c r="BW13" i="3"/>
  <c r="EW13" i="3"/>
  <c r="DQ12" i="3"/>
  <c r="FI12" i="3" s="1"/>
  <c r="DL12" i="3"/>
  <c r="FH12" i="3" s="1"/>
  <c r="DL5" i="3"/>
  <c r="FH5" i="3" s="1"/>
  <c r="DG12" i="3"/>
  <c r="FG12" i="3" s="1"/>
  <c r="CR3" i="3"/>
  <c r="FK3" i="3" s="1"/>
  <c r="CR5" i="3"/>
  <c r="AD10" i="3"/>
  <c r="FD10" i="3" s="1"/>
  <c r="CH11" i="3"/>
  <c r="EW4" i="3"/>
  <c r="BW4" i="3"/>
  <c r="T3" i="3"/>
  <c r="FC3" i="3" s="1"/>
  <c r="AN4" i="3"/>
  <c r="FE4" i="3" s="1"/>
  <c r="BL7" i="3"/>
  <c r="FB7" i="3" s="1"/>
  <c r="EW9" i="3"/>
  <c r="BW9" i="3"/>
  <c r="DQ4" i="3"/>
  <c r="FI4" i="3" s="1"/>
  <c r="DL11" i="3"/>
  <c r="FH11" i="3" s="1"/>
  <c r="DG11" i="3"/>
  <c r="FG11" i="3" s="1"/>
  <c r="CR4" i="3"/>
  <c r="CR12" i="3"/>
  <c r="DB7" i="3"/>
  <c r="FF7" i="3" s="1"/>
  <c r="CR11" i="3"/>
  <c r="BW3" i="3"/>
  <c r="EW3" i="3"/>
  <c r="DB6" i="3"/>
  <c r="FF6" i="3" s="1"/>
  <c r="AD9" i="3"/>
  <c r="FD9" i="3" s="1"/>
  <c r="CH10" i="3"/>
  <c r="T5" i="3"/>
  <c r="FC5" i="3" s="1"/>
  <c r="T7" i="3"/>
  <c r="FC7" i="3" s="1"/>
  <c r="AN11" i="3"/>
  <c r="FE11" i="3" s="1"/>
  <c r="BL5" i="3"/>
  <c r="FB5" i="3" s="1"/>
  <c r="DQ11" i="3"/>
  <c r="FI11" i="3" s="1"/>
  <c r="DL10" i="3"/>
  <c r="FH10" i="3" s="1"/>
  <c r="DG8" i="3"/>
  <c r="FG8" i="3" s="1"/>
  <c r="DG10" i="3"/>
  <c r="FG10" i="3" s="1"/>
  <c r="EW16" i="3"/>
  <c r="BW16" i="3"/>
  <c r="AD8" i="3"/>
  <c r="FD8" i="3" s="1"/>
  <c r="CH9" i="3"/>
  <c r="T12" i="3"/>
  <c r="FC12" i="3" s="1"/>
  <c r="T6" i="3"/>
  <c r="FC6" i="3" s="1"/>
  <c r="AN10" i="3"/>
  <c r="FE10" i="3" s="1"/>
  <c r="BL4" i="3"/>
  <c r="FB4" i="3" s="1"/>
  <c r="EW19" i="3"/>
  <c r="BW19" i="3"/>
  <c r="DQ3" i="3"/>
  <c r="FI3" i="3" s="1"/>
  <c r="DL9" i="3"/>
  <c r="FH9" i="3" s="1"/>
  <c r="DG7" i="3"/>
  <c r="FG7" i="3" s="1"/>
  <c r="DG9" i="3"/>
  <c r="FG9" i="3" s="1"/>
  <c r="EW12" i="3"/>
  <c r="BW12" i="3"/>
  <c r="AD3" i="3"/>
  <c r="FD3" i="3" s="1"/>
  <c r="CH8" i="3"/>
  <c r="BG6" i="3"/>
  <c r="FA6" i="3" s="1"/>
  <c r="BG7" i="3"/>
  <c r="FA7" i="3" s="1"/>
  <c r="BG3" i="3"/>
  <c r="FA3" i="3" s="1"/>
  <c r="BG8" i="3"/>
  <c r="FA8" i="3" s="1"/>
  <c r="BG9" i="3"/>
  <c r="FA9" i="3" s="1"/>
  <c r="BG10" i="3"/>
  <c r="FA10" i="3" s="1"/>
  <c r="BG11" i="3"/>
  <c r="FA11" i="3" s="1"/>
  <c r="BG4" i="3"/>
  <c r="FA4" i="3" s="1"/>
  <c r="BG12" i="3"/>
  <c r="FA12" i="3" s="1"/>
  <c r="BG5" i="3"/>
  <c r="FA5" i="3" s="1"/>
  <c r="T4" i="3"/>
  <c r="FC4" i="3" s="1"/>
  <c r="AN9" i="3"/>
  <c r="FE9" i="3" s="1"/>
  <c r="BL12" i="3"/>
  <c r="FB12" i="3" s="1"/>
  <c r="DQ5" i="3"/>
  <c r="FI5" i="3" s="1"/>
  <c r="DQ10" i="3"/>
  <c r="FI10" i="3" s="1"/>
  <c r="DL8" i="3"/>
  <c r="FH8" i="3" s="1"/>
  <c r="DG3" i="3"/>
  <c r="FG3" i="3" s="1"/>
  <c r="CR8" i="3"/>
  <c r="AD5" i="3"/>
  <c r="FD5" i="3" s="1"/>
  <c r="AD7" i="3"/>
  <c r="FD7" i="3" s="1"/>
  <c r="CH7" i="3"/>
  <c r="EW5" i="3"/>
  <c r="BW5" i="3"/>
  <c r="EW10" i="3"/>
  <c r="BW10" i="3"/>
  <c r="AN8" i="3"/>
  <c r="FE8" i="3" s="1"/>
  <c r="EW20" i="3"/>
  <c r="BW20" i="3"/>
  <c r="BL6" i="3"/>
  <c r="FB6" i="3" s="1"/>
  <c r="DQ8" i="3"/>
  <c r="FI8" i="3" s="1"/>
  <c r="DQ9" i="3"/>
  <c r="FI9" i="3" s="1"/>
  <c r="DL7" i="3"/>
  <c r="FH7" i="3" s="1"/>
  <c r="DG6" i="3"/>
  <c r="FG6" i="3" s="1"/>
  <c r="EW7" i="3"/>
  <c r="BW7" i="3"/>
  <c r="DB12" i="3"/>
  <c r="FF12" i="3" s="1"/>
  <c r="DB11" i="3"/>
  <c r="FF11" i="3" s="1"/>
  <c r="AD12" i="3"/>
  <c r="FD12" i="3" s="1"/>
  <c r="AD6" i="3"/>
  <c r="FD6" i="3" s="1"/>
  <c r="CH6" i="3"/>
  <c r="T10" i="3"/>
  <c r="FC10" i="3" s="1"/>
  <c r="EW8" i="3"/>
  <c r="BW8" i="3"/>
  <c r="EW6" i="3"/>
  <c r="BW6" i="3"/>
  <c r="AN3" i="3"/>
  <c r="FE3" i="3" s="1"/>
  <c r="BL9" i="3"/>
  <c r="FB9" i="3" s="1"/>
  <c r="BL11" i="3"/>
  <c r="FB11" i="3" s="1"/>
  <c r="DQ7" i="3"/>
  <c r="FI7" i="3" s="1"/>
  <c r="EW18" i="3"/>
  <c r="BW18" i="3"/>
  <c r="DL6" i="3"/>
  <c r="FH6" i="3" s="1"/>
  <c r="DG5" i="3"/>
  <c r="FG5" i="3" s="1"/>
  <c r="BB10" i="3"/>
  <c r="FA21" i="3" s="1"/>
  <c r="BB11" i="3"/>
  <c r="FA22" i="3" s="1"/>
  <c r="BB12" i="3"/>
  <c r="FA23" i="3" s="1"/>
  <c r="BB4" i="3"/>
  <c r="FA15" i="3" s="1"/>
  <c r="BB5" i="3"/>
  <c r="FA16" i="3" s="1"/>
  <c r="BB6" i="3"/>
  <c r="FA17" i="3" s="1"/>
  <c r="BB7" i="3"/>
  <c r="FA18" i="3" s="1"/>
  <c r="BB3" i="3"/>
  <c r="FA14" i="3" s="1"/>
  <c r="BB8" i="3"/>
  <c r="FA19" i="3" s="1"/>
  <c r="BB9" i="3"/>
  <c r="FA20" i="3" s="1"/>
  <c r="CR7" i="3"/>
  <c r="EW17" i="3"/>
  <c r="BW17" i="3"/>
  <c r="CH4" i="3"/>
  <c r="AN5" i="3"/>
  <c r="FE5" i="3" s="1"/>
  <c r="BL8" i="3"/>
  <c r="FB8" i="3" s="1"/>
  <c r="DL4" i="3"/>
  <c r="FH4" i="3" s="1"/>
  <c r="BX14" i="3" l="1" a="1"/>
  <c r="BX14" i="3" s="1"/>
  <c r="EX14" i="3" s="1"/>
  <c r="BX20" i="3" a="1"/>
  <c r="BX20" i="3" s="1"/>
  <c r="EX20" i="3" s="1"/>
  <c r="BX19" i="3" a="1"/>
  <c r="BX19" i="3" s="1"/>
  <c r="EX19" i="3" s="1"/>
  <c r="BX18" i="3" a="1"/>
  <c r="BX18" i="3" s="1"/>
  <c r="EX18" i="3" s="1"/>
  <c r="BX12" i="3" a="1"/>
  <c r="BX12" i="3" s="1"/>
  <c r="EX12" i="3" s="1"/>
  <c r="BX4" i="3" a="1"/>
  <c r="BX4" i="3" s="1"/>
  <c r="EX4" i="3" s="1"/>
  <c r="BX5" i="3" a="1"/>
  <c r="BX5" i="3" s="1"/>
  <c r="EX5" i="3" s="1"/>
  <c r="BX3" i="3" a="1"/>
  <c r="BX3" i="3" s="1"/>
  <c r="EX3" i="3" s="1"/>
  <c r="BX6" i="3" a="1"/>
  <c r="BX6" i="3" s="1"/>
  <c r="EX6" i="3" s="1"/>
  <c r="BX13" i="3" a="1"/>
  <c r="BX13" i="3" s="1"/>
  <c r="EX13" i="3" s="1"/>
  <c r="BX7" i="3" a="1"/>
  <c r="BX7" i="3" s="1"/>
  <c r="EX7" i="3" s="1"/>
  <c r="BX8" i="3" a="1"/>
  <c r="BX8" i="3" s="1"/>
  <c r="EX8" i="3" s="1"/>
  <c r="BX17" i="3" a="1"/>
  <c r="BX17" i="3" s="1"/>
  <c r="EX17" i="3" s="1"/>
  <c r="BX16" i="3" a="1"/>
  <c r="BX16" i="3" s="1"/>
  <c r="EX16" i="3" s="1"/>
  <c r="BX15" i="3" a="1"/>
  <c r="BX15" i="3" s="1"/>
  <c r="EX15" i="3" s="1"/>
  <c r="BX9" i="3" a="1"/>
  <c r="BX9" i="3" s="1"/>
  <c r="EX9" i="3" s="1"/>
  <c r="BX10" i="3" a="1"/>
  <c r="BX10" i="3" s="1"/>
  <c r="EX10" i="3" s="1"/>
  <c r="BX11" i="3" a="1"/>
  <c r="BX11" i="3" s="1"/>
  <c r="EX11" i="3" s="1"/>
</calcChain>
</file>

<file path=xl/comments1.xml><?xml version="1.0" encoding="utf-8"?>
<comments xmlns="http://schemas.openxmlformats.org/spreadsheetml/2006/main">
  <authors>
    <author>USER</author>
  </authors>
  <commentList>
    <comment ref="AX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減速あるものを除く
</t>
        </r>
      </text>
    </comment>
    <comment ref="BC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逆Time3の加速幅</t>
        </r>
        <r>
          <rPr>
            <sz val="9"/>
            <color indexed="81"/>
            <rFont val="MS P ゴシック"/>
            <family val="3"/>
            <charset val="128"/>
          </rPr>
          <t xml:space="preserve">
</t>
        </r>
      </text>
    </comment>
    <comment ref="CB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上から１５０内
での３０日検出数
</t>
        </r>
      </text>
    </comment>
    <comment ref="CX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C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H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M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R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DW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EB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  <comment ref="EG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データが小数点なく
１２秒台が
１２０と表示されててるので、それに合わせてる
もし、小数点を入れるなら、正しく直さないと機能しない</t>
        </r>
      </text>
    </comment>
  </commentList>
</comments>
</file>

<file path=xl/sharedStrings.xml><?xml version="1.0" encoding="utf-8"?>
<sst xmlns="http://schemas.openxmlformats.org/spreadsheetml/2006/main" count="1249" uniqueCount="153">
  <si>
    <t>年月日</t>
  </si>
  <si>
    <t>場所</t>
  </si>
  <si>
    <t>馬名</t>
  </si>
  <si>
    <t>馬番/仮番(出馬表モード時のみ)</t>
  </si>
  <si>
    <t>Time1</t>
  </si>
  <si>
    <t>Time2</t>
  </si>
  <si>
    <t>Time3</t>
  </si>
  <si>
    <t>Time4</t>
  </si>
  <si>
    <t>Lap4</t>
  </si>
  <si>
    <t>Lap3</t>
  </si>
  <si>
    <t>Lap2</t>
  </si>
  <si>
    <t>Lap1</t>
  </si>
  <si>
    <t>３０日以内</t>
    <rPh sb="2" eb="3">
      <t>ヒ</t>
    </rPh>
    <rPh sb="3" eb="5">
      <t>イナイ</t>
    </rPh>
    <phoneticPr fontId="1"/>
  </si>
  <si>
    <t>同位回避点</t>
    <rPh sb="0" eb="2">
      <t>ドウイ</t>
    </rPh>
    <rPh sb="2" eb="4">
      <t>カイヒ</t>
    </rPh>
    <rPh sb="4" eb="5">
      <t>テン</t>
    </rPh>
    <phoneticPr fontId="1"/>
  </si>
  <si>
    <r>
      <t>T</t>
    </r>
    <r>
      <rPr>
        <sz val="11"/>
        <color theme="1"/>
        <rFont val="游ゴシック"/>
        <family val="3"/>
        <charset val="128"/>
        <scheme val="minor"/>
      </rPr>
      <t>ime1</t>
    </r>
    <phoneticPr fontId="1"/>
  </si>
  <si>
    <t>Sランク</t>
    <phoneticPr fontId="1"/>
  </si>
  <si>
    <t>馬番</t>
    <rPh sb="0" eb="1">
      <t>バ</t>
    </rPh>
    <rPh sb="1" eb="2">
      <t>バン</t>
    </rPh>
    <phoneticPr fontId="1"/>
  </si>
  <si>
    <t>参照順位</t>
    <rPh sb="0" eb="2">
      <t>サンショウ</t>
    </rPh>
    <rPh sb="2" eb="4">
      <t>ジュンイ</t>
    </rPh>
    <phoneticPr fontId="1"/>
  </si>
  <si>
    <t>30Time1</t>
    <phoneticPr fontId="1"/>
  </si>
  <si>
    <r>
      <t>T</t>
    </r>
    <r>
      <rPr>
        <sz val="11"/>
        <color theme="1"/>
        <rFont val="游ゴシック"/>
        <family val="2"/>
        <charset val="128"/>
        <scheme val="minor"/>
      </rPr>
      <t>ime1</t>
    </r>
    <phoneticPr fontId="1"/>
  </si>
  <si>
    <t>180Time1</t>
    <phoneticPr fontId="1"/>
  </si>
  <si>
    <r>
      <t>Time</t>
    </r>
    <r>
      <rPr>
        <sz val="11"/>
        <color theme="1"/>
        <rFont val="游ゴシック"/>
        <family val="2"/>
        <charset val="128"/>
        <scheme val="minor"/>
      </rPr>
      <t>2</t>
    </r>
    <phoneticPr fontId="1"/>
  </si>
  <si>
    <t>30Time2</t>
    <phoneticPr fontId="1"/>
  </si>
  <si>
    <t>Time2</t>
    <phoneticPr fontId="1"/>
  </si>
  <si>
    <t>180Time2</t>
    <phoneticPr fontId="1"/>
  </si>
  <si>
    <t>Time3</t>
    <phoneticPr fontId="1"/>
  </si>
  <si>
    <r>
      <t>30Time</t>
    </r>
    <r>
      <rPr>
        <sz val="11"/>
        <color theme="1"/>
        <rFont val="游ゴシック"/>
        <family val="2"/>
        <charset val="128"/>
        <scheme val="minor"/>
      </rPr>
      <t>3</t>
    </r>
    <phoneticPr fontId="1"/>
  </si>
  <si>
    <t>180Time3</t>
    <phoneticPr fontId="1"/>
  </si>
  <si>
    <t>L4→L3</t>
    <phoneticPr fontId="1"/>
  </si>
  <si>
    <t>L３→L2</t>
    <phoneticPr fontId="1"/>
  </si>
  <si>
    <t>L2→L1</t>
    <phoneticPr fontId="1"/>
  </si>
  <si>
    <t>L合計</t>
    <rPh sb="1" eb="3">
      <t>ゴウケイ</t>
    </rPh>
    <phoneticPr fontId="1"/>
  </si>
  <si>
    <t>平均値</t>
    <rPh sb="0" eb="3">
      <t>ヘイキンチ</t>
    </rPh>
    <phoneticPr fontId="1"/>
  </si>
  <si>
    <t>Rランク</t>
    <phoneticPr fontId="1"/>
  </si>
  <si>
    <t>平均加速幅</t>
    <rPh sb="0" eb="2">
      <t>ヘイキン</t>
    </rPh>
    <rPh sb="2" eb="4">
      <t>カソク</t>
    </rPh>
    <rPh sb="4" eb="5">
      <t>ハバ</t>
    </rPh>
    <phoneticPr fontId="1"/>
  </si>
  <si>
    <r>
      <t>逆T</t>
    </r>
    <r>
      <rPr>
        <sz val="11"/>
        <color theme="1"/>
        <rFont val="游ゴシック"/>
        <family val="3"/>
        <charset val="128"/>
        <scheme val="minor"/>
      </rPr>
      <t>3加速幅</t>
    </r>
    <rPh sb="0" eb="1">
      <t>ギャク</t>
    </rPh>
    <rPh sb="3" eb="5">
      <t>カソク</t>
    </rPh>
    <rPh sb="5" eb="6">
      <t>ハバ</t>
    </rPh>
    <phoneticPr fontId="1"/>
  </si>
  <si>
    <t>前傾加速幅</t>
    <rPh sb="0" eb="2">
      <t>ゼンケイ</t>
    </rPh>
    <rPh sb="2" eb="4">
      <t>カソク</t>
    </rPh>
    <rPh sb="4" eb="5">
      <t>ハバ</t>
    </rPh>
    <phoneticPr fontId="1"/>
  </si>
  <si>
    <r>
      <t>3</t>
    </r>
    <r>
      <rPr>
        <sz val="11"/>
        <color theme="1"/>
        <rFont val="游ゴシック"/>
        <family val="2"/>
        <charset val="128"/>
        <scheme val="minor"/>
      </rPr>
      <t>0日</t>
    </r>
    <r>
      <rPr>
        <sz val="11"/>
        <color theme="1"/>
        <rFont val="游ゴシック"/>
        <family val="2"/>
        <charset val="128"/>
        <scheme val="minor"/>
      </rPr>
      <t>分散</t>
    </r>
    <rPh sb="2" eb="3">
      <t>ヒ</t>
    </rPh>
    <rPh sb="3" eb="5">
      <t>ブンサン</t>
    </rPh>
    <phoneticPr fontId="1"/>
  </si>
  <si>
    <t>30日分散</t>
    <rPh sb="2" eb="3">
      <t>ヒ</t>
    </rPh>
    <rPh sb="3" eb="5">
      <t>ブンサン</t>
    </rPh>
    <phoneticPr fontId="1"/>
  </si>
  <si>
    <t>180日分散</t>
    <rPh sb="3" eb="4">
      <t>ヒ</t>
    </rPh>
    <rPh sb="4" eb="6">
      <t>ブンサン</t>
    </rPh>
    <phoneticPr fontId="1"/>
  </si>
  <si>
    <t>馬名</t>
    <rPh sb="0" eb="2">
      <t>バメイ</t>
    </rPh>
    <phoneticPr fontId="1"/>
  </si>
  <si>
    <t>参照馬番</t>
    <rPh sb="0" eb="2">
      <t>サンショウ</t>
    </rPh>
    <rPh sb="2" eb="3">
      <t>バ</t>
    </rPh>
    <rPh sb="3" eb="4">
      <t>バン</t>
    </rPh>
    <phoneticPr fontId="1"/>
  </si>
  <si>
    <r>
      <t>3</t>
    </r>
    <r>
      <rPr>
        <sz val="10"/>
        <color theme="1"/>
        <rFont val="游ゴシック"/>
        <family val="3"/>
        <charset val="128"/>
        <scheme val="minor"/>
      </rPr>
      <t>0日検出数</t>
    </r>
    <rPh sb="2" eb="3">
      <t>ヒ</t>
    </rPh>
    <rPh sb="3" eb="5">
      <t>ケンシュツ</t>
    </rPh>
    <rPh sb="5" eb="6">
      <t>スウ</t>
    </rPh>
    <phoneticPr fontId="1"/>
  </si>
  <si>
    <t>未検出馬番</t>
    <rPh sb="0" eb="3">
      <t>ミケンシュツ</t>
    </rPh>
    <rPh sb="3" eb="4">
      <t>バ</t>
    </rPh>
    <rPh sb="4" eb="5">
      <t>バン</t>
    </rPh>
    <phoneticPr fontId="1"/>
  </si>
  <si>
    <t>180未検馬番</t>
    <rPh sb="3" eb="4">
      <t>ミ</t>
    </rPh>
    <rPh sb="4" eb="5">
      <t>ケン</t>
    </rPh>
    <rPh sb="5" eb="6">
      <t>バ</t>
    </rPh>
    <rPh sb="6" eb="7">
      <t>バン</t>
    </rPh>
    <phoneticPr fontId="1"/>
  </si>
  <si>
    <t>180検出数</t>
    <rPh sb="3" eb="5">
      <t>ケンシュツ</t>
    </rPh>
    <rPh sb="5" eb="6">
      <t>スウ</t>
    </rPh>
    <phoneticPr fontId="1"/>
  </si>
  <si>
    <t>30日総数</t>
    <rPh sb="2" eb="3">
      <t>ヒ</t>
    </rPh>
    <rPh sb="3" eb="5">
      <t>ソウスウ</t>
    </rPh>
    <phoneticPr fontId="1"/>
  </si>
  <si>
    <t>180日総数</t>
    <rPh sb="3" eb="4">
      <t>ヒ</t>
    </rPh>
    <rPh sb="4" eb="6">
      <t>ソウスウ</t>
    </rPh>
    <phoneticPr fontId="1"/>
  </si>
  <si>
    <t>30日Lap1</t>
    <rPh sb="2" eb="3">
      <t>ヒ</t>
    </rPh>
    <phoneticPr fontId="1"/>
  </si>
  <si>
    <t>表示馬番</t>
    <rPh sb="0" eb="2">
      <t>ヒョウジ</t>
    </rPh>
    <rPh sb="2" eb="3">
      <t>バ</t>
    </rPh>
    <rPh sb="3" eb="4">
      <t>バン</t>
    </rPh>
    <phoneticPr fontId="1"/>
  </si>
  <si>
    <t>180日Lap1</t>
    <rPh sb="3" eb="4">
      <t>ヒ</t>
    </rPh>
    <phoneticPr fontId="1"/>
  </si>
  <si>
    <t>Sランク</t>
  </si>
  <si>
    <r>
      <rPr>
        <sz val="11"/>
        <color theme="1"/>
        <rFont val="游ゴシック"/>
        <family val="2"/>
        <charset val="128"/>
        <scheme val="minor"/>
      </rPr>
      <t>3</t>
    </r>
    <r>
      <rPr>
        <sz val="11"/>
        <color theme="1"/>
        <rFont val="游ゴシック"/>
        <family val="2"/>
        <charset val="128"/>
        <scheme val="minor"/>
      </rPr>
      <t>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2</t>
    </r>
    <rPh sb="2" eb="3">
      <t>ヒ</t>
    </rPh>
    <phoneticPr fontId="1"/>
  </si>
  <si>
    <t>180日Lap2</t>
    <rPh sb="3" eb="4">
      <t>ヒ</t>
    </rPh>
    <phoneticPr fontId="1"/>
  </si>
  <si>
    <t>30日Lap４</t>
    <rPh sb="2" eb="3">
      <t>ヒ</t>
    </rPh>
    <phoneticPr fontId="1"/>
  </si>
  <si>
    <r>
      <t>30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3</t>
    </r>
    <rPh sb="2" eb="3">
      <t>ヒ</t>
    </rPh>
    <phoneticPr fontId="1"/>
  </si>
  <si>
    <r>
      <t>30日Lap</t>
    </r>
    <r>
      <rPr>
        <sz val="11"/>
        <color theme="1"/>
        <rFont val="游ゴシック"/>
        <family val="2"/>
        <charset val="128"/>
        <scheme val="minor"/>
      </rPr>
      <t>2</t>
    </r>
    <rPh sb="2" eb="3">
      <t>ヒ</t>
    </rPh>
    <phoneticPr fontId="1"/>
  </si>
  <si>
    <r>
      <t>30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2"/>
        <charset val="128"/>
        <scheme val="minor"/>
      </rPr>
      <t>1</t>
    </r>
    <rPh sb="2" eb="3">
      <t>ヒ</t>
    </rPh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</si>
  <si>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日Lap４</t>
    </r>
    <rPh sb="3" eb="4">
      <t>ヒ</t>
    </rPh>
    <phoneticPr fontId="1"/>
  </si>
  <si>
    <t>180日Lap3</t>
    <rPh sb="3" eb="4">
      <t>ヒ</t>
    </rPh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</si>
  <si>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日Lap</t>
    </r>
    <r>
      <rPr>
        <sz val="11"/>
        <color theme="1"/>
        <rFont val="游ゴシック"/>
        <family val="3"/>
        <charset val="128"/>
        <scheme val="minor"/>
      </rPr>
      <t>2</t>
    </r>
    <rPh sb="3" eb="4">
      <t>ヒ</t>
    </rPh>
    <phoneticPr fontId="1"/>
  </si>
  <si>
    <t>※出馬表と照合して、実際の未検出馬番と数を出し直すこと</t>
    <rPh sb="1" eb="4">
      <t>シュツバヒョウ</t>
    </rPh>
    <rPh sb="5" eb="7">
      <t>ショウゴウ</t>
    </rPh>
    <rPh sb="10" eb="12">
      <t>ジッサイ</t>
    </rPh>
    <rPh sb="13" eb="17">
      <t>ミケンシュツバ</t>
    </rPh>
    <rPh sb="17" eb="18">
      <t>バン</t>
    </rPh>
    <rPh sb="19" eb="20">
      <t>カズ</t>
    </rPh>
    <rPh sb="21" eb="22">
      <t>ダ</t>
    </rPh>
    <rPh sb="23" eb="24">
      <t>ナオ</t>
    </rPh>
    <phoneticPr fontId="1"/>
  </si>
  <si>
    <t>他、人気順変換</t>
    <rPh sb="0" eb="1">
      <t>ホカ</t>
    </rPh>
    <rPh sb="2" eb="5">
      <t>ニンキジュン</t>
    </rPh>
    <rPh sb="5" eb="7">
      <t>ヘンカン</t>
    </rPh>
    <phoneticPr fontId="1"/>
  </si>
  <si>
    <t>30未検馬番</t>
    <rPh sb="2" eb="3">
      <t>ミ</t>
    </rPh>
    <rPh sb="3" eb="4">
      <t>ケン</t>
    </rPh>
    <rPh sb="4" eb="5">
      <t>バ</t>
    </rPh>
    <rPh sb="5" eb="6">
      <t>バン</t>
    </rPh>
    <phoneticPr fontId="1"/>
  </si>
  <si>
    <r>
      <t>11秒30</t>
    </r>
    <r>
      <rPr>
        <sz val="11"/>
        <color theme="1"/>
        <rFont val="游ゴシック"/>
        <family val="2"/>
        <charset val="128"/>
        <scheme val="minor"/>
      </rPr>
      <t>L1</t>
    </r>
    <rPh sb="2" eb="3">
      <t>ビョウ</t>
    </rPh>
    <phoneticPr fontId="1"/>
  </si>
  <si>
    <t>11秒180L1</t>
    <rPh sb="2" eb="3">
      <t>ビョウ</t>
    </rPh>
    <phoneticPr fontId="1"/>
  </si>
  <si>
    <r>
      <t>11秒30</t>
    </r>
    <r>
      <rPr>
        <sz val="11"/>
        <color theme="1"/>
        <rFont val="游ゴシック"/>
        <family val="2"/>
        <charset val="128"/>
        <scheme val="minor"/>
      </rPr>
      <t>L2</t>
    </r>
    <rPh sb="2" eb="3">
      <t>ビョウ</t>
    </rPh>
    <phoneticPr fontId="1"/>
  </si>
  <si>
    <t>11秒180L2</t>
    <rPh sb="2" eb="3">
      <t>ビョウ</t>
    </rPh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</si>
  <si>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Lap4</t>
    </r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</si>
  <si>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Lap</t>
    </r>
    <r>
      <rPr>
        <sz val="11"/>
        <color theme="1"/>
        <rFont val="游ゴシック"/>
        <family val="3"/>
        <charset val="128"/>
        <scheme val="minor"/>
      </rPr>
      <t>3</t>
    </r>
    <phoneticPr fontId="1"/>
  </si>
  <si>
    <r>
      <rPr>
        <sz val="11"/>
        <color theme="1"/>
        <rFont val="游ゴシック"/>
        <family val="3"/>
        <charset val="128"/>
        <scheme val="minor"/>
      </rPr>
      <t>180</t>
    </r>
    <r>
      <rPr>
        <sz val="11"/>
        <color theme="1"/>
        <rFont val="游ゴシック"/>
        <family val="2"/>
        <charset val="128"/>
        <scheme val="minor"/>
      </rPr>
      <t>Lap</t>
    </r>
    <r>
      <rPr>
        <sz val="11"/>
        <color theme="1"/>
        <rFont val="游ゴシック"/>
        <family val="3"/>
        <charset val="128"/>
        <scheme val="minor"/>
      </rPr>
      <t>2</t>
    </r>
    <phoneticPr fontId="1"/>
  </si>
  <si>
    <r>
      <t>1</t>
    </r>
    <r>
      <rPr>
        <sz val="11"/>
        <color theme="1"/>
        <rFont val="游ゴシック"/>
        <family val="2"/>
        <charset val="128"/>
        <scheme val="minor"/>
      </rPr>
      <t>80</t>
    </r>
    <r>
      <rPr>
        <sz val="11"/>
        <color theme="1"/>
        <rFont val="游ゴシック"/>
        <family val="2"/>
        <charset val="128"/>
        <scheme val="minor"/>
      </rPr>
      <t>Lap1</t>
    </r>
    <phoneticPr fontId="1"/>
  </si>
  <si>
    <t>検出馬</t>
    <rPh sb="0" eb="2">
      <t>ケンシュツ</t>
    </rPh>
    <rPh sb="2" eb="3">
      <t>バ</t>
    </rPh>
    <phoneticPr fontId="1"/>
  </si>
  <si>
    <r>
      <t>3</t>
    </r>
    <r>
      <rPr>
        <sz val="11"/>
        <color theme="1"/>
        <rFont val="游ゴシック"/>
        <family val="2"/>
        <charset val="128"/>
        <scheme val="minor"/>
      </rPr>
      <t>0</t>
    </r>
    <r>
      <rPr>
        <sz val="11"/>
        <color theme="1"/>
        <rFont val="游ゴシック"/>
        <family val="2"/>
        <charset val="128"/>
        <scheme val="minor"/>
      </rPr>
      <t>Lap4</t>
    </r>
    <phoneticPr fontId="1"/>
  </si>
  <si>
    <t>30Lap3</t>
    <phoneticPr fontId="1"/>
  </si>
  <si>
    <t>30Lap2</t>
    <phoneticPr fontId="1"/>
  </si>
  <si>
    <t>30Lap1</t>
    <phoneticPr fontId="1"/>
  </si>
  <si>
    <r>
      <t>3</t>
    </r>
    <r>
      <rPr>
        <sz val="11"/>
        <color theme="1"/>
        <rFont val="游ゴシック"/>
        <family val="3"/>
        <charset val="128"/>
        <scheme val="minor"/>
      </rPr>
      <t>0Lap4</t>
    </r>
    <phoneticPr fontId="1"/>
  </si>
  <si>
    <r>
      <t>1</t>
    </r>
    <r>
      <rPr>
        <sz val="11"/>
        <color theme="1"/>
        <rFont val="游ゴシック"/>
        <family val="3"/>
        <charset val="128"/>
        <scheme val="minor"/>
      </rPr>
      <t>80Lap4</t>
    </r>
    <phoneticPr fontId="1"/>
  </si>
  <si>
    <r>
      <rPr>
        <sz val="11"/>
        <color theme="1"/>
        <rFont val="游ゴシック"/>
        <family val="3"/>
        <charset val="128"/>
        <scheme val="minor"/>
      </rPr>
      <t>180Lap3</t>
    </r>
    <phoneticPr fontId="1"/>
  </si>
  <si>
    <r>
      <rPr>
        <sz val="11"/>
        <color theme="1"/>
        <rFont val="游ゴシック"/>
        <family val="3"/>
        <charset val="128"/>
        <scheme val="minor"/>
      </rPr>
      <t>180Lap2</t>
    </r>
    <phoneticPr fontId="1"/>
  </si>
  <si>
    <t>検出馬名</t>
    <rPh sb="0" eb="2">
      <t>ケンシュツ</t>
    </rPh>
    <rPh sb="2" eb="3">
      <t>バ</t>
    </rPh>
    <rPh sb="3" eb="4">
      <t>メイ</t>
    </rPh>
    <phoneticPr fontId="1"/>
  </si>
  <si>
    <t>有効総数</t>
    <rPh sb="0" eb="2">
      <t>ユウコウ</t>
    </rPh>
    <rPh sb="2" eb="4">
      <t>ソウスウ</t>
    </rPh>
    <phoneticPr fontId="1"/>
  </si>
  <si>
    <r>
      <t>3</t>
    </r>
    <r>
      <rPr>
        <sz val="11"/>
        <color theme="1"/>
        <rFont val="游ゴシック"/>
        <family val="3"/>
        <charset val="128"/>
        <scheme val="minor"/>
      </rPr>
      <t>0日検出数</t>
    </r>
    <rPh sb="2" eb="3">
      <t>ヒ</t>
    </rPh>
    <rPh sb="3" eb="5">
      <t>ケンシュツ</t>
    </rPh>
    <rPh sb="5" eb="6">
      <t>スウ</t>
    </rPh>
    <phoneticPr fontId="1"/>
  </si>
  <si>
    <r>
      <t>30Time</t>
    </r>
    <r>
      <rPr>
        <sz val="11"/>
        <color theme="1"/>
        <rFont val="游ゴシック"/>
        <family val="3"/>
        <charset val="128"/>
        <scheme val="minor"/>
      </rPr>
      <t>3</t>
    </r>
    <phoneticPr fontId="1"/>
  </si>
  <si>
    <r>
      <t>11秒30</t>
    </r>
    <r>
      <rPr>
        <sz val="11"/>
        <color theme="1"/>
        <rFont val="游ゴシック"/>
        <family val="3"/>
        <charset val="128"/>
        <scheme val="minor"/>
      </rPr>
      <t>L1</t>
    </r>
    <rPh sb="2" eb="3">
      <t>ビョウ</t>
    </rPh>
    <phoneticPr fontId="1"/>
  </si>
  <si>
    <r>
      <t>11秒30</t>
    </r>
    <r>
      <rPr>
        <sz val="11"/>
        <color theme="1"/>
        <rFont val="游ゴシック"/>
        <family val="3"/>
        <charset val="128"/>
        <scheme val="minor"/>
      </rPr>
      <t>L2</t>
    </r>
    <rPh sb="2" eb="3">
      <t>ビョウ</t>
    </rPh>
    <phoneticPr fontId="1"/>
  </si>
  <si>
    <r>
      <t>1</t>
    </r>
    <r>
      <rPr>
        <sz val="11"/>
        <color theme="1"/>
        <rFont val="游ゴシック"/>
        <family val="3"/>
        <charset val="128"/>
        <scheme val="minor"/>
      </rPr>
      <t>80Lap1</t>
    </r>
    <phoneticPr fontId="1"/>
  </si>
  <si>
    <t>栗東</t>
  </si>
  <si>
    <t xml:space="preserve"> </t>
    <phoneticPr fontId="1"/>
  </si>
  <si>
    <t>コウエイダリア　　　　　　　　　　　</t>
  </si>
  <si>
    <t>フェルトベルク　　　　　　　　　　　</t>
  </si>
  <si>
    <t>ディアボレット　　　　　　　　　　　</t>
  </si>
  <si>
    <t>ウィズ　　　　　　　　　　　　　　　</t>
  </si>
  <si>
    <t>シグナライズ　　　　　　　　　　　　</t>
  </si>
  <si>
    <t>ミカエルシチー　　　　　　　　　　　</t>
  </si>
  <si>
    <t>サヤカチャン　　　　　　　　　　　　</t>
  </si>
  <si>
    <t>タマモメイトウ　　　　　　　　　　　</t>
  </si>
  <si>
    <t>メイショウイサナ　　　　　　　　　　</t>
  </si>
  <si>
    <t>コンパウンダー　　　　　　　　　　　</t>
  </si>
  <si>
    <t>TrainData_20190714_中京_10</t>
  </si>
  <si>
    <t>上詰表示</t>
    <rPh sb="0" eb="1">
      <t>ウワ</t>
    </rPh>
    <rPh sb="1" eb="2">
      <t>ツメ</t>
    </rPh>
    <rPh sb="2" eb="4">
      <t>ヒョウジ</t>
    </rPh>
    <phoneticPr fontId="1"/>
  </si>
  <si>
    <t>上下差</t>
    <rPh sb="0" eb="2">
      <t>ジョウゲ</t>
    </rPh>
    <rPh sb="2" eb="3">
      <t>サ</t>
    </rPh>
    <phoneticPr fontId="1"/>
  </si>
  <si>
    <t>ひも人気</t>
    <rPh sb="2" eb="4">
      <t>ニンキ</t>
    </rPh>
    <phoneticPr fontId="1"/>
  </si>
  <si>
    <t>人気軸</t>
    <rPh sb="0" eb="2">
      <t>ニンキ</t>
    </rPh>
    <rPh sb="2" eb="3">
      <t>ジク</t>
    </rPh>
    <phoneticPr fontId="1"/>
  </si>
  <si>
    <t>目1</t>
  </si>
  <si>
    <t>目2</t>
  </si>
  <si>
    <t>馬単オッズ</t>
  </si>
  <si>
    <t>人気1</t>
  </si>
  <si>
    <t>人気2</t>
  </si>
  <si>
    <t>馬単票数</t>
  </si>
  <si>
    <t>馬単裏</t>
  </si>
  <si>
    <t>馬単合成</t>
  </si>
  <si>
    <t>3連単1・2着軸総流し</t>
  </si>
  <si>
    <t>合成落差</t>
    <rPh sb="0" eb="2">
      <t>ゴウセイ</t>
    </rPh>
    <rPh sb="2" eb="4">
      <t>ラクサ</t>
    </rPh>
    <phoneticPr fontId="1"/>
  </si>
  <si>
    <t>１人気</t>
    <rPh sb="1" eb="3">
      <t>ニンキ</t>
    </rPh>
    <phoneticPr fontId="1"/>
  </si>
  <si>
    <t>２人気</t>
    <rPh sb="1" eb="3">
      <t>ニンキ</t>
    </rPh>
    <phoneticPr fontId="1"/>
  </si>
  <si>
    <t>３人気</t>
    <rPh sb="1" eb="3">
      <t>ニンキ</t>
    </rPh>
    <phoneticPr fontId="1"/>
  </si>
  <si>
    <t>４人気</t>
    <rPh sb="1" eb="3">
      <t>ニンキ</t>
    </rPh>
    <phoneticPr fontId="1"/>
  </si>
  <si>
    <t>５人気</t>
    <rPh sb="1" eb="3">
      <t>ニンキ</t>
    </rPh>
    <phoneticPr fontId="1"/>
  </si>
  <si>
    <t>６人気</t>
    <rPh sb="1" eb="3">
      <t>ニンキ</t>
    </rPh>
    <phoneticPr fontId="1"/>
  </si>
  <si>
    <t>７人気</t>
    <rPh sb="1" eb="3">
      <t>ニンキ</t>
    </rPh>
    <phoneticPr fontId="1"/>
  </si>
  <si>
    <t>８人気</t>
    <rPh sb="1" eb="3">
      <t>ニンキ</t>
    </rPh>
    <phoneticPr fontId="1"/>
  </si>
  <si>
    <t>９人気</t>
    <rPh sb="1" eb="3">
      <t>ニンキ</t>
    </rPh>
    <phoneticPr fontId="1"/>
  </si>
  <si>
    <t>１０人気</t>
    <rPh sb="2" eb="4">
      <t>ニンキ</t>
    </rPh>
    <phoneticPr fontId="1"/>
  </si>
  <si>
    <t>１１人気</t>
    <rPh sb="2" eb="4">
      <t>ニンキ</t>
    </rPh>
    <phoneticPr fontId="1"/>
  </si>
  <si>
    <t>１２人気</t>
    <rPh sb="2" eb="4">
      <t>ニンキ</t>
    </rPh>
    <phoneticPr fontId="1"/>
  </si>
  <si>
    <t>１３人気</t>
    <rPh sb="2" eb="4">
      <t>ニンキ</t>
    </rPh>
    <phoneticPr fontId="1"/>
  </si>
  <si>
    <t>中山</t>
  </si>
  <si>
    <t>１４人気</t>
    <rPh sb="2" eb="4">
      <t>ニンキ</t>
    </rPh>
    <phoneticPr fontId="1"/>
  </si>
  <si>
    <t>頭軸点数</t>
    <rPh sb="0" eb="2">
      <t>アタマジク</t>
    </rPh>
    <rPh sb="2" eb="4">
      <t>テンスウ</t>
    </rPh>
    <phoneticPr fontId="1"/>
  </si>
  <si>
    <t>紐軸点数</t>
    <rPh sb="0" eb="1">
      <t>ヒモ</t>
    </rPh>
    <rPh sb="1" eb="2">
      <t>ジク</t>
    </rPh>
    <rPh sb="2" eb="4">
      <t>テンスウ</t>
    </rPh>
    <phoneticPr fontId="1"/>
  </si>
  <si>
    <t>馬番</t>
    <rPh sb="0" eb="1">
      <t>バ</t>
    </rPh>
    <rPh sb="1" eb="2">
      <t>バン</t>
    </rPh>
    <phoneticPr fontId="1"/>
  </si>
  <si>
    <t>人気点数</t>
    <rPh sb="0" eb="2">
      <t>ニンキ</t>
    </rPh>
    <rPh sb="2" eb="4">
      <t>テンスウ</t>
    </rPh>
    <phoneticPr fontId="1"/>
  </si>
  <si>
    <t>人気点順位</t>
    <rPh sb="0" eb="2">
      <t>ニンキ</t>
    </rPh>
    <rPh sb="2" eb="3">
      <t>テン</t>
    </rPh>
    <rPh sb="3" eb="5">
      <t>ジュンイ</t>
    </rPh>
    <phoneticPr fontId="1"/>
  </si>
  <si>
    <t>中山</t>
    <phoneticPr fontId="1"/>
  </si>
  <si>
    <r>
      <t>JV-Link馬単オッズ取得ツール</t>
    </r>
    <r>
      <rPr>
        <b/>
        <sz val="16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ver2.8</t>
    </r>
    <phoneticPr fontId="1"/>
  </si>
  <si>
    <t>レオテソーロ　　　　　　　　　　　　</t>
    <phoneticPr fontId="1"/>
  </si>
  <si>
    <t>トランザクト　　　　　　　　　　　　</t>
  </si>
  <si>
    <t>ナイスデアイ　　　　　　　　　　　　</t>
  </si>
  <si>
    <t>サンラクロス　　　　　　　　　　　　</t>
  </si>
  <si>
    <t>セイウンスノー　　　　　　　　　　　</t>
  </si>
  <si>
    <t>キャヴァリー　　　　　　　　　　　　</t>
  </si>
  <si>
    <t>トーアテンジン　　　　　　　　　　　</t>
  </si>
  <si>
    <t>ハコダテブショウ　　　　　　　　　　</t>
  </si>
  <si>
    <t>サクセスビリーブ　　　　　　　　　　</t>
  </si>
  <si>
    <t>キタノレスリーズ　　　　　　　　　　</t>
  </si>
  <si>
    <t>ワイワイライリー　　　　　　　　　　</t>
  </si>
  <si>
    <t>フェーバーラッシュ　　　　　　　　　</t>
  </si>
  <si>
    <t>ステディシュシュ　　　　　　　　　　</t>
  </si>
  <si>
    <t>カツノサンキュウ　　　　　　　　　　</t>
  </si>
  <si>
    <t>ワールドクルーズ　　　　　　　　　　</t>
  </si>
  <si>
    <t>サイウン　　　　　　　　　　　　　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</si>
</sst>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[Red]\(0\)"/>
    <numFmt numFmtId="177" formatCode="[$€-2]\ #,##0.00;[Red]\-[$€-2]\ #,##0.00"/>
    <numFmt numFmtId="178" formatCode="0.0"/>
  </numFmts>
  <fonts count="1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u/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sz val="9"/>
      <color rgb="FF000000"/>
      <name val="MS UI Gothic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1">
    <border>
      <left/>
      <right/>
      <top/>
      <bottom/>
      <diagonal/>
    </border>
  </borders>
  <cellStyleXfs count="12">
    <xf numFmtId="0" fontId="0" fillId="0" borderId="0">
      <alignment vertical="center"/>
    </xf>
    <xf numFmtId="177" fontId="6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0" fontId="6" fillId="0" borderId="0">
      <alignment vertical="center"/>
    </xf>
    <xf numFmtId="9" fontId="6" fillId="0" borderId="0" applyFont="0" applyFill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2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0" xfId="0" quotePrefix="1" applyFont="1">
      <alignment vertical="center"/>
    </xf>
    <xf numFmtId="0" fontId="2" fillId="0" borderId="0" xfId="0" applyFont="1" applyAlignment="1">
      <alignment horizontal="center" vertical="center"/>
    </xf>
    <xf numFmtId="0" fontId="7" fillId="6" borderId="0" xfId="9" applyAlignment="1">
      <alignment horizontal="center" vertical="center"/>
    </xf>
    <xf numFmtId="0" fontId="0" fillId="3" borderId="0" xfId="6" applyFont="1" applyAlignment="1">
      <alignment horizontal="center" vertical="center"/>
    </xf>
    <xf numFmtId="0" fontId="9" fillId="3" borderId="0" xfId="6" applyFont="1" applyAlignment="1">
      <alignment horizontal="center" vertical="center"/>
    </xf>
    <xf numFmtId="0" fontId="0" fillId="6" borderId="0" xfId="9" applyFont="1" applyAlignment="1">
      <alignment horizontal="center" vertical="center"/>
    </xf>
    <xf numFmtId="0" fontId="7" fillId="4" borderId="0" xfId="7" applyAlignment="1">
      <alignment horizontal="center" vertical="center"/>
    </xf>
    <xf numFmtId="0" fontId="0" fillId="4" borderId="0" xfId="7" applyFont="1" applyAlignment="1">
      <alignment horizontal="center" vertical="center"/>
    </xf>
    <xf numFmtId="0" fontId="9" fillId="4" borderId="0" xfId="7" applyFont="1" applyAlignment="1">
      <alignment horizontal="center" vertical="center"/>
    </xf>
    <xf numFmtId="0" fontId="7" fillId="5" borderId="0" xfId="8">
      <alignment vertical="center"/>
    </xf>
    <xf numFmtId="0" fontId="7" fillId="5" borderId="0" xfId="8" applyAlignment="1">
      <alignment horizontal="center" vertical="center"/>
    </xf>
    <xf numFmtId="0" fontId="0" fillId="5" borderId="0" xfId="8" applyFont="1" applyAlignment="1">
      <alignment horizontal="center" vertical="center"/>
    </xf>
    <xf numFmtId="0" fontId="0" fillId="5" borderId="0" xfId="8" applyFont="1">
      <alignment vertical="center"/>
    </xf>
    <xf numFmtId="0" fontId="9" fillId="5" borderId="0" xfId="8" applyFont="1">
      <alignment vertical="center"/>
    </xf>
    <xf numFmtId="0" fontId="9" fillId="5" borderId="0" xfId="8" applyFont="1" applyAlignment="1">
      <alignment horizontal="center" vertical="center"/>
    </xf>
    <xf numFmtId="0" fontId="6" fillId="3" borderId="0" xfId="6" applyFont="1" applyAlignment="1">
      <alignment horizontal="center" vertical="center"/>
    </xf>
    <xf numFmtId="0" fontId="7" fillId="8" borderId="0" xfId="11" applyAlignment="1">
      <alignment horizontal="center" vertical="center"/>
    </xf>
    <xf numFmtId="0" fontId="0" fillId="8" borderId="0" xfId="11" applyFont="1" applyAlignment="1">
      <alignment horizontal="center" vertical="center"/>
    </xf>
    <xf numFmtId="0" fontId="0" fillId="7" borderId="0" xfId="10" applyFont="1" applyAlignment="1">
      <alignment horizontal="center" vertical="center"/>
    </xf>
    <xf numFmtId="0" fontId="7" fillId="7" borderId="0" xfId="10" applyAlignment="1">
      <alignment horizontal="center" vertical="center"/>
    </xf>
    <xf numFmtId="0" fontId="6" fillId="5" borderId="0" xfId="8" applyFont="1" applyAlignment="1">
      <alignment horizontal="center" vertical="center"/>
    </xf>
    <xf numFmtId="0" fontId="6" fillId="6" borderId="0" xfId="9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7" fillId="5" borderId="0" xfId="8" applyNumberFormat="1" applyAlignment="1">
      <alignment horizontal="center" vertical="center"/>
    </xf>
    <xf numFmtId="0" fontId="8" fillId="2" borderId="0" xfId="5">
      <alignment vertical="center"/>
    </xf>
    <xf numFmtId="0" fontId="7" fillId="3" borderId="0" xfId="6">
      <alignment vertical="center"/>
    </xf>
    <xf numFmtId="0" fontId="7" fillId="6" borderId="0" xfId="9">
      <alignment vertical="center"/>
    </xf>
    <xf numFmtId="178" fontId="2" fillId="0" borderId="0" xfId="0" applyNumberFormat="1" applyFont="1">
      <alignment vertical="center"/>
    </xf>
    <xf numFmtId="14" fontId="2" fillId="0" borderId="0" xfId="0" applyNumberFormat="1" applyFont="1">
      <alignment vertical="center"/>
    </xf>
    <xf numFmtId="0" fontId="7" fillId="3" borderId="0" xfId="6" applyAlignment="1">
      <alignment horizontal="center" vertical="center"/>
    </xf>
  </cellXfs>
  <cellStyles count="12">
    <cellStyle name="20% - アクセント 1" xfId="6" builtinId="30"/>
    <cellStyle name="20% - アクセント 5" xfId="8" builtinId="46"/>
    <cellStyle name="20% - アクセント 6" xfId="10" builtinId="50"/>
    <cellStyle name="40% - アクセント 1" xfId="7" builtinId="31"/>
    <cellStyle name="40% - アクセント 5" xfId="9" builtinId="47"/>
    <cellStyle name="40% - アクセント 6" xfId="11" builtinId="51"/>
    <cellStyle name="パーセント 2" xfId="4"/>
    <cellStyle name="桁区切り 2" xfId="2"/>
    <cellStyle name="標準" xfId="0" builtinId="0"/>
    <cellStyle name="標準 2" xfId="3"/>
    <cellStyle name="標準 4" xfId="1"/>
    <cellStyle name="良い" xfId="5" builtinId="26"/>
  </cellStyles>
  <dxfs count="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9</xdr:row>
          <xdr:rowOff>19050</xdr:rowOff>
        </xdr:from>
        <xdr:to>
          <xdr:col>2</xdr:col>
          <xdr:colOff>828675</xdr:colOff>
          <xdr:row>10</xdr:row>
          <xdr:rowOff>142875</xdr:rowOff>
        </xdr:to>
        <xdr:sp macro="" textlink="">
          <xdr:nvSpPr>
            <xdr:cNvPr id="1050" name="CommandButton1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xmlns="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7</xdr:row>
          <xdr:rowOff>142875</xdr:rowOff>
        </xdr:from>
        <xdr:to>
          <xdr:col>4</xdr:col>
          <xdr:colOff>9525</xdr:colOff>
          <xdr:row>8</xdr:row>
          <xdr:rowOff>142875</xdr:rowOff>
        </xdr:to>
        <xdr:sp macro="" textlink="">
          <xdr:nvSpPr>
            <xdr:cNvPr id="1051" name="Label1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xmlns="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12</xdr:col>
          <xdr:colOff>47625</xdr:colOff>
          <xdr:row>14</xdr:row>
          <xdr:rowOff>76200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xmlns="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馬単オッズ取得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4</xdr:row>
          <xdr:rowOff>114300</xdr:rowOff>
        </xdr:from>
        <xdr:to>
          <xdr:col>11</xdr:col>
          <xdr:colOff>561975</xdr:colOff>
          <xdr:row>5</xdr:row>
          <xdr:rowOff>171450</xdr:rowOff>
        </xdr:to>
        <xdr:sp macro="" textlink="">
          <xdr:nvSpPr>
            <xdr:cNvPr id="1053" name="TextBox1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xmlns="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3</xdr:row>
          <xdr:rowOff>66675</xdr:rowOff>
        </xdr:from>
        <xdr:to>
          <xdr:col>6</xdr:col>
          <xdr:colOff>238125</xdr:colOff>
          <xdr:row>4</xdr:row>
          <xdr:rowOff>66675</xdr:rowOff>
        </xdr:to>
        <xdr:sp macro="" textlink="">
          <xdr:nvSpPr>
            <xdr:cNvPr id="1054" name="Label2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xmlns="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266700</xdr:colOff>
          <xdr:row>4</xdr:row>
          <xdr:rowOff>114300</xdr:rowOff>
        </xdr:from>
        <xdr:to>
          <xdr:col>2</xdr:col>
          <xdr:colOff>247650</xdr:colOff>
          <xdr:row>5</xdr:row>
          <xdr:rowOff>171450</xdr:rowOff>
        </xdr:to>
        <xdr:sp macro="" textlink="">
          <xdr:nvSpPr>
            <xdr:cNvPr id="1055" name="CommandButton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xmlns="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</xdr:col>
      <xdr:colOff>152400</xdr:colOff>
      <xdr:row>7</xdr:row>
      <xdr:rowOff>161925</xdr:rowOff>
    </xdr:from>
    <xdr:to>
      <xdr:col>10</xdr:col>
      <xdr:colOff>228599</xdr:colOff>
      <xdr:row>12</xdr:row>
      <xdr:rowOff>161928</xdr:rowOff>
    </xdr:to>
    <xdr:sp macro="" textlink="">
      <xdr:nvSpPr>
        <xdr:cNvPr id="11" name="テキスト ボックス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/>
      </xdr:nvSpPr>
      <xdr:spPr>
        <a:xfrm>
          <a:off x="3267075" y="1628775"/>
          <a:ext cx="4190999" cy="10001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「開始ボタン」を押すと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JV-Link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から馬単オッズを取得し、合成オッズなどの計算後、下記のファイル名で出力します。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「馬単オッズ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_[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日付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]_[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会場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][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レース番号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※].csv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」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  <a:p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　</a:t>
          </a:r>
          <a:r>
            <a:rPr kumimoji="1" lang="en-US" altLang="ja-JP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※</a:t>
          </a:r>
          <a:r>
            <a:rPr kumimoji="1" lang="ja-JP" altLang="en-US" sz="1050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rPr>
            <a:t>レース番号は２桁大文字となります。 </a:t>
          </a:r>
          <a:endParaRPr kumimoji="1" lang="en-US" altLang="ja-JP" sz="1050">
            <a:latin typeface="Meiryo UI" panose="020B0604030504040204" pitchFamily="50" charset="-128"/>
            <a:ea typeface="Meiryo UI" panose="020B0604030504040204" pitchFamily="50" charset="-128"/>
            <a:cs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"/>
  <sheetViews>
    <sheetView showGridLines="0" tabSelected="1" zoomScaleNormal="100" workbookViewId="0"/>
  </sheetViews>
  <sheetFormatPr defaultRowHeight="15.75"/>
  <cols>
    <col min="1" max="2" width="9" style="1"/>
    <col min="3" max="3" width="11.375" style="1" customWidth="1"/>
    <col min="4" max="4" width="11.5" style="1" bestFit="1" customWidth="1"/>
    <col min="5" max="16384" width="9" style="1"/>
  </cols>
  <sheetData>
    <row r="1" spans="1:3" ht="21">
      <c r="A1" s="2" t="s">
        <v>136</v>
      </c>
    </row>
    <row r="2" spans="1:3">
      <c r="A2" s="1" t="s">
        <v>89</v>
      </c>
      <c r="B2" s="3"/>
    </row>
    <row r="7" spans="1:3">
      <c r="C7" s="31"/>
    </row>
    <row r="9" spans="1:3">
      <c r="B9" s="3"/>
    </row>
  </sheetData>
  <sheetProtection sheet="1" selectLockedCells="1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5" r:id="rId4" name="CommandButton2">
          <controlPr defaultSize="0" autoLine="0" r:id="rId5">
            <anchor moveWithCells="1">
              <from>
                <xdr:col>1</xdr:col>
                <xdr:colOff>266700</xdr:colOff>
                <xdr:row>4</xdr:row>
                <xdr:rowOff>114300</xdr:rowOff>
              </from>
              <to>
                <xdr:col>2</xdr:col>
                <xdr:colOff>247650</xdr:colOff>
                <xdr:row>5</xdr:row>
                <xdr:rowOff>171450</xdr:rowOff>
              </to>
            </anchor>
          </controlPr>
        </control>
      </mc:Choice>
      <mc:Fallback>
        <control shapeId="1055" r:id="rId4" name="CommandButton2"/>
      </mc:Fallback>
    </mc:AlternateContent>
    <mc:AlternateContent xmlns:mc="http://schemas.openxmlformats.org/markup-compatibility/2006">
      <mc:Choice Requires="x14">
        <control shapeId="1054" r:id="rId6" name="Label2">
          <controlPr defaultSize="0" autoLine="0" r:id="rId7">
            <anchor moveWithCells="1">
              <from>
                <xdr:col>1</xdr:col>
                <xdr:colOff>247650</xdr:colOff>
                <xdr:row>3</xdr:row>
                <xdr:rowOff>66675</xdr:rowOff>
              </from>
              <to>
                <xdr:col>6</xdr:col>
                <xdr:colOff>238125</xdr:colOff>
                <xdr:row>4</xdr:row>
                <xdr:rowOff>66675</xdr:rowOff>
              </to>
            </anchor>
          </controlPr>
        </control>
      </mc:Choice>
      <mc:Fallback>
        <control shapeId="1054" r:id="rId6" name="Label2"/>
      </mc:Fallback>
    </mc:AlternateContent>
    <mc:AlternateContent xmlns:mc="http://schemas.openxmlformats.org/markup-compatibility/2006">
      <mc:Choice Requires="x14">
        <control shapeId="1053" r:id="rId8" name="TextBox1">
          <controlPr defaultSize="0" autoLine="0" r:id="rId9">
            <anchor moveWithCells="1">
              <from>
                <xdr:col>2</xdr:col>
                <xdr:colOff>247650</xdr:colOff>
                <xdr:row>4</xdr:row>
                <xdr:rowOff>114300</xdr:rowOff>
              </from>
              <to>
                <xdr:col>11</xdr:col>
                <xdr:colOff>561975</xdr:colOff>
                <xdr:row>5</xdr:row>
                <xdr:rowOff>171450</xdr:rowOff>
              </to>
            </anchor>
          </controlPr>
        </control>
      </mc:Choice>
      <mc:Fallback>
        <control shapeId="1053" r:id="rId8" name="TextBox1"/>
      </mc:Fallback>
    </mc:AlternateContent>
    <mc:AlternateContent xmlns:mc="http://schemas.openxmlformats.org/markup-compatibility/2006">
      <mc:Choice Requires="x14">
        <control shapeId="1051" r:id="rId10" name="Label1">
          <controlPr defaultSize="0" autoLine="0" r:id="rId11">
            <anchor moveWithCells="1">
              <from>
                <xdr:col>1</xdr:col>
                <xdr:colOff>247650</xdr:colOff>
                <xdr:row>7</xdr:row>
                <xdr:rowOff>142875</xdr:rowOff>
              </from>
              <to>
                <xdr:col>4</xdr:col>
                <xdr:colOff>9525</xdr:colOff>
                <xdr:row>8</xdr:row>
                <xdr:rowOff>142875</xdr:rowOff>
              </to>
            </anchor>
          </controlPr>
        </control>
      </mc:Choice>
      <mc:Fallback>
        <control shapeId="1051" r:id="rId10" name="Label1"/>
      </mc:Fallback>
    </mc:AlternateContent>
    <mc:AlternateContent xmlns:mc="http://schemas.openxmlformats.org/markup-compatibility/2006">
      <mc:Choice Requires="x14">
        <control shapeId="1050" r:id="rId12" name="CommandButton1">
          <controlPr defaultSize="0" autoLine="0" r:id="rId13">
            <anchor moveWithCells="1">
              <from>
                <xdr:col>2</xdr:col>
                <xdr:colOff>76200</xdr:colOff>
                <xdr:row>9</xdr:row>
                <xdr:rowOff>19050</xdr:rowOff>
              </from>
              <to>
                <xdr:col>2</xdr:col>
                <xdr:colOff>828675</xdr:colOff>
                <xdr:row>10</xdr:row>
                <xdr:rowOff>142875</xdr:rowOff>
              </to>
            </anchor>
          </controlPr>
        </control>
      </mc:Choice>
      <mc:Fallback>
        <control shapeId="1050" r:id="rId12" name="CommandButton1"/>
      </mc:Fallback>
    </mc:AlternateContent>
    <mc:AlternateContent xmlns:mc="http://schemas.openxmlformats.org/markup-compatibility/2006">
      <mc:Choice Requires="x14">
        <control shapeId="1052" r:id="rId14" name="Group Box 28">
          <controlPr defaultSize="0" autoFill="0" autoPict="0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12</xdr:col>
                <xdr:colOff>47625</xdr:colOff>
                <xdr:row>14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D244"/>
  <sheetViews>
    <sheetView workbookViewId="0"/>
  </sheetViews>
  <sheetFormatPr defaultRowHeight="18.75"/>
  <cols>
    <col min="13" max="13" width="9.75" customWidth="1"/>
  </cols>
  <sheetData>
    <row r="2" spans="1:129">
      <c r="BM2" t="s">
        <v>101</v>
      </c>
      <c r="BY2" t="s">
        <v>102</v>
      </c>
      <c r="CK2" t="s">
        <v>102</v>
      </c>
    </row>
    <row r="3" spans="1:129"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R3" s="25" t="s">
        <v>104</v>
      </c>
      <c r="AS3" s="25" t="s">
        <v>103</v>
      </c>
      <c r="AT3" s="25" t="s">
        <v>104</v>
      </c>
      <c r="AU3" s="25" t="s">
        <v>103</v>
      </c>
      <c r="AV3" s="25" t="s">
        <v>104</v>
      </c>
      <c r="AW3" s="25" t="s">
        <v>103</v>
      </c>
      <c r="AX3" s="25" t="s">
        <v>104</v>
      </c>
      <c r="AY3" s="25" t="s">
        <v>103</v>
      </c>
      <c r="AZ3" s="25" t="s">
        <v>104</v>
      </c>
      <c r="BA3" s="25" t="s">
        <v>103</v>
      </c>
      <c r="BB3" s="25" t="s">
        <v>104</v>
      </c>
      <c r="BC3" s="25" t="s">
        <v>103</v>
      </c>
      <c r="BD3" s="25" t="s">
        <v>104</v>
      </c>
      <c r="BE3" s="25" t="s">
        <v>103</v>
      </c>
      <c r="BF3" s="25" t="s">
        <v>104</v>
      </c>
      <c r="BG3" s="25" t="s">
        <v>103</v>
      </c>
      <c r="BH3" s="25" t="s">
        <v>104</v>
      </c>
      <c r="BI3" s="25" t="s">
        <v>103</v>
      </c>
      <c r="BJ3" s="25" t="s">
        <v>104</v>
      </c>
      <c r="BK3" s="25" t="s">
        <v>103</v>
      </c>
      <c r="BM3" s="25" t="s">
        <v>104</v>
      </c>
      <c r="BN3" s="25" t="s">
        <v>103</v>
      </c>
      <c r="BO3" s="25" t="s">
        <v>104</v>
      </c>
      <c r="BP3" s="25" t="s">
        <v>103</v>
      </c>
      <c r="BQ3" s="25" t="s">
        <v>104</v>
      </c>
      <c r="BR3" s="25" t="s">
        <v>103</v>
      </c>
      <c r="BS3" s="25" t="s">
        <v>104</v>
      </c>
      <c r="BT3" s="25" t="s">
        <v>103</v>
      </c>
      <c r="BU3" s="25" t="s">
        <v>104</v>
      </c>
      <c r="BV3" s="25" t="s">
        <v>103</v>
      </c>
      <c r="BY3" s="25" t="s">
        <v>104</v>
      </c>
      <c r="BZ3" s="25" t="s">
        <v>103</v>
      </c>
      <c r="CA3" s="25" t="s">
        <v>104</v>
      </c>
      <c r="CB3" s="25" t="s">
        <v>103</v>
      </c>
      <c r="CC3" s="25" t="s">
        <v>104</v>
      </c>
      <c r="CD3" s="25" t="s">
        <v>103</v>
      </c>
      <c r="CE3" s="25" t="s">
        <v>104</v>
      </c>
      <c r="CF3" s="25" t="s">
        <v>103</v>
      </c>
      <c r="CG3" s="25" t="s">
        <v>104</v>
      </c>
      <c r="CH3" s="25" t="s">
        <v>103</v>
      </c>
      <c r="CK3" s="25" t="s">
        <v>104</v>
      </c>
      <c r="CL3" s="25" t="s">
        <v>103</v>
      </c>
      <c r="CM3" s="25" t="s">
        <v>104</v>
      </c>
      <c r="CN3" s="25" t="s">
        <v>103</v>
      </c>
      <c r="CO3" s="25" t="s">
        <v>104</v>
      </c>
      <c r="CP3" s="25" t="s">
        <v>103</v>
      </c>
      <c r="CQ3" s="25" t="s">
        <v>104</v>
      </c>
      <c r="CR3" s="25" t="s">
        <v>103</v>
      </c>
      <c r="CS3" s="25" t="s">
        <v>104</v>
      </c>
      <c r="CT3" s="25" t="s">
        <v>103</v>
      </c>
    </row>
    <row r="4" spans="1:129">
      <c r="A4" t="s">
        <v>105</v>
      </c>
      <c r="B4" t="s">
        <v>106</v>
      </c>
      <c r="C4" t="s">
        <v>107</v>
      </c>
      <c r="D4" t="s">
        <v>108</v>
      </c>
      <c r="E4" t="s">
        <v>109</v>
      </c>
      <c r="F4" t="s">
        <v>110</v>
      </c>
      <c r="G4" t="s">
        <v>111</v>
      </c>
      <c r="H4" t="s">
        <v>112</v>
      </c>
      <c r="I4" t="s">
        <v>113</v>
      </c>
      <c r="J4" t="s">
        <v>114</v>
      </c>
      <c r="L4" s="25"/>
      <c r="AA4" s="25"/>
      <c r="AB4" s="25"/>
      <c r="AC4" s="25"/>
      <c r="AD4" s="25"/>
      <c r="AE4" s="25"/>
      <c r="AF4" s="25"/>
      <c r="AG4" s="25"/>
      <c r="AH4" s="25"/>
      <c r="AI4" s="25"/>
      <c r="AJ4" s="32" t="s">
        <v>132</v>
      </c>
      <c r="AK4" s="32" t="s">
        <v>133</v>
      </c>
      <c r="AL4" s="32" t="s">
        <v>134</v>
      </c>
      <c r="AM4" s="25"/>
      <c r="AN4" s="25"/>
      <c r="AO4" s="25"/>
      <c r="AP4" s="25"/>
      <c r="AR4" s="25">
        <v>1</v>
      </c>
      <c r="AT4" s="25">
        <v>2</v>
      </c>
      <c r="AV4" s="25">
        <v>3</v>
      </c>
      <c r="AX4" s="25">
        <v>4</v>
      </c>
      <c r="AZ4" s="25">
        <v>5</v>
      </c>
      <c r="BB4" s="25">
        <v>6</v>
      </c>
      <c r="BD4" s="25">
        <v>7</v>
      </c>
      <c r="BF4" s="25">
        <v>8</v>
      </c>
      <c r="BH4" s="25">
        <v>9</v>
      </c>
      <c r="BJ4" s="25">
        <v>10</v>
      </c>
      <c r="BM4" s="25">
        <v>1</v>
      </c>
      <c r="BO4" s="25">
        <v>2</v>
      </c>
      <c r="BQ4" s="25">
        <v>3</v>
      </c>
      <c r="BS4" s="25">
        <v>4</v>
      </c>
      <c r="BU4" s="25">
        <v>5</v>
      </c>
      <c r="BY4" s="25">
        <v>1</v>
      </c>
      <c r="CA4" s="25">
        <v>2</v>
      </c>
      <c r="CC4" s="25">
        <v>3</v>
      </c>
      <c r="CE4" s="25">
        <v>4</v>
      </c>
      <c r="CG4" s="25">
        <v>5</v>
      </c>
      <c r="CK4" s="25">
        <v>1</v>
      </c>
      <c r="CM4" s="25">
        <v>2</v>
      </c>
      <c r="CO4" s="25">
        <v>3</v>
      </c>
      <c r="CQ4" s="25">
        <v>4</v>
      </c>
      <c r="CS4" s="25">
        <v>5</v>
      </c>
      <c r="CW4" t="s">
        <v>115</v>
      </c>
      <c r="CX4" t="s">
        <v>116</v>
      </c>
      <c r="CY4" t="s">
        <v>117</v>
      </c>
      <c r="CZ4" t="s">
        <v>118</v>
      </c>
      <c r="DA4" t="s">
        <v>119</v>
      </c>
      <c r="DB4" t="s">
        <v>120</v>
      </c>
      <c r="DC4" t="s">
        <v>121</v>
      </c>
      <c r="DD4" t="s">
        <v>122</v>
      </c>
      <c r="DE4" t="s">
        <v>123</v>
      </c>
      <c r="DF4" s="25" t="s">
        <v>124</v>
      </c>
      <c r="DG4" s="25" t="s">
        <v>125</v>
      </c>
      <c r="DH4" s="25" t="s">
        <v>126</v>
      </c>
      <c r="DI4" s="25" t="s">
        <v>127</v>
      </c>
      <c r="DJ4" s="25" t="s">
        <v>129</v>
      </c>
      <c r="DL4" t="s">
        <v>115</v>
      </c>
      <c r="DM4" t="s">
        <v>116</v>
      </c>
      <c r="DN4" t="s">
        <v>117</v>
      </c>
      <c r="DO4" t="s">
        <v>118</v>
      </c>
      <c r="DP4" t="s">
        <v>119</v>
      </c>
      <c r="DQ4" t="s">
        <v>120</v>
      </c>
      <c r="DR4" t="s">
        <v>121</v>
      </c>
      <c r="DS4" t="s">
        <v>122</v>
      </c>
      <c r="DT4" t="s">
        <v>123</v>
      </c>
      <c r="DU4" s="25" t="s">
        <v>124</v>
      </c>
      <c r="DV4" s="25" t="s">
        <v>125</v>
      </c>
      <c r="DW4" s="25" t="s">
        <v>126</v>
      </c>
      <c r="DX4" s="25" t="s">
        <v>127</v>
      </c>
      <c r="DY4" s="25" t="s">
        <v>129</v>
      </c>
    </row>
    <row r="5" spans="1:129">
      <c r="A5">
        <v>8</v>
      </c>
      <c r="B5">
        <v>14</v>
      </c>
      <c r="C5">
        <v>12.5</v>
      </c>
      <c r="D5">
        <v>1</v>
      </c>
      <c r="E5">
        <v>2</v>
      </c>
      <c r="F5">
        <v>16444</v>
      </c>
      <c r="G5">
        <v>17.5</v>
      </c>
      <c r="H5">
        <v>7.3</v>
      </c>
      <c r="I5">
        <v>11.7</v>
      </c>
      <c r="L5">
        <f>IFERROR(C5/H5,"")</f>
        <v>1.7123287671232876</v>
      </c>
      <c r="M5">
        <f>IFERROR(C5-H5,"")</f>
        <v>5.2</v>
      </c>
      <c r="O5">
        <f t="shared" ref="O5:O30" si="0">IF(D5&lt;E5,C5,"")</f>
        <v>12.5</v>
      </c>
      <c r="P5">
        <f>IF(D5&lt;E5,C5/H5,"")</f>
        <v>1.7123287671232876</v>
      </c>
      <c r="V5" t="str">
        <f t="shared" ref="V5:V30" si="1">IF(D5&gt;E5,C5,"")</f>
        <v/>
      </c>
      <c r="W5" t="str">
        <f t="shared" ref="W5:W30" si="2">IF(D5&gt;E5,C5/H5,"")</f>
        <v/>
      </c>
      <c r="AJ5">
        <v>1</v>
      </c>
      <c r="AK5" t="e">
        <f>#REF!</f>
        <v>#REF!</v>
      </c>
      <c r="AL5" s="25" t="str">
        <f>IFERROR(RANK(AK5,AK5:AK22,0),"")</f>
        <v/>
      </c>
      <c r="AR5">
        <f>IF($D5=AR$4,$H5,"")</f>
        <v>7.3</v>
      </c>
      <c r="AS5" s="25">
        <f>IFERROR(IF(AR5="","",$E5),"")</f>
        <v>2</v>
      </c>
      <c r="AT5" t="str">
        <f>IF($D5=AT$4,$H5,"")</f>
        <v/>
      </c>
      <c r="AU5" s="25" t="str">
        <f>IFERROR(IF(AT5="","",$E5),"")</f>
        <v/>
      </c>
      <c r="AV5" t="str">
        <f>IF($D5=AV$4,$H5,"")</f>
        <v/>
      </c>
      <c r="AW5" s="25" t="str">
        <f>IFERROR(IF(AV5="","",$E5),"")</f>
        <v/>
      </c>
      <c r="AX5" t="str">
        <f>IF($D5=AX$4,$H5,"")</f>
        <v/>
      </c>
      <c r="AY5" s="25" t="str">
        <f t="shared" ref="AY5:AY68" si="3">IFERROR(IF(AX5="","",$E5),"")</f>
        <v/>
      </c>
      <c r="AZ5" t="str">
        <f>IF($D5=AZ$4,$H5,"")</f>
        <v/>
      </c>
      <c r="BA5" s="25" t="str">
        <f t="shared" ref="BA5:BA68" si="4">IFERROR(IF(AZ5="","",$E5),"")</f>
        <v/>
      </c>
      <c r="BB5" t="str">
        <f>IF($D5=BB$4,$H5,"")</f>
        <v/>
      </c>
      <c r="BC5" s="25" t="str">
        <f>IFERROR(IF(BB5="","",$E5),"")</f>
        <v/>
      </c>
      <c r="BD5" t="str">
        <f>IF($D5=BD$4,$H5,"")</f>
        <v/>
      </c>
      <c r="BE5" s="25" t="str">
        <f t="shared" ref="BE5:BE68" si="5">IFERROR(IF(BD5="","",$E5),"")</f>
        <v/>
      </c>
      <c r="BF5" t="str">
        <f>IF($D5=BF$4,$H5,"")</f>
        <v/>
      </c>
      <c r="BG5" s="25" t="str">
        <f t="shared" ref="BG5:BG68" si="6">IFERROR(IF(BF5="","",$E5),"")</f>
        <v/>
      </c>
      <c r="BH5" t="str">
        <f>IF($D5=BH$4,$H5,"")</f>
        <v/>
      </c>
      <c r="BI5" s="25" t="str">
        <f t="shared" ref="BI5:BI68" si="7">IFERROR(IF(BH5="","",$E5),"")</f>
        <v/>
      </c>
      <c r="BJ5" t="str">
        <f>IF($D5=BJ$4,$H5,"")</f>
        <v/>
      </c>
      <c r="BK5" s="25" t="str">
        <f t="shared" ref="BK5:BK68" si="8">IFERROR(IF(BJ5="","",$E5),"")</f>
        <v/>
      </c>
      <c r="BM5">
        <f t="array" ref="BM5">IFERROR(VALUE(INDEX(AR:AR,SMALL(IF($AR$5:$AR$150&lt;&gt;"",ROW($AR$5:$AR$150),9999),ROW(A1)))&amp;""),"")</f>
        <v>7.3</v>
      </c>
      <c r="BN5">
        <f t="array" ref="BN5">IFERROR(VALUE(INDEX(AS:AS,SMALL(IF($AS$5:$AS$150&lt;&gt;"",ROW($AS$5:$AS$150),9999),ROW(A1)))&amp;""),"")</f>
        <v>2</v>
      </c>
      <c r="BO5">
        <f t="array" ref="BO5">IFERROR(VALUE(INDEX(AT:AT,SMALL(IF($AT$5:$AT$150&lt;&gt;"",ROW($AT$5:$AT$150),9999),ROW(A1)))&amp;""),"")</f>
        <v>12.5</v>
      </c>
      <c r="BP5">
        <f t="array" ref="BP5">IFERROR(VALUE(INDEX(AU:AU,SMALL(IF($AU$5:$AU$150&lt;&gt;"",ROW($AU$5:$AU$150),9999),ROW(A1)))&amp;""),"")</f>
        <v>1</v>
      </c>
      <c r="BQ5">
        <f t="array" ref="BQ5">IFERROR(VALUE(INDEX(AV:AV,SMALL(IF($AV$5:$AV$150&lt;&gt;"",ROW($AV$5:$AV$150),9999),ROW(A1)))&amp;""),"")</f>
        <v>20.399999999999999</v>
      </c>
      <c r="BR5">
        <f t="array" ref="BR5">IFERROR(VALUE(INDEX(AW:AW,SMALL(IF($AW$5:$AW$150&lt;&gt;"",ROW($AW$5:$AW$150),9999),ROW(A1)))&amp;""),"")</f>
        <v>2</v>
      </c>
      <c r="BS5">
        <f t="array" ref="BS5">IFERROR(VALUE(INDEX(AX:AX,SMALL(IF($AX$5:$AX$150&lt;&gt;"",ROW($AX$5:$AX$150),9999),ROW(A1)))&amp;""),"")</f>
        <v>20.8</v>
      </c>
      <c r="BT5">
        <f t="array" ref="BT5">IFERROR(VALUE(INDEX(AY:AY,SMALL(IF($AY$5:$AY$150&lt;&gt;"",ROW($AY$5:$AY$150),9999),ROW(A1)))&amp;""),"")</f>
        <v>2</v>
      </c>
      <c r="BU5">
        <f t="array" ref="BU5">IFERROR(VALUE(INDEX(AZ:AZ,SMALL(IF($AZ$5:$AZ$150&lt;&gt;"",ROW($AZ$5:$AZ$150),9999),ROW(A1)))&amp;""),"")</f>
        <v>16</v>
      </c>
      <c r="BV5">
        <f t="array" ref="BV5">IFERROR(VALUE(INDEX(BA:BA,SMALL(IF($BA$5:$BA$150&lt;&gt;"",ROW($BA$5:$BA$150),9999),ROW(A1)))&amp;""),"")</f>
        <v>1</v>
      </c>
      <c r="BX5">
        <f>IFERROR(ROUNDUP(BM5-BM6,2),"")</f>
        <v>-12.9</v>
      </c>
      <c r="BY5">
        <f>IFERROR(ROUNDUP(BM6/BM5,2),"")</f>
        <v>2.7699999999999996</v>
      </c>
      <c r="BZ5">
        <f>BN5</f>
        <v>2</v>
      </c>
      <c r="CA5">
        <f>IFERROR(ROUNDUP(BO6/BO5,2),"")</f>
        <v>1.59</v>
      </c>
      <c r="CB5">
        <f>BP5</f>
        <v>1</v>
      </c>
      <c r="CC5">
        <f>IFERROR(ROUNDUP(BQ6/BQ5,2),"")</f>
        <v>0.65</v>
      </c>
      <c r="CD5">
        <f>BR5</f>
        <v>2</v>
      </c>
      <c r="CE5">
        <f>IFERROR(ROUNDUP(BS6/BS5,2),"")</f>
        <v>0.81</v>
      </c>
      <c r="CF5">
        <f>BT5</f>
        <v>2</v>
      </c>
      <c r="CG5">
        <f>IFERROR(ROUNDUP(BU6/BU5,2),"")</f>
        <v>2.23</v>
      </c>
      <c r="CH5">
        <f>BV5</f>
        <v>1</v>
      </c>
      <c r="CW5">
        <f t="shared" ref="CW5:CW32" si="9">IF($D5=1,$Q5,"")</f>
        <v>0</v>
      </c>
      <c r="CX5" t="str">
        <f t="shared" ref="CX5:CX32" si="10">IF($D5=2,$Q5,"")</f>
        <v/>
      </c>
      <c r="CY5" t="str">
        <f t="shared" ref="CY5:CY32" si="11">IF($D5=3,$Q5,"")</f>
        <v/>
      </c>
      <c r="CZ5" t="str">
        <f t="shared" ref="CZ5:CZ32" si="12">IF($D5=4,$Q5,"")</f>
        <v/>
      </c>
      <c r="DA5" t="str">
        <f t="shared" ref="DA5:DA32" si="13">IF($D5=5,$Q5,"")</f>
        <v/>
      </c>
      <c r="DB5" t="str">
        <f t="shared" ref="DB5:DB32" si="14">IF($D5=6,$Q5,"")</f>
        <v/>
      </c>
      <c r="DC5" t="str">
        <f t="shared" ref="DC5:DC32" si="15">IF($D5=7,$Q5,"")</f>
        <v/>
      </c>
      <c r="DD5" t="str">
        <f t="shared" ref="DD5:DD32" si="16">IF($D5=8,$Q5,"")</f>
        <v/>
      </c>
      <c r="DE5" t="str">
        <f t="shared" ref="DE5:DE32" si="17">IF($D5=9,$Q5,"")</f>
        <v/>
      </c>
      <c r="DF5" t="str">
        <f t="shared" ref="DF5:DF32" si="18">IF($D5=10,$Q5,"")</f>
        <v/>
      </c>
      <c r="DG5" t="str">
        <f t="shared" ref="DG5:DG32" si="19">IF($D5=11,$Q5,"")</f>
        <v/>
      </c>
      <c r="DH5" t="str">
        <f t="shared" ref="DH5:DH32" si="20">IF($D5=12,$Q5,"")</f>
        <v/>
      </c>
      <c r="DI5" t="str">
        <f t="shared" ref="DI5:DI32" si="21">IF($D5=13,$Q5,"")</f>
        <v/>
      </c>
      <c r="DJ5" t="str">
        <f t="shared" ref="DJ5:DJ32" si="22">IF($D5=14,$Q5,"")</f>
        <v/>
      </c>
      <c r="DL5" t="str">
        <f t="shared" ref="DL5:DL32" si="23">IF($E5=1,$Q5,"")</f>
        <v/>
      </c>
      <c r="DM5">
        <f t="shared" ref="DM5:DM32" si="24">IF($E5=2,$Q5,"")</f>
        <v>0</v>
      </c>
      <c r="DN5" t="str">
        <f t="shared" ref="DN5:DN32" si="25">IF($E5=3,$Q5,"")</f>
        <v/>
      </c>
      <c r="DO5" t="str">
        <f t="shared" ref="DO5:DO32" si="26">IF($E5=4,$Q5,"")</f>
        <v/>
      </c>
      <c r="DP5" t="str">
        <f t="shared" ref="DP5:DP32" si="27">IF($E5=5,$Q5,"")</f>
        <v/>
      </c>
      <c r="DQ5" t="str">
        <f t="shared" ref="DQ5:DQ32" si="28">IF($E5=6,$Q5,"")</f>
        <v/>
      </c>
      <c r="DR5" t="str">
        <f t="shared" ref="DR5:DR32" si="29">IF($E5=7,$Q5,"")</f>
        <v/>
      </c>
      <c r="DS5" t="str">
        <f t="shared" ref="DS5:DS32" si="30">IF($E5=8,$Q5,"")</f>
        <v/>
      </c>
      <c r="DT5" t="str">
        <f t="shared" ref="DT5:DT32" si="31">IF($E5=9,$Q5,"")</f>
        <v/>
      </c>
      <c r="DU5" t="str">
        <f t="shared" ref="DU5:DU32" si="32">IF($E5=10,$Q5,"")</f>
        <v/>
      </c>
      <c r="DV5" t="str">
        <f t="shared" ref="DV5:DV32" si="33">IF($E5=11,$Q5,"")</f>
        <v/>
      </c>
      <c r="DW5" t="str">
        <f t="shared" ref="DW5:DW32" si="34">IF($E5=12,$Q5,"")</f>
        <v/>
      </c>
      <c r="DX5" t="str">
        <f t="shared" ref="DX5:DX32" si="35">IF($E5=13,$Q5,"")</f>
        <v/>
      </c>
      <c r="DY5" t="str">
        <f t="shared" ref="DY5:DY32" si="36">IF($E5=14,$Q5,"")</f>
        <v/>
      </c>
    </row>
    <row r="6" spans="1:129">
      <c r="A6">
        <v>8</v>
      </c>
      <c r="B6">
        <v>1</v>
      </c>
      <c r="C6">
        <v>13.2</v>
      </c>
      <c r="D6">
        <v>1</v>
      </c>
      <c r="E6">
        <v>3</v>
      </c>
      <c r="F6">
        <v>15596</v>
      </c>
      <c r="G6">
        <v>20.2</v>
      </c>
      <c r="H6">
        <v>8</v>
      </c>
      <c r="I6">
        <v>12</v>
      </c>
      <c r="L6">
        <f t="shared" ref="L6:L32" si="37">IFERROR(C6/H6,"")</f>
        <v>1.65</v>
      </c>
      <c r="M6">
        <f t="shared" ref="M6:M31" si="38">IFERROR(C6-H6,"")</f>
        <v>5.1999999999999993</v>
      </c>
      <c r="O6">
        <f t="shared" si="0"/>
        <v>13.2</v>
      </c>
      <c r="P6">
        <f t="shared" ref="P6:P30" si="39">IF(D6&lt;E6,C6/H6,"")</f>
        <v>1.65</v>
      </c>
      <c r="V6" t="str">
        <f t="shared" si="1"/>
        <v/>
      </c>
      <c r="W6" t="str">
        <f t="shared" si="2"/>
        <v/>
      </c>
      <c r="AJ6">
        <v>2</v>
      </c>
      <c r="AK6" t="e">
        <f>#REF!</f>
        <v>#REF!</v>
      </c>
      <c r="AL6" s="25" t="str">
        <f>IFERROR(RANK(AK6,AK5:AK22,0),"")</f>
        <v/>
      </c>
      <c r="AR6">
        <f t="shared" ref="AR6:AR69" si="40">IF($D6=AR$4,$G6,"")</f>
        <v>20.2</v>
      </c>
      <c r="AS6" s="25">
        <f t="shared" ref="AS6:AS69" si="41">IFERROR(IF(AR6="","",E6),"")</f>
        <v>3</v>
      </c>
      <c r="AT6" t="str">
        <f t="shared" ref="AT6:AT69" si="42">IF($D6=AT$4,$G6,"")</f>
        <v/>
      </c>
      <c r="AU6" s="25" t="str">
        <f t="shared" ref="AU6:AW69" si="43">IFERROR(IF(AT6="","",$E6),"")</f>
        <v/>
      </c>
      <c r="AV6" t="str">
        <f t="shared" ref="AV6:AV69" si="44">IF($D6=AV$4,$G6,"")</f>
        <v/>
      </c>
      <c r="AW6" s="25" t="str">
        <f t="shared" si="43"/>
        <v/>
      </c>
      <c r="AX6" t="str">
        <f t="shared" ref="AX6:AX69" si="45">IF($D6=AX$4,$G6,"")</f>
        <v/>
      </c>
      <c r="AY6" s="25" t="str">
        <f t="shared" si="3"/>
        <v/>
      </c>
      <c r="AZ6" t="str">
        <f t="shared" ref="AZ6:AZ69" si="46">IF($D6=AZ$4,$G6,"")</f>
        <v/>
      </c>
      <c r="BA6" s="25" t="str">
        <f t="shared" si="4"/>
        <v/>
      </c>
      <c r="BB6" t="str">
        <f t="shared" ref="BB6:BB69" si="47">IF($D6=BB$4,$G6,"")</f>
        <v/>
      </c>
      <c r="BC6" s="25" t="str">
        <f t="shared" ref="BC6:BC68" si="48">IFERROR(IF(BB6="","",$E6),"")</f>
        <v/>
      </c>
      <c r="BD6" t="str">
        <f t="shared" ref="BD6:BD69" si="49">IF($D6=BD$4,$G6,"")</f>
        <v/>
      </c>
      <c r="BE6" s="25" t="str">
        <f t="shared" si="5"/>
        <v/>
      </c>
      <c r="BF6" t="str">
        <f t="shared" ref="BF6:BF69" si="50">IF($D6=BF$4,$G6,"")</f>
        <v/>
      </c>
      <c r="BG6" s="25" t="str">
        <f t="shared" si="6"/>
        <v/>
      </c>
      <c r="BH6" t="str">
        <f t="shared" ref="BH6:BH69" si="51">IF($D6=BH$4,$G6,"")</f>
        <v/>
      </c>
      <c r="BI6" s="25" t="str">
        <f t="shared" si="7"/>
        <v/>
      </c>
      <c r="BJ6" t="str">
        <f t="shared" ref="BJ6:BJ69" si="52">IF($D6=BJ$4,$G6,"")</f>
        <v/>
      </c>
      <c r="BK6" s="25" t="str">
        <f t="shared" si="8"/>
        <v/>
      </c>
      <c r="BM6">
        <f t="array" ref="BM6">IFERROR(VALUE(INDEX(AR:AR,SMALL(IF($AR$5:$AR$150&lt;&gt;"",ROW($AR$5:$AR$150),9999),ROW(A2)))&amp;""),"")</f>
        <v>20.2</v>
      </c>
      <c r="BN6">
        <f t="array" ref="BN6">IFERROR(VALUE(INDEX(AS:AS,SMALL(IF($AS$5:$AS$150&lt;&gt;"",ROW($AS$5:$AS$150),9999),ROW(A2)))&amp;""),"")</f>
        <v>3</v>
      </c>
      <c r="BO6">
        <f t="array" ref="BO6">IFERROR(VALUE(INDEX(AT:AT,SMALL(IF($AT$5:$AT$150&lt;&gt;"",ROW($AT$5:$AT$150),9999),ROW(A2)))&amp;""),"")</f>
        <v>19.8</v>
      </c>
      <c r="BP6">
        <f t="array" ref="BP6">IFERROR(VALUE(INDEX(AU:AU,SMALL(IF($AU$5:$AU$150&lt;&gt;"",ROW($AU$5:$AU$150),9999),ROW(A2)))&amp;""),"")</f>
        <v>3</v>
      </c>
      <c r="BQ6">
        <f t="array" ref="BQ6">IFERROR(VALUE(INDEX(AV:AV,SMALL(IF($AV$5:$AV$150&lt;&gt;"",ROW($AV$5:$AV$150),9999),ROW(A2)))&amp;""),"")</f>
        <v>13.2</v>
      </c>
      <c r="BR6">
        <f t="array" ref="BR6">IFERROR(VALUE(INDEX(AW:AW,SMALL(IF($AW$5:$AW$150&lt;&gt;"",ROW($AW$5:$AW$150),9999),ROW(A2)))&amp;""),"")</f>
        <v>1</v>
      </c>
      <c r="BS6">
        <f t="array" ref="BS6">IFERROR(VALUE(INDEX(AX:AX,SMALL(IF($AX$5:$AX$150&lt;&gt;"",ROW($AX$5:$AX$150),9999),ROW(A2)))&amp;""),"")</f>
        <v>16.7</v>
      </c>
      <c r="BT6">
        <f t="array" ref="BT6">IFERROR(VALUE(INDEX(AY:AY,SMALL(IF($AY$5:$AY$150&lt;&gt;"",ROW($AY$5:$AY$150),9999),ROW(A2)))&amp;""),"")</f>
        <v>1</v>
      </c>
      <c r="BU6">
        <f t="array" ref="BU6">IFERROR(VALUE(INDEX(AZ:AZ,SMALL(IF($AZ$5:$AZ$150&lt;&gt;"",ROW($AZ$5:$AZ$150),9999),ROW(A2)))&amp;""),"")</f>
        <v>35.6</v>
      </c>
      <c r="BV6">
        <f t="array" ref="BV6">IFERROR(VALUE(INDEX(BA:BA,SMALL(IF($BA$5:$BA$150&lt;&gt;"",ROW($BA$5:$BA$150),9999),ROW(A2)))&amp;""),"")</f>
        <v>2</v>
      </c>
      <c r="BX6">
        <f t="shared" ref="BX6:BX19" si="53">IFERROR(ROUNDUP(BM6-BM7,2),"")</f>
        <v>-10</v>
      </c>
      <c r="BY6">
        <f t="shared" ref="BY6:BY19" si="54">IFERROR(ROUNDUP(BM7/BM6,2),"")</f>
        <v>1.5</v>
      </c>
      <c r="BZ6">
        <f t="shared" ref="BZ6:BZ19" si="55">BN6</f>
        <v>3</v>
      </c>
      <c r="CA6">
        <f t="shared" ref="CA6:CA19" si="56">IFERROR(ROUNDUP(BO7/BO6,2),"")</f>
        <v>1.25</v>
      </c>
      <c r="CB6">
        <f t="shared" ref="CB6:CB19" si="57">BP6</f>
        <v>3</v>
      </c>
      <c r="CC6">
        <f t="shared" ref="CC6:CC19" si="58">IFERROR(ROUNDUP(BQ7/BQ6,2),"")</f>
        <v>2.2899999999999996</v>
      </c>
      <c r="CD6">
        <f t="shared" ref="CD6:CD19" si="59">BR6</f>
        <v>1</v>
      </c>
      <c r="CE6">
        <f t="shared" ref="CE6:CE19" si="60">IFERROR(ROUNDUP(BS7/BS6,2),"")</f>
        <v>1.65</v>
      </c>
      <c r="CF6">
        <f t="shared" ref="CF6:CF19" si="61">BT6</f>
        <v>1</v>
      </c>
      <c r="CG6">
        <f t="shared" ref="CG6:CG19" si="62">IFERROR(ROUNDUP(BU7/BU6,2),"")</f>
        <v>1.06</v>
      </c>
      <c r="CH6">
        <f t="shared" ref="CH6:CH19" si="63">BV6</f>
        <v>2</v>
      </c>
      <c r="CW6">
        <f t="shared" si="9"/>
        <v>0</v>
      </c>
      <c r="CX6" t="str">
        <f t="shared" si="10"/>
        <v/>
      </c>
      <c r="CY6" t="str">
        <f t="shared" si="11"/>
        <v/>
      </c>
      <c r="CZ6" t="str">
        <f t="shared" si="12"/>
        <v/>
      </c>
      <c r="DA6" t="str">
        <f t="shared" si="13"/>
        <v/>
      </c>
      <c r="DB6" t="str">
        <f t="shared" si="14"/>
        <v/>
      </c>
      <c r="DC6" t="str">
        <f t="shared" si="15"/>
        <v/>
      </c>
      <c r="DD6" t="str">
        <f t="shared" si="16"/>
        <v/>
      </c>
      <c r="DE6" t="str">
        <f t="shared" si="17"/>
        <v/>
      </c>
      <c r="DF6" t="str">
        <f t="shared" si="18"/>
        <v/>
      </c>
      <c r="DG6" t="str">
        <f t="shared" si="19"/>
        <v/>
      </c>
      <c r="DH6" t="str">
        <f t="shared" si="20"/>
        <v/>
      </c>
      <c r="DI6" t="str">
        <f t="shared" si="21"/>
        <v/>
      </c>
      <c r="DJ6" t="str">
        <f t="shared" si="22"/>
        <v/>
      </c>
      <c r="DL6" t="str">
        <f t="shared" si="23"/>
        <v/>
      </c>
      <c r="DM6" t="str">
        <f t="shared" si="24"/>
        <v/>
      </c>
      <c r="DN6">
        <f t="shared" si="25"/>
        <v>0</v>
      </c>
      <c r="DO6" t="str">
        <f t="shared" si="26"/>
        <v/>
      </c>
      <c r="DP6" t="str">
        <f t="shared" si="27"/>
        <v/>
      </c>
      <c r="DQ6" t="str">
        <f t="shared" si="28"/>
        <v/>
      </c>
      <c r="DR6" t="str">
        <f t="shared" si="29"/>
        <v/>
      </c>
      <c r="DS6" t="str">
        <f t="shared" si="30"/>
        <v/>
      </c>
      <c r="DT6" t="str">
        <f t="shared" si="31"/>
        <v/>
      </c>
      <c r="DU6" t="str">
        <f t="shared" si="32"/>
        <v/>
      </c>
      <c r="DV6" t="str">
        <f t="shared" si="33"/>
        <v/>
      </c>
      <c r="DW6" t="str">
        <f t="shared" si="34"/>
        <v/>
      </c>
      <c r="DX6" t="str">
        <f t="shared" si="35"/>
        <v/>
      </c>
      <c r="DY6" t="str">
        <f t="shared" si="36"/>
        <v/>
      </c>
    </row>
    <row r="7" spans="1:129">
      <c r="A7">
        <v>8</v>
      </c>
      <c r="B7">
        <v>13</v>
      </c>
      <c r="C7">
        <v>16</v>
      </c>
      <c r="D7">
        <v>1</v>
      </c>
      <c r="E7">
        <v>5</v>
      </c>
      <c r="F7">
        <v>12863</v>
      </c>
      <c r="G7">
        <v>30.2</v>
      </c>
      <c r="H7">
        <v>10.5</v>
      </c>
      <c r="I7">
        <v>14.4</v>
      </c>
      <c r="L7">
        <f t="shared" si="37"/>
        <v>1.5238095238095237</v>
      </c>
      <c r="M7">
        <f t="shared" si="38"/>
        <v>5.5</v>
      </c>
      <c r="O7">
        <f t="shared" si="0"/>
        <v>16</v>
      </c>
      <c r="P7">
        <f t="shared" si="39"/>
        <v>1.5238095238095237</v>
      </c>
      <c r="V7" t="str">
        <f t="shared" si="1"/>
        <v/>
      </c>
      <c r="W7" t="str">
        <f t="shared" si="2"/>
        <v/>
      </c>
      <c r="AJ7">
        <v>3</v>
      </c>
      <c r="AK7" t="e">
        <f>#REF!</f>
        <v>#REF!</v>
      </c>
      <c r="AL7" s="25" t="str">
        <f>IFERROR(RANK(AK7,AK5:AK22,0),"")</f>
        <v/>
      </c>
      <c r="AR7">
        <f t="shared" si="40"/>
        <v>30.2</v>
      </c>
      <c r="AS7" s="25">
        <f t="shared" si="41"/>
        <v>5</v>
      </c>
      <c r="AT7" t="str">
        <f t="shared" si="42"/>
        <v/>
      </c>
      <c r="AU7" s="25" t="str">
        <f t="shared" si="43"/>
        <v/>
      </c>
      <c r="AV7" t="str">
        <f t="shared" si="44"/>
        <v/>
      </c>
      <c r="AW7" s="25" t="str">
        <f t="shared" si="43"/>
        <v/>
      </c>
      <c r="AX7" t="str">
        <f t="shared" si="45"/>
        <v/>
      </c>
      <c r="AY7" s="25" t="str">
        <f t="shared" si="3"/>
        <v/>
      </c>
      <c r="AZ7" t="str">
        <f t="shared" si="46"/>
        <v/>
      </c>
      <c r="BA7" s="25" t="str">
        <f t="shared" si="4"/>
        <v/>
      </c>
      <c r="BB7" t="str">
        <f t="shared" si="47"/>
        <v/>
      </c>
      <c r="BC7" s="25" t="str">
        <f t="shared" si="48"/>
        <v/>
      </c>
      <c r="BD7" t="str">
        <f t="shared" si="49"/>
        <v/>
      </c>
      <c r="BE7" s="25" t="str">
        <f t="shared" si="5"/>
        <v/>
      </c>
      <c r="BF7" t="str">
        <f t="shared" si="50"/>
        <v/>
      </c>
      <c r="BG7" s="25" t="str">
        <f t="shared" si="6"/>
        <v/>
      </c>
      <c r="BH7" t="str">
        <f t="shared" si="51"/>
        <v/>
      </c>
      <c r="BI7" s="25" t="str">
        <f t="shared" si="7"/>
        <v/>
      </c>
      <c r="BJ7" t="str">
        <f t="shared" si="52"/>
        <v/>
      </c>
      <c r="BK7" s="25" t="str">
        <f t="shared" si="8"/>
        <v/>
      </c>
      <c r="BM7">
        <f t="array" ref="BM7">IFERROR(VALUE(INDEX(AR:AR,SMALL(IF($AR$5:$AR$150&lt;&gt;"",ROW($AR$5:$AR$150),9999),ROW(A3)))&amp;""),"")</f>
        <v>30.2</v>
      </c>
      <c r="BN7">
        <f t="array" ref="BN7">IFERROR(VALUE(INDEX(AS:AS,SMALL(IF($AS$5:$AS$150&lt;&gt;"",ROW($AS$5:$AS$150),9999),ROW(A3)))&amp;""),"")</f>
        <v>5</v>
      </c>
      <c r="BO7">
        <f t="array" ref="BO7">IFERROR(VALUE(INDEX(AT:AT,SMALL(IF($AT$5:$AT$150&lt;&gt;"",ROW($AT$5:$AT$150),9999),ROW(A3)))&amp;""),"")</f>
        <v>24.7</v>
      </c>
      <c r="BP7">
        <f t="array" ref="BP7">IFERROR(VALUE(INDEX(AU:AU,SMALL(IF($AU$5:$AU$150&lt;&gt;"",ROW($AU$5:$AU$150),9999),ROW(A3)))&amp;""),"")</f>
        <v>4</v>
      </c>
      <c r="BQ7">
        <f t="array" ref="BQ7">IFERROR(VALUE(INDEX(AV:AV,SMALL(IF($AV$5:$AV$150&lt;&gt;"",ROW($AV$5:$AV$150),9999),ROW(A3)))&amp;""),"")</f>
        <v>30.1</v>
      </c>
      <c r="BR7">
        <f t="array" ref="BR7">IFERROR(VALUE(INDEX(AW:AW,SMALL(IF($AW$5:$AW$150&lt;&gt;"",ROW($AW$5:$AW$150),9999),ROW(A3)))&amp;""),"")</f>
        <v>4</v>
      </c>
      <c r="BS7">
        <f t="array" ref="BS7">IFERROR(VALUE(INDEX(AX:AX,SMALL(IF($AX$5:$AX$150&lt;&gt;"",ROW($AX$5:$AX$150),9999),ROW(A3)))&amp;""),"")</f>
        <v>27.4</v>
      </c>
      <c r="BT7">
        <f t="array" ref="BT7">IFERROR(VALUE(INDEX(AY:AY,SMALL(IF($AY$5:$AY$150&lt;&gt;"",ROW($AY$5:$AY$150),9999),ROW(A3)))&amp;""),"")</f>
        <v>3</v>
      </c>
      <c r="BU7">
        <f t="array" ref="BU7">IFERROR(VALUE(INDEX(AZ:AZ,SMALL(IF($AZ$5:$AZ$150&lt;&gt;"",ROW($AZ$5:$AZ$150),9999),ROW(A3)))&amp;""),"")</f>
        <v>37.5</v>
      </c>
      <c r="BV7">
        <f t="array" ref="BV7">IFERROR(VALUE(INDEX(BA:BA,SMALL(IF($BA$5:$BA$150&lt;&gt;"",ROW($BA$5:$BA$150),9999),ROW(A3)))&amp;""),"")</f>
        <v>3</v>
      </c>
      <c r="BX7">
        <f t="shared" si="53"/>
        <v>2.5</v>
      </c>
      <c r="BY7">
        <f t="shared" si="54"/>
        <v>0.92</v>
      </c>
      <c r="BZ7">
        <f t="shared" si="55"/>
        <v>5</v>
      </c>
      <c r="CA7">
        <f t="shared" si="56"/>
        <v>1.6300000000000001</v>
      </c>
      <c r="CB7">
        <f t="shared" si="57"/>
        <v>4</v>
      </c>
      <c r="CC7">
        <f t="shared" si="58"/>
        <v>1.49</v>
      </c>
      <c r="CD7">
        <f t="shared" si="59"/>
        <v>4</v>
      </c>
      <c r="CE7">
        <f t="shared" si="60"/>
        <v>1.98</v>
      </c>
      <c r="CF7">
        <f t="shared" si="61"/>
        <v>3</v>
      </c>
      <c r="CG7">
        <f t="shared" si="62"/>
        <v>1.2</v>
      </c>
      <c r="CH7">
        <f t="shared" si="63"/>
        <v>3</v>
      </c>
      <c r="CW7">
        <f t="shared" si="9"/>
        <v>0</v>
      </c>
      <c r="CX7" t="str">
        <f t="shared" si="10"/>
        <v/>
      </c>
      <c r="CY7" t="str">
        <f t="shared" si="11"/>
        <v/>
      </c>
      <c r="CZ7" t="str">
        <f t="shared" si="12"/>
        <v/>
      </c>
      <c r="DA7" t="str">
        <f t="shared" si="13"/>
        <v/>
      </c>
      <c r="DB7" t="str">
        <f t="shared" si="14"/>
        <v/>
      </c>
      <c r="DC7" t="str">
        <f t="shared" si="15"/>
        <v/>
      </c>
      <c r="DD7" t="str">
        <f t="shared" si="16"/>
        <v/>
      </c>
      <c r="DE7" t="str">
        <f t="shared" si="17"/>
        <v/>
      </c>
      <c r="DF7" t="str">
        <f t="shared" si="18"/>
        <v/>
      </c>
      <c r="DG7" t="str">
        <f t="shared" si="19"/>
        <v/>
      </c>
      <c r="DH7" t="str">
        <f t="shared" si="20"/>
        <v/>
      </c>
      <c r="DI7" t="str">
        <f t="shared" si="21"/>
        <v/>
      </c>
      <c r="DJ7" t="str">
        <f t="shared" si="22"/>
        <v/>
      </c>
      <c r="DL7" t="str">
        <f t="shared" si="23"/>
        <v/>
      </c>
      <c r="DM7" t="str">
        <f t="shared" si="24"/>
        <v/>
      </c>
      <c r="DN7" t="str">
        <f t="shared" si="25"/>
        <v/>
      </c>
      <c r="DO7" t="str">
        <f t="shared" si="26"/>
        <v/>
      </c>
      <c r="DP7">
        <f t="shared" si="27"/>
        <v>0</v>
      </c>
      <c r="DQ7" t="str">
        <f t="shared" si="28"/>
        <v/>
      </c>
      <c r="DR7" t="str">
        <f t="shared" si="29"/>
        <v/>
      </c>
      <c r="DS7" t="str">
        <f t="shared" si="30"/>
        <v/>
      </c>
      <c r="DT7" t="str">
        <f t="shared" si="31"/>
        <v/>
      </c>
      <c r="DU7" t="str">
        <f t="shared" si="32"/>
        <v/>
      </c>
      <c r="DV7" t="str">
        <f t="shared" si="33"/>
        <v/>
      </c>
      <c r="DW7" t="str">
        <f t="shared" si="34"/>
        <v/>
      </c>
      <c r="DX7" t="str">
        <f t="shared" si="35"/>
        <v/>
      </c>
      <c r="DY7" t="str">
        <f t="shared" si="36"/>
        <v/>
      </c>
    </row>
    <row r="8" spans="1:129">
      <c r="A8">
        <v>8</v>
      </c>
      <c r="B8">
        <v>2</v>
      </c>
      <c r="C8">
        <v>16.7</v>
      </c>
      <c r="D8">
        <v>1</v>
      </c>
      <c r="E8">
        <v>4</v>
      </c>
      <c r="F8">
        <v>12328</v>
      </c>
      <c r="G8">
        <v>27.7</v>
      </c>
      <c r="H8">
        <v>10.4</v>
      </c>
      <c r="I8">
        <v>14.7</v>
      </c>
      <c r="L8">
        <f t="shared" si="37"/>
        <v>1.6057692307692306</v>
      </c>
      <c r="M8">
        <f t="shared" si="38"/>
        <v>6.2999999999999989</v>
      </c>
      <c r="O8">
        <f t="shared" si="0"/>
        <v>16.7</v>
      </c>
      <c r="P8">
        <f t="shared" si="39"/>
        <v>1.6057692307692306</v>
      </c>
      <c r="V8" t="str">
        <f t="shared" si="1"/>
        <v/>
      </c>
      <c r="W8" t="str">
        <f t="shared" si="2"/>
        <v/>
      </c>
      <c r="AJ8">
        <v>4</v>
      </c>
      <c r="AK8" t="e">
        <f>#REF!</f>
        <v>#REF!</v>
      </c>
      <c r="AL8" s="25" t="str">
        <f>IFERROR(RANK(AK8,AK5:AK22,0),"")</f>
        <v/>
      </c>
      <c r="AR8">
        <f t="shared" si="40"/>
        <v>27.7</v>
      </c>
      <c r="AS8" s="25">
        <f t="shared" si="41"/>
        <v>4</v>
      </c>
      <c r="AT8" t="str">
        <f t="shared" si="42"/>
        <v/>
      </c>
      <c r="AU8" s="25" t="str">
        <f t="shared" si="43"/>
        <v/>
      </c>
      <c r="AV8" t="str">
        <f t="shared" si="44"/>
        <v/>
      </c>
      <c r="AW8" s="25" t="str">
        <f t="shared" si="43"/>
        <v/>
      </c>
      <c r="AX8" t="str">
        <f t="shared" si="45"/>
        <v/>
      </c>
      <c r="AY8" s="25" t="str">
        <f t="shared" si="3"/>
        <v/>
      </c>
      <c r="AZ8" t="str">
        <f t="shared" si="46"/>
        <v/>
      </c>
      <c r="BA8" s="25" t="str">
        <f t="shared" si="4"/>
        <v/>
      </c>
      <c r="BB8" t="str">
        <f t="shared" si="47"/>
        <v/>
      </c>
      <c r="BC8" s="25" t="str">
        <f t="shared" si="48"/>
        <v/>
      </c>
      <c r="BD8" t="str">
        <f t="shared" si="49"/>
        <v/>
      </c>
      <c r="BE8" s="25" t="str">
        <f t="shared" si="5"/>
        <v/>
      </c>
      <c r="BF8" t="str">
        <f t="shared" si="50"/>
        <v/>
      </c>
      <c r="BG8" s="25" t="str">
        <f t="shared" si="6"/>
        <v/>
      </c>
      <c r="BH8" t="str">
        <f t="shared" si="51"/>
        <v/>
      </c>
      <c r="BI8" s="25" t="str">
        <f t="shared" si="7"/>
        <v/>
      </c>
      <c r="BJ8" t="str">
        <f t="shared" si="52"/>
        <v/>
      </c>
      <c r="BK8" s="25" t="str">
        <f t="shared" si="8"/>
        <v/>
      </c>
      <c r="BM8">
        <f t="array" ref="BM8">IFERROR(VALUE(INDEX(AR:AR,SMALL(IF($AR$5:$AR$150&lt;&gt;"",ROW($AR$5:$AR$150),9999),ROW(A4)))&amp;""),"")</f>
        <v>27.7</v>
      </c>
      <c r="BN8">
        <f t="array" ref="BN8">IFERROR(VALUE(INDEX(AS:AS,SMALL(IF($AS$5:$AS$150&lt;&gt;"",ROW($AS$5:$AS$150),9999),ROW(A4)))&amp;""),"")</f>
        <v>4</v>
      </c>
      <c r="BO8">
        <f t="array" ref="BO8">IFERROR(VALUE(INDEX(AT:AT,SMALL(IF($AT$5:$AT$150&lt;&gt;"",ROW($AT$5:$AT$150),9999),ROW(A4)))&amp;""),"")</f>
        <v>40.1</v>
      </c>
      <c r="BP8">
        <f t="array" ref="BP8">IFERROR(VALUE(INDEX(AU:AU,SMALL(IF($AU$5:$AU$150&lt;&gt;"",ROW($AU$5:$AU$150),9999),ROW(A4)))&amp;""),"")</f>
        <v>5</v>
      </c>
      <c r="BQ8">
        <f t="array" ref="BQ8">IFERROR(VALUE(INDEX(AV:AV,SMALL(IF($AV$5:$AV$150&lt;&gt;"",ROW($AV$5:$AV$150),9999),ROW(A4)))&amp;""),"")</f>
        <v>44.6</v>
      </c>
      <c r="BR8">
        <f t="array" ref="BR8">IFERROR(VALUE(INDEX(AW:AW,SMALL(IF($AW$5:$AW$150&lt;&gt;"",ROW($AW$5:$AW$150),9999),ROW(A4)))&amp;""),"")</f>
        <v>5</v>
      </c>
      <c r="BS8">
        <f t="array" ref="BS8">IFERROR(VALUE(INDEX(AX:AX,SMALL(IF($AX$5:$AX$150&lt;&gt;"",ROW($AX$5:$AX$150),9999),ROW(A4)))&amp;""),"")</f>
        <v>54.2</v>
      </c>
      <c r="BT8">
        <f t="array" ref="BT8">IFERROR(VALUE(INDEX(AY:AY,SMALL(IF($AY$5:$AY$150&lt;&gt;"",ROW($AY$5:$AY$150),9999),ROW(A4)))&amp;""),"")</f>
        <v>5</v>
      </c>
      <c r="BU8">
        <f t="array" ref="BU8">IFERROR(VALUE(INDEX(AZ:AZ,SMALL(IF($AZ$5:$AZ$150&lt;&gt;"",ROW($AZ$5:$AZ$150),9999),ROW(A4)))&amp;""),"")</f>
        <v>44.8</v>
      </c>
      <c r="BV8">
        <f t="array" ref="BV8">IFERROR(VALUE(INDEX(BA:BA,SMALL(IF($BA$5:$BA$150&lt;&gt;"",ROW($BA$5:$BA$150),9999),ROW(A4)))&amp;""),"")</f>
        <v>4</v>
      </c>
      <c r="BX8">
        <f t="shared" si="53"/>
        <v>-27.6</v>
      </c>
      <c r="BY8">
        <f t="shared" si="54"/>
        <v>2</v>
      </c>
      <c r="BZ8">
        <f t="shared" si="55"/>
        <v>4</v>
      </c>
      <c r="CA8">
        <f t="shared" si="56"/>
        <v>1.1599999999999999</v>
      </c>
      <c r="CB8">
        <f t="shared" si="57"/>
        <v>5</v>
      </c>
      <c r="CC8">
        <f t="shared" si="58"/>
        <v>2.21</v>
      </c>
      <c r="CD8">
        <f t="shared" si="59"/>
        <v>5</v>
      </c>
      <c r="CE8">
        <f t="shared" si="60"/>
        <v>1.01</v>
      </c>
      <c r="CF8">
        <f t="shared" si="61"/>
        <v>5</v>
      </c>
      <c r="CG8">
        <f t="shared" si="62"/>
        <v>1.96</v>
      </c>
      <c r="CH8">
        <f t="shared" si="63"/>
        <v>4</v>
      </c>
      <c r="CW8">
        <f t="shared" si="9"/>
        <v>0</v>
      </c>
      <c r="CX8" t="str">
        <f t="shared" si="10"/>
        <v/>
      </c>
      <c r="CY8" t="str">
        <f t="shared" si="11"/>
        <v/>
      </c>
      <c r="CZ8" t="str">
        <f t="shared" si="12"/>
        <v/>
      </c>
      <c r="DA8" t="str">
        <f t="shared" si="13"/>
        <v/>
      </c>
      <c r="DB8" t="str">
        <f t="shared" si="14"/>
        <v/>
      </c>
      <c r="DC8" t="str">
        <f t="shared" si="15"/>
        <v/>
      </c>
      <c r="DD8" t="str">
        <f t="shared" si="16"/>
        <v/>
      </c>
      <c r="DE8" t="str">
        <f t="shared" si="17"/>
        <v/>
      </c>
      <c r="DF8" t="str">
        <f t="shared" si="18"/>
        <v/>
      </c>
      <c r="DG8" t="str">
        <f t="shared" si="19"/>
        <v/>
      </c>
      <c r="DH8" t="str">
        <f t="shared" si="20"/>
        <v/>
      </c>
      <c r="DI8" t="str">
        <f t="shared" si="21"/>
        <v/>
      </c>
      <c r="DJ8" t="str">
        <f t="shared" si="22"/>
        <v/>
      </c>
      <c r="DL8" t="str">
        <f t="shared" si="23"/>
        <v/>
      </c>
      <c r="DM8" t="str">
        <f t="shared" si="24"/>
        <v/>
      </c>
      <c r="DN8" t="str">
        <f t="shared" si="25"/>
        <v/>
      </c>
      <c r="DO8">
        <f t="shared" si="26"/>
        <v>0</v>
      </c>
      <c r="DP8" t="str">
        <f t="shared" si="27"/>
        <v/>
      </c>
      <c r="DQ8" t="str">
        <f t="shared" si="28"/>
        <v/>
      </c>
      <c r="DR8" t="str">
        <f t="shared" si="29"/>
        <v/>
      </c>
      <c r="DS8" t="str">
        <f t="shared" si="30"/>
        <v/>
      </c>
      <c r="DT8" t="str">
        <f t="shared" si="31"/>
        <v/>
      </c>
      <c r="DU8" t="str">
        <f t="shared" si="32"/>
        <v/>
      </c>
      <c r="DV8" t="str">
        <f t="shared" si="33"/>
        <v/>
      </c>
      <c r="DW8" t="str">
        <f t="shared" si="34"/>
        <v/>
      </c>
      <c r="DX8" t="str">
        <f t="shared" si="35"/>
        <v/>
      </c>
      <c r="DY8" t="str">
        <f t="shared" si="36"/>
        <v/>
      </c>
    </row>
    <row r="9" spans="1:129">
      <c r="A9">
        <v>14</v>
      </c>
      <c r="B9">
        <v>8</v>
      </c>
      <c r="C9">
        <v>17.5</v>
      </c>
      <c r="D9">
        <v>2</v>
      </c>
      <c r="E9">
        <v>1</v>
      </c>
      <c r="F9">
        <v>11746</v>
      </c>
      <c r="G9">
        <v>12.5</v>
      </c>
      <c r="H9">
        <v>7.3</v>
      </c>
      <c r="I9">
        <v>14.4</v>
      </c>
      <c r="L9">
        <f t="shared" si="37"/>
        <v>2.397260273972603</v>
      </c>
      <c r="M9">
        <f t="shared" si="38"/>
        <v>10.199999999999999</v>
      </c>
      <c r="O9" t="str">
        <f t="shared" si="0"/>
        <v/>
      </c>
      <c r="P9" t="str">
        <f t="shared" si="39"/>
        <v/>
      </c>
      <c r="V9">
        <f t="shared" si="1"/>
        <v>17.5</v>
      </c>
      <c r="W9">
        <f t="shared" si="2"/>
        <v>2.397260273972603</v>
      </c>
      <c r="AJ9">
        <v>5</v>
      </c>
      <c r="AK9" t="e">
        <f>#REF!</f>
        <v>#REF!</v>
      </c>
      <c r="AL9" s="25" t="str">
        <f>IFERROR(RANK(#REF!,AK5:AK22,0),"")</f>
        <v/>
      </c>
      <c r="AR9" t="str">
        <f t="shared" si="40"/>
        <v/>
      </c>
      <c r="AS9" s="25" t="str">
        <f t="shared" si="41"/>
        <v/>
      </c>
      <c r="AT9">
        <f t="shared" si="42"/>
        <v>12.5</v>
      </c>
      <c r="AU9" s="25">
        <f t="shared" si="43"/>
        <v>1</v>
      </c>
      <c r="AV9" t="str">
        <f t="shared" si="44"/>
        <v/>
      </c>
      <c r="AW9" s="25" t="str">
        <f t="shared" si="43"/>
        <v/>
      </c>
      <c r="AX9" t="str">
        <f t="shared" si="45"/>
        <v/>
      </c>
      <c r="AY9" s="25" t="str">
        <f t="shared" si="3"/>
        <v/>
      </c>
      <c r="AZ9" t="str">
        <f t="shared" si="46"/>
        <v/>
      </c>
      <c r="BA9" s="25" t="str">
        <f t="shared" si="4"/>
        <v/>
      </c>
      <c r="BB9" t="str">
        <f t="shared" si="47"/>
        <v/>
      </c>
      <c r="BC9" s="25" t="str">
        <f t="shared" si="48"/>
        <v/>
      </c>
      <c r="BD9" t="str">
        <f t="shared" si="49"/>
        <v/>
      </c>
      <c r="BE9" s="25" t="str">
        <f t="shared" si="5"/>
        <v/>
      </c>
      <c r="BF9" t="str">
        <f t="shared" si="50"/>
        <v/>
      </c>
      <c r="BG9" s="25" t="str">
        <f t="shared" si="6"/>
        <v/>
      </c>
      <c r="BH9" t="str">
        <f t="shared" si="51"/>
        <v/>
      </c>
      <c r="BI9" s="25" t="str">
        <f t="shared" si="7"/>
        <v/>
      </c>
      <c r="BJ9" t="str">
        <f t="shared" si="52"/>
        <v/>
      </c>
      <c r="BK9" s="25" t="str">
        <f t="shared" si="8"/>
        <v/>
      </c>
      <c r="BM9">
        <f t="array" ref="BM9">IFERROR(VALUE(INDEX(AR:AR,SMALL(IF($AR$5:$AR$150&lt;&gt;"",ROW($AR$5:$AR$150),9999),ROW(A5)))&amp;""),"")</f>
        <v>55.3</v>
      </c>
      <c r="BN9">
        <f t="array" ref="BN9">IFERROR(VALUE(INDEX(AS:AS,SMALL(IF($AS$5:$AS$150&lt;&gt;"",ROW($AS$5:$AS$150),9999),ROW(A5)))&amp;""),"")</f>
        <v>6</v>
      </c>
      <c r="BO9">
        <f t="array" ref="BO9">IFERROR(VALUE(INDEX(AT:AT,SMALL(IF($AT$5:$AT$150&lt;&gt;"",ROW($AT$5:$AT$150),9999),ROW(A5)))&amp;""),"")</f>
        <v>46.2</v>
      </c>
      <c r="BP9">
        <f t="array" ref="BP9">IFERROR(VALUE(INDEX(AU:AU,SMALL(IF($AU$5:$AU$150&lt;&gt;"",ROW($AU$5:$AU$150),9999),ROW(A5)))&amp;""),"")</f>
        <v>6</v>
      </c>
      <c r="BQ9">
        <f t="array" ref="BQ9">IFERROR(VALUE(INDEX(AV:AV,SMALL(IF($AV$5:$AV$150&lt;&gt;"",ROW($AV$5:$AV$150),9999),ROW(A5)))&amp;""),"")</f>
        <v>98.3</v>
      </c>
      <c r="BR9">
        <f t="array" ref="BR9">IFERROR(VALUE(INDEX(AW:AW,SMALL(IF($AW$5:$AW$150&lt;&gt;"",ROW($AW$5:$AW$150),9999),ROW(A5)))&amp;""),"")</f>
        <v>6</v>
      </c>
      <c r="BS9">
        <f t="array" ref="BS9">IFERROR(VALUE(INDEX(AX:AX,SMALL(IF($AX$5:$AX$150&lt;&gt;"",ROW($AX$5:$AX$150),9999),ROW(A5)))&amp;""),"")</f>
        <v>54.6</v>
      </c>
      <c r="BT9">
        <f t="array" ref="BT9">IFERROR(VALUE(INDEX(AY:AY,SMALL(IF($AY$5:$AY$150&lt;&gt;"",ROW($AY$5:$AY$150),9999),ROW(A5)))&amp;""),"")</f>
        <v>6</v>
      </c>
      <c r="BU9">
        <f t="array" ref="BU9">IFERROR(VALUE(INDEX(AZ:AZ,SMALL(IF($AZ$5:$AZ$150&lt;&gt;"",ROW($AZ$5:$AZ$150),9999),ROW(A5)))&amp;""),"")</f>
        <v>87.7</v>
      </c>
      <c r="BV9">
        <f t="array" ref="BV9">IFERROR(VALUE(INDEX(BA:BA,SMALL(IF($BA$5:$BA$150&lt;&gt;"",ROW($BA$5:$BA$150),9999),ROW(A5)))&amp;""),"")</f>
        <v>6</v>
      </c>
      <c r="BX9">
        <f t="shared" si="53"/>
        <v>-72.900000000000006</v>
      </c>
      <c r="BY9">
        <f t="shared" si="54"/>
        <v>2.3199999999999998</v>
      </c>
      <c r="BZ9">
        <f t="shared" si="55"/>
        <v>6</v>
      </c>
      <c r="CA9">
        <f t="shared" si="56"/>
        <v>3.2699999999999996</v>
      </c>
      <c r="CB9">
        <f t="shared" si="57"/>
        <v>6</v>
      </c>
      <c r="CC9">
        <f t="shared" si="58"/>
        <v>2.25</v>
      </c>
      <c r="CD9">
        <f t="shared" si="59"/>
        <v>6</v>
      </c>
      <c r="CE9">
        <f t="shared" si="60"/>
        <v>3.9</v>
      </c>
      <c r="CF9">
        <f t="shared" si="61"/>
        <v>6</v>
      </c>
      <c r="CG9">
        <f t="shared" si="62"/>
        <v>2.1599999999999997</v>
      </c>
      <c r="CH9">
        <f t="shared" si="63"/>
        <v>6</v>
      </c>
      <c r="CW9" t="str">
        <f t="shared" si="9"/>
        <v/>
      </c>
      <c r="CX9">
        <f t="shared" si="10"/>
        <v>0</v>
      </c>
      <c r="CY9" t="str">
        <f t="shared" si="11"/>
        <v/>
      </c>
      <c r="CZ9" t="str">
        <f t="shared" si="12"/>
        <v/>
      </c>
      <c r="DA9" t="str">
        <f t="shared" si="13"/>
        <v/>
      </c>
      <c r="DB9" t="str">
        <f t="shared" si="14"/>
        <v/>
      </c>
      <c r="DC9" t="str">
        <f t="shared" si="15"/>
        <v/>
      </c>
      <c r="DD9" t="str">
        <f t="shared" si="16"/>
        <v/>
      </c>
      <c r="DE9" t="str">
        <f t="shared" si="17"/>
        <v/>
      </c>
      <c r="DF9" t="str">
        <f t="shared" si="18"/>
        <v/>
      </c>
      <c r="DG9" t="str">
        <f t="shared" si="19"/>
        <v/>
      </c>
      <c r="DH9" t="str">
        <f t="shared" si="20"/>
        <v/>
      </c>
      <c r="DI9" t="str">
        <f t="shared" si="21"/>
        <v/>
      </c>
      <c r="DJ9" t="str">
        <f t="shared" si="22"/>
        <v/>
      </c>
      <c r="DL9">
        <f t="shared" si="23"/>
        <v>0</v>
      </c>
      <c r="DM9" t="str">
        <f t="shared" si="24"/>
        <v/>
      </c>
      <c r="DN9" t="str">
        <f t="shared" si="25"/>
        <v/>
      </c>
      <c r="DO9" t="str">
        <f t="shared" si="26"/>
        <v/>
      </c>
      <c r="DP9" t="str">
        <f t="shared" si="27"/>
        <v/>
      </c>
      <c r="DQ9" t="str">
        <f t="shared" si="28"/>
        <v/>
      </c>
      <c r="DR9" t="str">
        <f t="shared" si="29"/>
        <v/>
      </c>
      <c r="DS9" t="str">
        <f t="shared" si="30"/>
        <v/>
      </c>
      <c r="DT9" t="str">
        <f t="shared" si="31"/>
        <v/>
      </c>
      <c r="DU9" t="str">
        <f t="shared" si="32"/>
        <v/>
      </c>
      <c r="DV9" t="str">
        <f t="shared" si="33"/>
        <v/>
      </c>
      <c r="DW9" t="str">
        <f t="shared" si="34"/>
        <v/>
      </c>
      <c r="DX9" t="str">
        <f t="shared" si="35"/>
        <v/>
      </c>
      <c r="DY9" t="str">
        <f t="shared" si="36"/>
        <v/>
      </c>
    </row>
    <row r="10" spans="1:129">
      <c r="A10">
        <v>1</v>
      </c>
      <c r="B10">
        <v>14</v>
      </c>
      <c r="C10">
        <v>19.8</v>
      </c>
      <c r="D10">
        <v>3</v>
      </c>
      <c r="E10">
        <v>2</v>
      </c>
      <c r="F10">
        <v>10429</v>
      </c>
      <c r="G10">
        <v>20.399999999999999</v>
      </c>
      <c r="H10">
        <v>10</v>
      </c>
      <c r="I10">
        <v>22.3</v>
      </c>
      <c r="L10">
        <f t="shared" si="37"/>
        <v>1.98</v>
      </c>
      <c r="M10">
        <f t="shared" si="38"/>
        <v>9.8000000000000007</v>
      </c>
      <c r="O10" t="str">
        <f t="shared" si="0"/>
        <v/>
      </c>
      <c r="P10" t="str">
        <f t="shared" si="39"/>
        <v/>
      </c>
      <c r="V10">
        <f t="shared" si="1"/>
        <v>19.8</v>
      </c>
      <c r="W10">
        <f t="shared" si="2"/>
        <v>1.98</v>
      </c>
      <c r="AJ10">
        <v>6</v>
      </c>
      <c r="AK10" t="e">
        <f>#REF!</f>
        <v>#REF!</v>
      </c>
      <c r="AL10" s="25" t="str">
        <f>IFERROR(RANK(#REF!,AK5:AK22,0),"")</f>
        <v/>
      </c>
      <c r="AR10" t="str">
        <f t="shared" si="40"/>
        <v/>
      </c>
      <c r="AS10" s="25" t="str">
        <f t="shared" si="41"/>
        <v/>
      </c>
      <c r="AT10" t="str">
        <f t="shared" si="42"/>
        <v/>
      </c>
      <c r="AU10" s="25" t="str">
        <f t="shared" si="43"/>
        <v/>
      </c>
      <c r="AV10">
        <f t="shared" si="44"/>
        <v>20.399999999999999</v>
      </c>
      <c r="AW10" s="25">
        <f t="shared" si="43"/>
        <v>2</v>
      </c>
      <c r="AX10" t="str">
        <f t="shared" si="45"/>
        <v/>
      </c>
      <c r="AY10" s="25" t="str">
        <f t="shared" si="3"/>
        <v/>
      </c>
      <c r="AZ10" t="str">
        <f t="shared" si="46"/>
        <v/>
      </c>
      <c r="BA10" s="25" t="str">
        <f t="shared" si="4"/>
        <v/>
      </c>
      <c r="BB10" t="str">
        <f t="shared" si="47"/>
        <v/>
      </c>
      <c r="BC10" s="25" t="str">
        <f t="shared" si="48"/>
        <v/>
      </c>
      <c r="BD10" t="str">
        <f t="shared" si="49"/>
        <v/>
      </c>
      <c r="BE10" s="25" t="str">
        <f t="shared" si="5"/>
        <v/>
      </c>
      <c r="BF10" t="str">
        <f t="shared" si="50"/>
        <v/>
      </c>
      <c r="BG10" s="25" t="str">
        <f t="shared" si="6"/>
        <v/>
      </c>
      <c r="BH10" t="str">
        <f t="shared" si="51"/>
        <v/>
      </c>
      <c r="BI10" s="25" t="str">
        <f t="shared" si="7"/>
        <v/>
      </c>
      <c r="BJ10" t="str">
        <f t="shared" si="52"/>
        <v/>
      </c>
      <c r="BK10" s="25" t="str">
        <f t="shared" si="8"/>
        <v/>
      </c>
      <c r="BM10">
        <f t="array" ref="BM10">IFERROR(VALUE(INDEX(AR:AR,SMALL(IF($AR$5:$AR$150&lt;&gt;"",ROW($AR$5:$AR$150),9999),ROW(A6)))&amp;""),"")</f>
        <v>128.19999999999999</v>
      </c>
      <c r="BN10">
        <f t="array" ref="BN10">IFERROR(VALUE(INDEX(AS:AS,SMALL(IF($AS$5:$AS$150&lt;&gt;"",ROW($AS$5:$AS$150),9999),ROW(A6)))&amp;""),"")</f>
        <v>7</v>
      </c>
      <c r="BO10">
        <f t="array" ref="BO10">IFERROR(VALUE(INDEX(AT:AT,SMALL(IF($AT$5:$AT$150&lt;&gt;"",ROW($AT$5:$AT$150),9999),ROW(A6)))&amp;""),"")</f>
        <v>150.80000000000001</v>
      </c>
      <c r="BP10">
        <f t="array" ref="BP10">IFERROR(VALUE(INDEX(AU:AU,SMALL(IF($AU$5:$AU$150&lt;&gt;"",ROW($AU$5:$AU$150),9999),ROW(A6)))&amp;""),"")</f>
        <v>7</v>
      </c>
      <c r="BQ10">
        <f t="array" ref="BQ10">IFERROR(VALUE(INDEX(AV:AV,SMALL(IF($AV$5:$AV$150&lt;&gt;"",ROW($AV$5:$AV$150),9999),ROW(A6)))&amp;""),"")</f>
        <v>220.4</v>
      </c>
      <c r="BR10">
        <f t="array" ref="BR10">IFERROR(VALUE(INDEX(AW:AW,SMALL(IF($AW$5:$AW$150&lt;&gt;"",ROW($AW$5:$AW$150),9999),ROW(A6)))&amp;""),"")</f>
        <v>7</v>
      </c>
      <c r="BS10">
        <f t="array" ref="BS10">IFERROR(VALUE(INDEX(AX:AX,SMALL(IF($AX$5:$AX$150&lt;&gt;"",ROW($AX$5:$AX$150),9999),ROW(A6)))&amp;""),"")</f>
        <v>212.5</v>
      </c>
      <c r="BT10">
        <f t="array" ref="BT10">IFERROR(VALUE(INDEX(AY:AY,SMALL(IF($AY$5:$AY$150&lt;&gt;"",ROW($AY$5:$AY$150),9999),ROW(A6)))&amp;""),"")</f>
        <v>8</v>
      </c>
      <c r="BU10">
        <f t="array" ref="BU10">IFERROR(VALUE(INDEX(AZ:AZ,SMALL(IF($AZ$5:$AZ$150&lt;&gt;"",ROW($AZ$5:$AZ$150),9999),ROW(A6)))&amp;""),"")</f>
        <v>189.3</v>
      </c>
      <c r="BV10">
        <f t="array" ref="BV10">IFERROR(VALUE(INDEX(BA:BA,SMALL(IF($BA$5:$BA$150&lt;&gt;"",ROW($BA$5:$BA$150),9999),ROW(A6)))&amp;""),"")</f>
        <v>7</v>
      </c>
      <c r="BX10">
        <f t="shared" si="53"/>
        <v>-38.5</v>
      </c>
      <c r="BY10">
        <f t="shared" si="54"/>
        <v>1.31</v>
      </c>
      <c r="BZ10">
        <f t="shared" si="55"/>
        <v>7</v>
      </c>
      <c r="CA10">
        <f t="shared" si="56"/>
        <v>1.31</v>
      </c>
      <c r="CB10">
        <f t="shared" si="57"/>
        <v>7</v>
      </c>
      <c r="CC10">
        <f t="shared" si="58"/>
        <v>0.94000000000000006</v>
      </c>
      <c r="CD10">
        <f t="shared" si="59"/>
        <v>7</v>
      </c>
      <c r="CE10">
        <f t="shared" si="60"/>
        <v>1.07</v>
      </c>
      <c r="CF10">
        <f t="shared" si="61"/>
        <v>8</v>
      </c>
      <c r="CG10">
        <f t="shared" si="62"/>
        <v>1.1499999999999999</v>
      </c>
      <c r="CH10">
        <f t="shared" si="63"/>
        <v>7</v>
      </c>
      <c r="CW10" t="str">
        <f t="shared" si="9"/>
        <v/>
      </c>
      <c r="CX10" t="str">
        <f t="shared" si="10"/>
        <v/>
      </c>
      <c r="CY10">
        <f t="shared" si="11"/>
        <v>0</v>
      </c>
      <c r="CZ10" t="str">
        <f t="shared" si="12"/>
        <v/>
      </c>
      <c r="DA10" t="str">
        <f t="shared" si="13"/>
        <v/>
      </c>
      <c r="DB10" t="str">
        <f t="shared" si="14"/>
        <v/>
      </c>
      <c r="DC10" t="str">
        <f t="shared" si="15"/>
        <v/>
      </c>
      <c r="DD10" t="str">
        <f t="shared" si="16"/>
        <v/>
      </c>
      <c r="DE10" t="str">
        <f t="shared" si="17"/>
        <v/>
      </c>
      <c r="DF10" t="str">
        <f t="shared" si="18"/>
        <v/>
      </c>
      <c r="DG10" t="str">
        <f t="shared" si="19"/>
        <v/>
      </c>
      <c r="DH10" t="str">
        <f t="shared" si="20"/>
        <v/>
      </c>
      <c r="DI10" t="str">
        <f t="shared" si="21"/>
        <v/>
      </c>
      <c r="DJ10" t="str">
        <f t="shared" si="22"/>
        <v/>
      </c>
      <c r="DL10" t="str">
        <f t="shared" si="23"/>
        <v/>
      </c>
      <c r="DM10">
        <f t="shared" si="24"/>
        <v>0</v>
      </c>
      <c r="DN10" t="str">
        <f t="shared" si="25"/>
        <v/>
      </c>
      <c r="DO10" t="str">
        <f t="shared" si="26"/>
        <v/>
      </c>
      <c r="DP10" t="str">
        <f t="shared" si="27"/>
        <v/>
      </c>
      <c r="DQ10" t="str">
        <f t="shared" si="28"/>
        <v/>
      </c>
      <c r="DR10" t="str">
        <f t="shared" si="29"/>
        <v/>
      </c>
      <c r="DS10" t="str">
        <f t="shared" si="30"/>
        <v/>
      </c>
      <c r="DT10" t="str">
        <f t="shared" si="31"/>
        <v/>
      </c>
      <c r="DU10" t="str">
        <f t="shared" si="32"/>
        <v/>
      </c>
      <c r="DV10" t="str">
        <f t="shared" si="33"/>
        <v/>
      </c>
      <c r="DW10" t="str">
        <f t="shared" si="34"/>
        <v/>
      </c>
      <c r="DX10" t="str">
        <f t="shared" si="35"/>
        <v/>
      </c>
      <c r="DY10" t="str">
        <f t="shared" si="36"/>
        <v/>
      </c>
    </row>
    <row r="11" spans="1:129">
      <c r="A11">
        <v>1</v>
      </c>
      <c r="B11">
        <v>8</v>
      </c>
      <c r="C11">
        <v>20.2</v>
      </c>
      <c r="D11">
        <v>3</v>
      </c>
      <c r="E11">
        <v>1</v>
      </c>
      <c r="F11">
        <v>10182</v>
      </c>
      <c r="G11">
        <v>13.2</v>
      </c>
      <c r="H11">
        <v>8</v>
      </c>
      <c r="I11">
        <v>18.100000000000001</v>
      </c>
      <c r="L11">
        <f t="shared" si="37"/>
        <v>2.5249999999999999</v>
      </c>
      <c r="M11">
        <f t="shared" si="38"/>
        <v>12.2</v>
      </c>
      <c r="O11" t="str">
        <f t="shared" si="0"/>
        <v/>
      </c>
      <c r="P11" t="str">
        <f t="shared" si="39"/>
        <v/>
      </c>
      <c r="V11">
        <f t="shared" si="1"/>
        <v>20.2</v>
      </c>
      <c r="W11">
        <f t="shared" si="2"/>
        <v>2.5249999999999999</v>
      </c>
      <c r="AJ11">
        <v>7</v>
      </c>
      <c r="AK11" t="e">
        <f>#REF!</f>
        <v>#REF!</v>
      </c>
      <c r="AL11" s="25" t="str">
        <f>IFERROR(RANK(#REF!,AK5:AK22,0),"")</f>
        <v/>
      </c>
      <c r="AR11" t="str">
        <f t="shared" si="40"/>
        <v/>
      </c>
      <c r="AS11" s="25" t="str">
        <f t="shared" si="41"/>
        <v/>
      </c>
      <c r="AT11" t="str">
        <f t="shared" si="42"/>
        <v/>
      </c>
      <c r="AU11" s="25" t="str">
        <f t="shared" si="43"/>
        <v/>
      </c>
      <c r="AV11">
        <f t="shared" si="44"/>
        <v>13.2</v>
      </c>
      <c r="AW11" s="25">
        <f t="shared" si="43"/>
        <v>1</v>
      </c>
      <c r="AX11" t="str">
        <f t="shared" si="45"/>
        <v/>
      </c>
      <c r="AY11" s="25" t="str">
        <f t="shared" si="3"/>
        <v/>
      </c>
      <c r="AZ11" t="str">
        <f t="shared" si="46"/>
        <v/>
      </c>
      <c r="BA11" s="25" t="str">
        <f t="shared" si="4"/>
        <v/>
      </c>
      <c r="BB11" t="str">
        <f t="shared" si="47"/>
        <v/>
      </c>
      <c r="BC11" s="25" t="str">
        <f t="shared" si="48"/>
        <v/>
      </c>
      <c r="BD11" t="str">
        <f t="shared" si="49"/>
        <v/>
      </c>
      <c r="BE11" s="25" t="str">
        <f t="shared" si="5"/>
        <v/>
      </c>
      <c r="BF11" t="str">
        <f t="shared" si="50"/>
        <v/>
      </c>
      <c r="BG11" s="25" t="str">
        <f t="shared" si="6"/>
        <v/>
      </c>
      <c r="BH11" t="str">
        <f t="shared" si="51"/>
        <v/>
      </c>
      <c r="BI11" s="25" t="str">
        <f t="shared" si="7"/>
        <v/>
      </c>
      <c r="BJ11" t="str">
        <f t="shared" si="52"/>
        <v/>
      </c>
      <c r="BK11" s="25" t="str">
        <f t="shared" si="8"/>
        <v/>
      </c>
      <c r="BM11">
        <f t="array" ref="BM11">IFERROR(VALUE(INDEX(AR:AR,SMALL(IF($AR$5:$AR$150&lt;&gt;"",ROW($AR$5:$AR$150),9999),ROW(A7)))&amp;""),"")</f>
        <v>166.7</v>
      </c>
      <c r="BN11">
        <f t="array" ref="BN11">IFERROR(VALUE(INDEX(AS:AS,SMALL(IF($AS$5:$AS$150&lt;&gt;"",ROW($AS$5:$AS$150),9999),ROW(A7)))&amp;""),"")</f>
        <v>8</v>
      </c>
      <c r="BO11">
        <f t="array" ref="BO11">IFERROR(VALUE(INDEX(AT:AT,SMALL(IF($AT$5:$AT$150&lt;&gt;"",ROW($AT$5:$AT$150),9999),ROW(A7)))&amp;""),"")</f>
        <v>196.9</v>
      </c>
      <c r="BP11">
        <f t="array" ref="BP11">IFERROR(VALUE(INDEX(AU:AU,SMALL(IF($AU$5:$AU$150&lt;&gt;"",ROW($AU$5:$AU$150),9999),ROW(A7)))&amp;""),"")</f>
        <v>8</v>
      </c>
      <c r="BQ11">
        <f t="array" ref="BQ11">IFERROR(VALUE(INDEX(AV:AV,SMALL(IF($AV$5:$AV$150&lt;&gt;"",ROW($AV$5:$AV$150),9999),ROW(A7)))&amp;""),"")</f>
        <v>205.5</v>
      </c>
      <c r="BR11">
        <f t="array" ref="BR11">IFERROR(VALUE(INDEX(AW:AW,SMALL(IF($AW$5:$AW$150&lt;&gt;"",ROW($AW$5:$AW$150),9999),ROW(A7)))&amp;""),"")</f>
        <v>8</v>
      </c>
      <c r="BS11">
        <f t="array" ref="BS11">IFERROR(VALUE(INDEX(AX:AX,SMALL(IF($AX$5:$AX$150&lt;&gt;"",ROW($AX$5:$AX$150),9999),ROW(A7)))&amp;""),"")</f>
        <v>226.7</v>
      </c>
      <c r="BT11">
        <f t="array" ref="BT11">IFERROR(VALUE(INDEX(AY:AY,SMALL(IF($AY$5:$AY$150&lt;&gt;"",ROW($AY$5:$AY$150),9999),ROW(A7)))&amp;""),"")</f>
        <v>7</v>
      </c>
      <c r="BU11">
        <f t="array" ref="BU11">IFERROR(VALUE(INDEX(AZ:AZ,SMALL(IF($AZ$5:$AZ$150&lt;&gt;"",ROW($AZ$5:$AZ$150),9999),ROW(A7)))&amp;""),"")</f>
        <v>216.1</v>
      </c>
      <c r="BV11">
        <f t="array" ref="BV11">IFERROR(VALUE(INDEX(BA:BA,SMALL(IF($BA$5:$BA$150&lt;&gt;"",ROW($BA$5:$BA$150),9999),ROW(A7)))&amp;""),"")</f>
        <v>8</v>
      </c>
      <c r="BX11">
        <f t="shared" si="53"/>
        <v>-75.7</v>
      </c>
      <c r="BY11">
        <f t="shared" si="54"/>
        <v>1.46</v>
      </c>
      <c r="BZ11">
        <f t="shared" si="55"/>
        <v>8</v>
      </c>
      <c r="CA11">
        <f t="shared" si="56"/>
        <v>0.57000000000000006</v>
      </c>
      <c r="CB11">
        <f t="shared" si="57"/>
        <v>8</v>
      </c>
      <c r="CC11">
        <f t="shared" si="58"/>
        <v>0.65</v>
      </c>
      <c r="CD11">
        <f t="shared" si="59"/>
        <v>8</v>
      </c>
      <c r="CE11">
        <f t="shared" si="60"/>
        <v>1.49</v>
      </c>
      <c r="CF11">
        <f t="shared" si="61"/>
        <v>7</v>
      </c>
      <c r="CG11">
        <f t="shared" si="62"/>
        <v>2.1599999999999997</v>
      </c>
      <c r="CH11">
        <f t="shared" si="63"/>
        <v>8</v>
      </c>
      <c r="CW11" t="str">
        <f t="shared" si="9"/>
        <v/>
      </c>
      <c r="CX11" t="str">
        <f t="shared" si="10"/>
        <v/>
      </c>
      <c r="CY11">
        <f t="shared" si="11"/>
        <v>0</v>
      </c>
      <c r="CZ11" t="str">
        <f t="shared" si="12"/>
        <v/>
      </c>
      <c r="DA11" t="str">
        <f t="shared" si="13"/>
        <v/>
      </c>
      <c r="DB11" t="str">
        <f t="shared" si="14"/>
        <v/>
      </c>
      <c r="DC11" t="str">
        <f t="shared" si="15"/>
        <v/>
      </c>
      <c r="DD11" t="str">
        <f t="shared" si="16"/>
        <v/>
      </c>
      <c r="DE11" t="str">
        <f t="shared" si="17"/>
        <v/>
      </c>
      <c r="DF11" t="str">
        <f t="shared" si="18"/>
        <v/>
      </c>
      <c r="DG11" t="str">
        <f t="shared" si="19"/>
        <v/>
      </c>
      <c r="DH11" t="str">
        <f t="shared" si="20"/>
        <v/>
      </c>
      <c r="DI11" t="str">
        <f t="shared" si="21"/>
        <v/>
      </c>
      <c r="DJ11" t="str">
        <f t="shared" si="22"/>
        <v/>
      </c>
      <c r="DL11">
        <f t="shared" si="23"/>
        <v>0</v>
      </c>
      <c r="DM11" t="str">
        <f t="shared" si="24"/>
        <v/>
      </c>
      <c r="DN11" t="str">
        <f t="shared" si="25"/>
        <v/>
      </c>
      <c r="DO11" t="str">
        <f t="shared" si="26"/>
        <v/>
      </c>
      <c r="DP11" t="str">
        <f t="shared" si="27"/>
        <v/>
      </c>
      <c r="DQ11" t="str">
        <f t="shared" si="28"/>
        <v/>
      </c>
      <c r="DR11" t="str">
        <f t="shared" si="29"/>
        <v/>
      </c>
      <c r="DS11" t="str">
        <f t="shared" si="30"/>
        <v/>
      </c>
      <c r="DT11" t="str">
        <f t="shared" si="31"/>
        <v/>
      </c>
      <c r="DU11" t="str">
        <f t="shared" si="32"/>
        <v/>
      </c>
      <c r="DV11" t="str">
        <f t="shared" si="33"/>
        <v/>
      </c>
      <c r="DW11" t="str">
        <f t="shared" si="34"/>
        <v/>
      </c>
      <c r="DX11" t="str">
        <f t="shared" si="35"/>
        <v/>
      </c>
      <c r="DY11" t="str">
        <f t="shared" si="36"/>
        <v/>
      </c>
    </row>
    <row r="12" spans="1:129">
      <c r="A12">
        <v>14</v>
      </c>
      <c r="B12">
        <v>1</v>
      </c>
      <c r="C12">
        <v>20.399999999999999</v>
      </c>
      <c r="D12">
        <v>2</v>
      </c>
      <c r="E12">
        <v>3</v>
      </c>
      <c r="F12">
        <v>10114</v>
      </c>
      <c r="G12">
        <v>19.8</v>
      </c>
      <c r="H12">
        <v>10</v>
      </c>
      <c r="I12">
        <v>19.8</v>
      </c>
      <c r="L12">
        <f t="shared" si="37"/>
        <v>2.04</v>
      </c>
      <c r="M12">
        <f t="shared" si="38"/>
        <v>10.399999999999999</v>
      </c>
      <c r="O12">
        <f t="shared" si="0"/>
        <v>20.399999999999999</v>
      </c>
      <c r="P12">
        <f t="shared" si="39"/>
        <v>2.04</v>
      </c>
      <c r="V12" t="str">
        <f t="shared" si="1"/>
        <v/>
      </c>
      <c r="W12" t="str">
        <f t="shared" si="2"/>
        <v/>
      </c>
      <c r="AJ12">
        <v>8</v>
      </c>
      <c r="AK12" t="e">
        <f>#REF!</f>
        <v>#REF!</v>
      </c>
      <c r="AL12" s="25" t="str">
        <f>IFERROR(RANK(#REF!,AK5:AK22,0),"")</f>
        <v/>
      </c>
      <c r="AR12" t="str">
        <f t="shared" si="40"/>
        <v/>
      </c>
      <c r="AS12" s="25" t="str">
        <f t="shared" si="41"/>
        <v/>
      </c>
      <c r="AT12">
        <f t="shared" si="42"/>
        <v>19.8</v>
      </c>
      <c r="AU12" s="25">
        <f t="shared" si="43"/>
        <v>3</v>
      </c>
      <c r="AV12" t="str">
        <f t="shared" si="44"/>
        <v/>
      </c>
      <c r="AW12" s="25" t="str">
        <f t="shared" si="43"/>
        <v/>
      </c>
      <c r="AX12" t="str">
        <f t="shared" si="45"/>
        <v/>
      </c>
      <c r="AY12" s="25" t="str">
        <f t="shared" si="3"/>
        <v/>
      </c>
      <c r="AZ12" t="str">
        <f t="shared" si="46"/>
        <v/>
      </c>
      <c r="BA12" s="25" t="str">
        <f t="shared" si="4"/>
        <v/>
      </c>
      <c r="BB12" t="str">
        <f t="shared" si="47"/>
        <v/>
      </c>
      <c r="BC12" s="25" t="str">
        <f t="shared" si="48"/>
        <v/>
      </c>
      <c r="BD12" t="str">
        <f t="shared" si="49"/>
        <v/>
      </c>
      <c r="BE12" s="25" t="str">
        <f t="shared" si="5"/>
        <v/>
      </c>
      <c r="BF12" t="str">
        <f t="shared" si="50"/>
        <v/>
      </c>
      <c r="BG12" s="25" t="str">
        <f t="shared" si="6"/>
        <v/>
      </c>
      <c r="BH12" t="str">
        <f t="shared" si="51"/>
        <v/>
      </c>
      <c r="BI12" s="25" t="str">
        <f t="shared" si="7"/>
        <v/>
      </c>
      <c r="BJ12" t="str">
        <f t="shared" si="52"/>
        <v/>
      </c>
      <c r="BK12" s="25" t="str">
        <f t="shared" si="8"/>
        <v/>
      </c>
      <c r="BM12">
        <f t="array" ref="BM12">IFERROR(VALUE(INDEX(AR:AR,SMALL(IF($AR$5:$AR$150&lt;&gt;"",ROW($AR$5:$AR$150),9999),ROW(A8)))&amp;""),"")</f>
        <v>242.4</v>
      </c>
      <c r="BN12">
        <f t="array" ref="BN12">IFERROR(VALUE(INDEX(AS:AS,SMALL(IF($AS$5:$AS$150&lt;&gt;"",ROW($AS$5:$AS$150),9999),ROW(A8)))&amp;""),"")</f>
        <v>9</v>
      </c>
      <c r="BO12">
        <f t="array" ref="BO12">IFERROR(VALUE(INDEX(AT:AT,SMALL(IF($AT$5:$AT$150&lt;&gt;"",ROW($AT$5:$AT$150),9999),ROW(A8)))&amp;""),"")</f>
        <v>111.6</v>
      </c>
      <c r="BP12">
        <f t="array" ref="BP12">IFERROR(VALUE(INDEX(AU:AU,SMALL(IF($AU$5:$AU$150&lt;&gt;"",ROW($AU$5:$AU$150),9999),ROW(A8)))&amp;""),"")</f>
        <v>9</v>
      </c>
      <c r="BQ12">
        <f t="array" ref="BQ12">IFERROR(VALUE(INDEX(AV:AV,SMALL(IF($AV$5:$AV$150&lt;&gt;"",ROW($AV$5:$AV$150),9999),ROW(A8)))&amp;""),"")</f>
        <v>132.69999999999999</v>
      </c>
      <c r="BR12">
        <f t="array" ref="BR12">IFERROR(VALUE(INDEX(AW:AW,SMALL(IF($AW$5:$AW$150&lt;&gt;"",ROW($AW$5:$AW$150),9999),ROW(A8)))&amp;""),"")</f>
        <v>9</v>
      </c>
      <c r="BS12">
        <f t="array" ref="BS12">IFERROR(VALUE(INDEX(AX:AX,SMALL(IF($AX$5:$AX$150&lt;&gt;"",ROW($AX$5:$AX$150),9999),ROW(A8)))&amp;""),"")</f>
        <v>337</v>
      </c>
      <c r="BT12">
        <f t="array" ref="BT12">IFERROR(VALUE(INDEX(AY:AY,SMALL(IF($AY$5:$AY$150&lt;&gt;"",ROW($AY$5:$AY$150),9999),ROW(A8)))&amp;""),"")</f>
        <v>9</v>
      </c>
      <c r="BU12">
        <f t="array" ref="BU12">IFERROR(VALUE(INDEX(AZ:AZ,SMALL(IF($AZ$5:$AZ$150&lt;&gt;"",ROW($AZ$5:$AZ$150),9999),ROW(A8)))&amp;""),"")</f>
        <v>465.3</v>
      </c>
      <c r="BV12">
        <f t="array" ref="BV12">IFERROR(VALUE(INDEX(BA:BA,SMALL(IF($BA$5:$BA$150&lt;&gt;"",ROW($BA$5:$BA$150),9999),ROW(A8)))&amp;""),"")</f>
        <v>9</v>
      </c>
      <c r="BX12">
        <f t="shared" si="53"/>
        <v>-308.5</v>
      </c>
      <c r="BY12">
        <f t="shared" si="54"/>
        <v>2.2799999999999998</v>
      </c>
      <c r="BZ12">
        <f t="shared" si="55"/>
        <v>9</v>
      </c>
      <c r="CA12">
        <f t="shared" si="56"/>
        <v>1.21</v>
      </c>
      <c r="CB12">
        <f t="shared" si="57"/>
        <v>9</v>
      </c>
      <c r="CC12">
        <f t="shared" si="58"/>
        <v>5.45</v>
      </c>
      <c r="CD12">
        <f t="shared" si="59"/>
        <v>9</v>
      </c>
      <c r="CE12">
        <f t="shared" si="60"/>
        <v>1.82</v>
      </c>
      <c r="CF12">
        <f t="shared" si="61"/>
        <v>9</v>
      </c>
      <c r="CG12">
        <f t="shared" si="62"/>
        <v>1.83</v>
      </c>
      <c r="CH12">
        <f t="shared" si="63"/>
        <v>9</v>
      </c>
      <c r="CW12" t="str">
        <f t="shared" si="9"/>
        <v/>
      </c>
      <c r="CX12">
        <f t="shared" si="10"/>
        <v>0</v>
      </c>
      <c r="CY12" t="str">
        <f t="shared" si="11"/>
        <v/>
      </c>
      <c r="CZ12" t="str">
        <f t="shared" si="12"/>
        <v/>
      </c>
      <c r="DA12" t="str">
        <f t="shared" si="13"/>
        <v/>
      </c>
      <c r="DB12" t="str">
        <f t="shared" si="14"/>
        <v/>
      </c>
      <c r="DC12" t="str">
        <f t="shared" si="15"/>
        <v/>
      </c>
      <c r="DD12" t="str">
        <f t="shared" si="16"/>
        <v/>
      </c>
      <c r="DE12" t="str">
        <f t="shared" si="17"/>
        <v/>
      </c>
      <c r="DF12" t="str">
        <f t="shared" si="18"/>
        <v/>
      </c>
      <c r="DG12" t="str">
        <f t="shared" si="19"/>
        <v/>
      </c>
      <c r="DH12" t="str">
        <f t="shared" si="20"/>
        <v/>
      </c>
      <c r="DI12" t="str">
        <f t="shared" si="21"/>
        <v/>
      </c>
      <c r="DJ12" t="str">
        <f t="shared" si="22"/>
        <v/>
      </c>
      <c r="DL12" t="str">
        <f t="shared" si="23"/>
        <v/>
      </c>
      <c r="DM12" t="str">
        <f t="shared" si="24"/>
        <v/>
      </c>
      <c r="DN12">
        <f t="shared" si="25"/>
        <v>0</v>
      </c>
      <c r="DO12" t="str">
        <f t="shared" si="26"/>
        <v/>
      </c>
      <c r="DP12" t="str">
        <f t="shared" si="27"/>
        <v/>
      </c>
      <c r="DQ12" t="str">
        <f t="shared" si="28"/>
        <v/>
      </c>
      <c r="DR12" t="str">
        <f t="shared" si="29"/>
        <v/>
      </c>
      <c r="DS12" t="str">
        <f t="shared" si="30"/>
        <v/>
      </c>
      <c r="DT12" t="str">
        <f t="shared" si="31"/>
        <v/>
      </c>
      <c r="DU12" t="str">
        <f t="shared" si="32"/>
        <v/>
      </c>
      <c r="DV12" t="str">
        <f t="shared" si="33"/>
        <v/>
      </c>
      <c r="DW12" t="str">
        <f t="shared" si="34"/>
        <v/>
      </c>
      <c r="DX12" t="str">
        <f t="shared" si="35"/>
        <v/>
      </c>
      <c r="DY12" t="str">
        <f t="shared" si="36"/>
        <v/>
      </c>
    </row>
    <row r="13" spans="1:129">
      <c r="A13">
        <v>14</v>
      </c>
      <c r="B13">
        <v>2</v>
      </c>
      <c r="C13">
        <v>20.8</v>
      </c>
      <c r="D13">
        <v>2</v>
      </c>
      <c r="E13">
        <v>4</v>
      </c>
      <c r="F13">
        <v>9928</v>
      </c>
      <c r="G13">
        <v>24.7</v>
      </c>
      <c r="H13">
        <v>11.3</v>
      </c>
      <c r="I13">
        <v>20.8</v>
      </c>
      <c r="L13">
        <f t="shared" si="37"/>
        <v>1.8407079646017699</v>
      </c>
      <c r="M13">
        <f t="shared" si="38"/>
        <v>9.5</v>
      </c>
      <c r="O13">
        <f t="shared" si="0"/>
        <v>20.8</v>
      </c>
      <c r="P13">
        <f t="shared" si="39"/>
        <v>1.8407079646017699</v>
      </c>
      <c r="V13" t="str">
        <f t="shared" si="1"/>
        <v/>
      </c>
      <c r="W13" t="str">
        <f t="shared" si="2"/>
        <v/>
      </c>
      <c r="AJ13">
        <v>9</v>
      </c>
      <c r="AK13" t="e">
        <f>#REF!</f>
        <v>#REF!</v>
      </c>
      <c r="AL13" s="25" t="str">
        <f>IFERROR(RANK(AK13,AK5:AK22,0),"")</f>
        <v/>
      </c>
      <c r="AR13" t="str">
        <f t="shared" si="40"/>
        <v/>
      </c>
      <c r="AS13" s="25" t="str">
        <f t="shared" si="41"/>
        <v/>
      </c>
      <c r="AT13">
        <f t="shared" si="42"/>
        <v>24.7</v>
      </c>
      <c r="AU13" s="25">
        <f t="shared" si="43"/>
        <v>4</v>
      </c>
      <c r="AV13" t="str">
        <f t="shared" si="44"/>
        <v/>
      </c>
      <c r="AW13" s="25" t="str">
        <f t="shared" si="43"/>
        <v/>
      </c>
      <c r="AX13" t="str">
        <f t="shared" si="45"/>
        <v/>
      </c>
      <c r="AY13" s="25" t="str">
        <f t="shared" si="3"/>
        <v/>
      </c>
      <c r="AZ13" t="str">
        <f t="shared" si="46"/>
        <v/>
      </c>
      <c r="BA13" s="25" t="str">
        <f t="shared" si="4"/>
        <v/>
      </c>
      <c r="BB13" t="str">
        <f t="shared" si="47"/>
        <v/>
      </c>
      <c r="BC13" s="25" t="str">
        <f t="shared" si="48"/>
        <v/>
      </c>
      <c r="BD13" t="str">
        <f t="shared" si="49"/>
        <v/>
      </c>
      <c r="BE13" s="25" t="str">
        <f t="shared" si="5"/>
        <v/>
      </c>
      <c r="BF13" t="str">
        <f t="shared" si="50"/>
        <v/>
      </c>
      <c r="BG13" s="25" t="str">
        <f t="shared" si="6"/>
        <v/>
      </c>
      <c r="BH13" t="str">
        <f t="shared" si="51"/>
        <v/>
      </c>
      <c r="BI13" s="25" t="str">
        <f t="shared" si="7"/>
        <v/>
      </c>
      <c r="BJ13" t="str">
        <f t="shared" si="52"/>
        <v/>
      </c>
      <c r="BK13" s="25" t="str">
        <f t="shared" si="8"/>
        <v/>
      </c>
      <c r="BM13">
        <f t="array" ref="BM13">IFERROR(VALUE(INDEX(AR:AR,SMALL(IF($AR$5:$AR$150&lt;&gt;"",ROW($AR$5:$AR$150),9999),ROW(A9)))&amp;""),"")</f>
        <v>550.9</v>
      </c>
      <c r="BN13">
        <f t="array" ref="BN13">IFERROR(VALUE(INDEX(AS:AS,SMALL(IF($AS$5:$AS$150&lt;&gt;"",ROW($AS$5:$AS$150),9999),ROW(A9)))&amp;""),"")</f>
        <v>10</v>
      </c>
      <c r="BO13">
        <f t="array" ref="BO13">IFERROR(VALUE(INDEX(AT:AT,SMALL(IF($AT$5:$AT$150&lt;&gt;"",ROW($AT$5:$AT$150),9999),ROW(A9)))&amp;""),"")</f>
        <v>134.6</v>
      </c>
      <c r="BP13">
        <f t="array" ref="BP13">IFERROR(VALUE(INDEX(AU:AU,SMALL(IF($AU$5:$AU$150&lt;&gt;"",ROW($AU$5:$AU$150),9999),ROW(A9)))&amp;""),"")</f>
        <v>10</v>
      </c>
      <c r="BQ13">
        <f t="array" ref="BQ13">IFERROR(VALUE(INDEX(AV:AV,SMALL(IF($AV$5:$AV$150&lt;&gt;"",ROW($AV$5:$AV$150),9999),ROW(A9)))&amp;""),"")</f>
        <v>722.4</v>
      </c>
      <c r="BR13">
        <f t="array" ref="BR13">IFERROR(VALUE(INDEX(AW:AW,SMALL(IF($AW$5:$AW$150&lt;&gt;"",ROW($AW$5:$AW$150),9999),ROW(A9)))&amp;""),"")</f>
        <v>10</v>
      </c>
      <c r="BS13">
        <f t="array" ref="BS13">IFERROR(VALUE(INDEX(AX:AX,SMALL(IF($AX$5:$AX$150&lt;&gt;"",ROW($AX$5:$AX$150),9999),ROW(A9)))&amp;""),"")</f>
        <v>613</v>
      </c>
      <c r="BT13">
        <f t="array" ref="BT13">IFERROR(VALUE(INDEX(AY:AY,SMALL(IF($AY$5:$AY$150&lt;&gt;"",ROW($AY$5:$AY$150),9999),ROW(A9)))&amp;""),"")</f>
        <v>10</v>
      </c>
      <c r="BU13">
        <f t="array" ref="BU13">IFERROR(VALUE(INDEX(AZ:AZ,SMALL(IF($AZ$5:$AZ$150&lt;&gt;"",ROW($AZ$5:$AZ$150),9999),ROW(A9)))&amp;""),"")</f>
        <v>850.2</v>
      </c>
      <c r="BV13">
        <f t="array" ref="BV13">IFERROR(VALUE(INDEX(BA:BA,SMALL(IF($BA$5:$BA$150&lt;&gt;"",ROW($BA$5:$BA$150),9999),ROW(A9)))&amp;""),"")</f>
        <v>10</v>
      </c>
      <c r="BX13">
        <f t="shared" si="53"/>
        <v>-466.8</v>
      </c>
      <c r="BY13">
        <f t="shared" si="54"/>
        <v>1.85</v>
      </c>
      <c r="BZ13">
        <f t="shared" si="55"/>
        <v>10</v>
      </c>
      <c r="CA13">
        <f t="shared" si="56"/>
        <v>7.46</v>
      </c>
      <c r="CB13">
        <f t="shared" si="57"/>
        <v>10</v>
      </c>
      <c r="CC13">
        <f t="shared" si="58"/>
        <v>1.62</v>
      </c>
      <c r="CD13">
        <f t="shared" si="59"/>
        <v>10</v>
      </c>
      <c r="CE13">
        <f t="shared" si="60"/>
        <v>1.95</v>
      </c>
      <c r="CF13">
        <f t="shared" si="61"/>
        <v>10</v>
      </c>
      <c r="CG13">
        <f t="shared" si="62"/>
        <v>1.53</v>
      </c>
      <c r="CH13">
        <f t="shared" si="63"/>
        <v>10</v>
      </c>
      <c r="CW13" t="str">
        <f t="shared" si="9"/>
        <v/>
      </c>
      <c r="CX13">
        <f t="shared" si="10"/>
        <v>0</v>
      </c>
      <c r="CY13" t="str">
        <f t="shared" si="11"/>
        <v/>
      </c>
      <c r="CZ13" t="str">
        <f t="shared" si="12"/>
        <v/>
      </c>
      <c r="DA13" t="str">
        <f t="shared" si="13"/>
        <v/>
      </c>
      <c r="DB13" t="str">
        <f t="shared" si="14"/>
        <v/>
      </c>
      <c r="DC13" t="str">
        <f t="shared" si="15"/>
        <v/>
      </c>
      <c r="DD13" t="str">
        <f t="shared" si="16"/>
        <v/>
      </c>
      <c r="DE13" t="str">
        <f t="shared" si="17"/>
        <v/>
      </c>
      <c r="DF13" t="str">
        <f t="shared" si="18"/>
        <v/>
      </c>
      <c r="DG13" t="str">
        <f t="shared" si="19"/>
        <v/>
      </c>
      <c r="DH13" t="str">
        <f t="shared" si="20"/>
        <v/>
      </c>
      <c r="DI13" t="str">
        <f t="shared" si="21"/>
        <v/>
      </c>
      <c r="DJ13" t="str">
        <f t="shared" si="22"/>
        <v/>
      </c>
      <c r="DL13" t="str">
        <f t="shared" si="23"/>
        <v/>
      </c>
      <c r="DM13" t="str">
        <f t="shared" si="24"/>
        <v/>
      </c>
      <c r="DN13" t="str">
        <f t="shared" si="25"/>
        <v/>
      </c>
      <c r="DO13">
        <f t="shared" si="26"/>
        <v>0</v>
      </c>
      <c r="DP13" t="str">
        <f t="shared" si="27"/>
        <v/>
      </c>
      <c r="DQ13" t="str">
        <f t="shared" si="28"/>
        <v/>
      </c>
      <c r="DR13" t="str">
        <f t="shared" si="29"/>
        <v/>
      </c>
      <c r="DS13" t="str">
        <f t="shared" si="30"/>
        <v/>
      </c>
      <c r="DT13" t="str">
        <f t="shared" si="31"/>
        <v/>
      </c>
      <c r="DU13" t="str">
        <f t="shared" si="32"/>
        <v/>
      </c>
      <c r="DV13" t="str">
        <f t="shared" si="33"/>
        <v/>
      </c>
      <c r="DW13" t="str">
        <f t="shared" si="34"/>
        <v/>
      </c>
      <c r="DX13" t="str">
        <f t="shared" si="35"/>
        <v/>
      </c>
      <c r="DY13" t="str">
        <f t="shared" si="36"/>
        <v/>
      </c>
    </row>
    <row r="14" spans="1:129">
      <c r="A14">
        <v>2</v>
      </c>
      <c r="B14">
        <v>14</v>
      </c>
      <c r="C14">
        <v>24.7</v>
      </c>
      <c r="D14">
        <v>4</v>
      </c>
      <c r="E14">
        <v>2</v>
      </c>
      <c r="F14">
        <v>8359</v>
      </c>
      <c r="G14">
        <v>20.8</v>
      </c>
      <c r="H14">
        <v>11.3</v>
      </c>
      <c r="I14">
        <v>25.2</v>
      </c>
      <c r="L14">
        <f t="shared" si="37"/>
        <v>2.1858407079646014</v>
      </c>
      <c r="M14">
        <f t="shared" si="38"/>
        <v>13.399999999999999</v>
      </c>
      <c r="O14" t="str">
        <f t="shared" si="0"/>
        <v/>
      </c>
      <c r="P14" t="str">
        <f t="shared" si="39"/>
        <v/>
      </c>
      <c r="V14">
        <f t="shared" si="1"/>
        <v>24.7</v>
      </c>
      <c r="W14">
        <f t="shared" si="2"/>
        <v>2.1858407079646014</v>
      </c>
      <c r="AJ14">
        <v>10</v>
      </c>
      <c r="AK14" t="e">
        <f>#REF!</f>
        <v>#REF!</v>
      </c>
      <c r="AL14" s="25" t="str">
        <f>IFERROR(RANK(AK14,AK5:AK22,0),"")</f>
        <v/>
      </c>
      <c r="AR14" t="str">
        <f t="shared" si="40"/>
        <v/>
      </c>
      <c r="AS14" s="25" t="str">
        <f t="shared" si="41"/>
        <v/>
      </c>
      <c r="AT14" t="str">
        <f t="shared" si="42"/>
        <v/>
      </c>
      <c r="AU14" s="25" t="str">
        <f t="shared" si="43"/>
        <v/>
      </c>
      <c r="AV14" t="str">
        <f t="shared" si="44"/>
        <v/>
      </c>
      <c r="AW14" s="25" t="str">
        <f t="shared" si="43"/>
        <v/>
      </c>
      <c r="AX14">
        <f t="shared" si="45"/>
        <v>20.8</v>
      </c>
      <c r="AY14" s="25">
        <f t="shared" si="3"/>
        <v>2</v>
      </c>
      <c r="AZ14" t="str">
        <f t="shared" si="46"/>
        <v/>
      </c>
      <c r="BA14" s="25" t="str">
        <f t="shared" si="4"/>
        <v/>
      </c>
      <c r="BB14" t="str">
        <f t="shared" si="47"/>
        <v/>
      </c>
      <c r="BC14" s="25" t="str">
        <f t="shared" si="48"/>
        <v/>
      </c>
      <c r="BD14" t="str">
        <f t="shared" si="49"/>
        <v/>
      </c>
      <c r="BE14" s="25" t="str">
        <f t="shared" si="5"/>
        <v/>
      </c>
      <c r="BF14" t="str">
        <f t="shared" si="50"/>
        <v/>
      </c>
      <c r="BG14" s="25" t="str">
        <f t="shared" si="6"/>
        <v/>
      </c>
      <c r="BH14" t="str">
        <f t="shared" si="51"/>
        <v/>
      </c>
      <c r="BI14" s="25" t="str">
        <f t="shared" si="7"/>
        <v/>
      </c>
      <c r="BJ14" t="str">
        <f t="shared" si="52"/>
        <v/>
      </c>
      <c r="BK14" s="25" t="str">
        <f t="shared" si="8"/>
        <v/>
      </c>
      <c r="BM14">
        <f t="array" ref="BM14">IFERROR(VALUE(INDEX(AR:AR,SMALL(IF($AR$5:$AR$150&lt;&gt;"",ROW($AR$5:$AR$150),9999),ROW(A10)))&amp;""),"")</f>
        <v>1017.7</v>
      </c>
      <c r="BN14">
        <f t="array" ref="BN14">IFERROR(VALUE(INDEX(AS:AS,SMALL(IF($AS$5:$AS$150&lt;&gt;"",ROW($AS$5:$AS$150),9999),ROW(A10)))&amp;""),"")</f>
        <v>11</v>
      </c>
      <c r="BO14">
        <f t="array" ref="BO14">IFERROR(VALUE(INDEX(AT:AT,SMALL(IF($AT$5:$AT$150&lt;&gt;"",ROW($AT$5:$AT$150),9999),ROW(A10)))&amp;""),"")</f>
        <v>1002.9</v>
      </c>
      <c r="BP14">
        <f t="array" ref="BP14">IFERROR(VALUE(INDEX(AU:AU,SMALL(IF($AU$5:$AU$150&lt;&gt;"",ROW($AU$5:$AU$150),9999),ROW(A10)))&amp;""),"")</f>
        <v>11</v>
      </c>
      <c r="BQ14">
        <f t="array" ref="BQ14">IFERROR(VALUE(INDEX(AV:AV,SMALL(IF($AV$5:$AV$150&lt;&gt;"",ROW($AV$5:$AV$150),9999),ROW(A10)))&amp;""),"")</f>
        <v>1167.2</v>
      </c>
      <c r="BR14">
        <f t="array" ref="BR14">IFERROR(VALUE(INDEX(AW:AW,SMALL(IF($AW$5:$AW$150&lt;&gt;"",ROW($AW$5:$AW$150),9999),ROW(A10)))&amp;""),"")</f>
        <v>11</v>
      </c>
      <c r="BS14">
        <f t="array" ref="BS14">IFERROR(VALUE(INDEX(AX:AX,SMALL(IF($AX$5:$AX$150&lt;&gt;"",ROW($AX$5:$AX$150),9999),ROW(A10)))&amp;""),"")</f>
        <v>1194.2</v>
      </c>
      <c r="BT14">
        <f t="array" ref="BT14">IFERROR(VALUE(INDEX(AY:AY,SMALL(IF($AY$5:$AY$150&lt;&gt;"",ROW($AY$5:$AY$150),9999),ROW(A10)))&amp;""),"")</f>
        <v>11</v>
      </c>
      <c r="BU14">
        <f t="array" ref="BU14">IFERROR(VALUE(INDEX(AZ:AZ,SMALL(IF($AZ$5:$AZ$150&lt;&gt;"",ROW($AZ$5:$AZ$150),9999),ROW(A10)))&amp;""),"")</f>
        <v>1299.4000000000001</v>
      </c>
      <c r="BV14">
        <f t="array" ref="BV14">IFERROR(VALUE(INDEX(BA:BA,SMALL(IF($BA$5:$BA$150&lt;&gt;"",ROW($BA$5:$BA$150),9999),ROW(A10)))&amp;""),"")</f>
        <v>11</v>
      </c>
      <c r="BX14">
        <f t="shared" si="53"/>
        <v>-571.5</v>
      </c>
      <c r="BY14">
        <f t="shared" si="54"/>
        <v>1.57</v>
      </c>
      <c r="BZ14">
        <f t="shared" si="55"/>
        <v>11</v>
      </c>
      <c r="CA14">
        <f t="shared" si="56"/>
        <v>1.57</v>
      </c>
      <c r="CB14">
        <f t="shared" si="57"/>
        <v>11</v>
      </c>
      <c r="CC14">
        <f t="shared" si="58"/>
        <v>1.64</v>
      </c>
      <c r="CD14">
        <f t="shared" si="59"/>
        <v>11</v>
      </c>
      <c r="CE14">
        <f t="shared" si="60"/>
        <v>1.65</v>
      </c>
      <c r="CF14">
        <f t="shared" si="61"/>
        <v>11</v>
      </c>
      <c r="CG14">
        <f t="shared" si="62"/>
        <v>1.22</v>
      </c>
      <c r="CH14">
        <f t="shared" si="63"/>
        <v>11</v>
      </c>
      <c r="CW14" t="str">
        <f t="shared" si="9"/>
        <v/>
      </c>
      <c r="CX14" t="str">
        <f t="shared" si="10"/>
        <v/>
      </c>
      <c r="CY14" t="str">
        <f t="shared" si="11"/>
        <v/>
      </c>
      <c r="CZ14">
        <f t="shared" si="12"/>
        <v>0</v>
      </c>
      <c r="DA14" t="str">
        <f t="shared" si="13"/>
        <v/>
      </c>
      <c r="DB14" t="str">
        <f t="shared" si="14"/>
        <v/>
      </c>
      <c r="DC14" t="str">
        <f t="shared" si="15"/>
        <v/>
      </c>
      <c r="DD14" t="str">
        <f t="shared" si="16"/>
        <v/>
      </c>
      <c r="DE14" t="str">
        <f t="shared" si="17"/>
        <v/>
      </c>
      <c r="DF14" t="str">
        <f t="shared" si="18"/>
        <v/>
      </c>
      <c r="DG14" t="str">
        <f t="shared" si="19"/>
        <v/>
      </c>
      <c r="DH14" t="str">
        <f t="shared" si="20"/>
        <v/>
      </c>
      <c r="DI14" t="str">
        <f t="shared" si="21"/>
        <v/>
      </c>
      <c r="DJ14" t="str">
        <f t="shared" si="22"/>
        <v/>
      </c>
      <c r="DL14" t="str">
        <f t="shared" si="23"/>
        <v/>
      </c>
      <c r="DM14">
        <f t="shared" si="24"/>
        <v>0</v>
      </c>
      <c r="DN14" t="str">
        <f t="shared" si="25"/>
        <v/>
      </c>
      <c r="DO14" t="str">
        <f t="shared" si="26"/>
        <v/>
      </c>
      <c r="DP14" t="str">
        <f t="shared" si="27"/>
        <v/>
      </c>
      <c r="DQ14" t="str">
        <f t="shared" si="28"/>
        <v/>
      </c>
      <c r="DR14" t="str">
        <f t="shared" si="29"/>
        <v/>
      </c>
      <c r="DS14" t="str">
        <f t="shared" si="30"/>
        <v/>
      </c>
      <c r="DT14" t="str">
        <f t="shared" si="31"/>
        <v/>
      </c>
      <c r="DU14" t="str">
        <f t="shared" si="32"/>
        <v/>
      </c>
      <c r="DV14" t="str">
        <f t="shared" si="33"/>
        <v/>
      </c>
      <c r="DW14" t="str">
        <f t="shared" si="34"/>
        <v/>
      </c>
      <c r="DX14" t="str">
        <f t="shared" si="35"/>
        <v/>
      </c>
      <c r="DY14" t="str">
        <f t="shared" si="36"/>
        <v/>
      </c>
    </row>
    <row r="15" spans="1:129">
      <c r="A15">
        <v>1</v>
      </c>
      <c r="B15">
        <v>2</v>
      </c>
      <c r="C15">
        <v>27.4</v>
      </c>
      <c r="D15">
        <v>3</v>
      </c>
      <c r="E15">
        <v>4</v>
      </c>
      <c r="F15">
        <v>7516</v>
      </c>
      <c r="G15">
        <v>30.1</v>
      </c>
      <c r="H15">
        <v>14.3</v>
      </c>
      <c r="I15">
        <v>25.5</v>
      </c>
      <c r="L15">
        <f t="shared" si="37"/>
        <v>1.9160839160839158</v>
      </c>
      <c r="M15">
        <f t="shared" si="38"/>
        <v>13.099999999999998</v>
      </c>
      <c r="O15">
        <f t="shared" si="0"/>
        <v>27.4</v>
      </c>
      <c r="P15">
        <f t="shared" si="39"/>
        <v>1.9160839160839158</v>
      </c>
      <c r="V15" t="str">
        <f t="shared" si="1"/>
        <v/>
      </c>
      <c r="W15" t="str">
        <f t="shared" si="2"/>
        <v/>
      </c>
      <c r="AJ15">
        <v>11</v>
      </c>
      <c r="AK15" t="e">
        <f>#REF!</f>
        <v>#REF!</v>
      </c>
      <c r="AL15" s="25" t="str">
        <f>IFERROR(RANK(AK15,AK5:AK22,0),"")</f>
        <v/>
      </c>
      <c r="AR15" t="str">
        <f t="shared" si="40"/>
        <v/>
      </c>
      <c r="AS15" s="25" t="str">
        <f t="shared" si="41"/>
        <v/>
      </c>
      <c r="AT15" t="str">
        <f t="shared" si="42"/>
        <v/>
      </c>
      <c r="AU15" s="25" t="str">
        <f t="shared" si="43"/>
        <v/>
      </c>
      <c r="AV15">
        <f t="shared" si="44"/>
        <v>30.1</v>
      </c>
      <c r="AW15" s="25">
        <f t="shared" si="43"/>
        <v>4</v>
      </c>
      <c r="AX15" t="str">
        <f t="shared" si="45"/>
        <v/>
      </c>
      <c r="AY15" s="25" t="str">
        <f t="shared" si="3"/>
        <v/>
      </c>
      <c r="AZ15" t="str">
        <f t="shared" si="46"/>
        <v/>
      </c>
      <c r="BA15" s="25" t="str">
        <f t="shared" si="4"/>
        <v/>
      </c>
      <c r="BB15" t="str">
        <f t="shared" si="47"/>
        <v/>
      </c>
      <c r="BC15" s="25" t="str">
        <f t="shared" si="48"/>
        <v/>
      </c>
      <c r="BD15" t="str">
        <f t="shared" si="49"/>
        <v/>
      </c>
      <c r="BE15" s="25" t="str">
        <f t="shared" si="5"/>
        <v/>
      </c>
      <c r="BF15" t="str">
        <f t="shared" si="50"/>
        <v/>
      </c>
      <c r="BG15" s="25" t="str">
        <f t="shared" si="6"/>
        <v/>
      </c>
      <c r="BH15" t="str">
        <f t="shared" si="51"/>
        <v/>
      </c>
      <c r="BI15" s="25" t="str">
        <f t="shared" si="7"/>
        <v/>
      </c>
      <c r="BJ15" t="str">
        <f t="shared" si="52"/>
        <v/>
      </c>
      <c r="BK15" s="25" t="str">
        <f t="shared" si="8"/>
        <v/>
      </c>
      <c r="BM15">
        <f t="array" ref="BM15">IFERROR(VALUE(INDEX(AR:AR,SMALL(IF($AR$5:$AR$150&lt;&gt;"",ROW($AR$5:$AR$150),9999),ROW(A11)))&amp;""),"")</f>
        <v>1589.2</v>
      </c>
      <c r="BN15">
        <f t="array" ref="BN15">IFERROR(VALUE(INDEX(AS:AS,SMALL(IF($AS$5:$AS$150&lt;&gt;"",ROW($AS$5:$AS$150),9999),ROW(A11)))&amp;""),"")</f>
        <v>14</v>
      </c>
      <c r="BO15">
        <f t="array" ref="BO15">IFERROR(VALUE(INDEX(AT:AT,SMALL(IF($AT$5:$AT$150&lt;&gt;"",ROW($AT$5:$AT$150),9999),ROW(A11)))&amp;""),"")</f>
        <v>1565.2</v>
      </c>
      <c r="BP15">
        <f t="array" ref="BP15">IFERROR(VALUE(INDEX(AU:AU,SMALL(IF($AU$5:$AU$150&lt;&gt;"",ROW($AU$5:$AU$150),9999),ROW(A11)))&amp;""),"")</f>
        <v>13</v>
      </c>
      <c r="BQ15">
        <f t="array" ref="BQ15">IFERROR(VALUE(INDEX(AV:AV,SMALL(IF($AV$5:$AV$150&lt;&gt;"",ROW($AV$5:$AV$150),9999),ROW(A11)))&amp;""),"")</f>
        <v>1913</v>
      </c>
      <c r="BR15">
        <f t="array" ref="BR15">IFERROR(VALUE(INDEX(AW:AW,SMALL(IF($AW$5:$AW$150&lt;&gt;"",ROW($AW$5:$AW$150),9999),ROW(A11)))&amp;""),"")</f>
        <v>14</v>
      </c>
      <c r="BS15">
        <f t="array" ref="BS15">IFERROR(VALUE(INDEX(AX:AX,SMALL(IF($AX$5:$AX$150&lt;&gt;"",ROW($AX$5:$AX$150),9999),ROW(A11)))&amp;""),"")</f>
        <v>1967.6</v>
      </c>
      <c r="BT15">
        <f t="array" ref="BT15">IFERROR(VALUE(INDEX(AY:AY,SMALL(IF($AY$5:$AY$150&lt;&gt;"",ROW($AY$5:$AY$150),9999),ROW(A11)))&amp;""),"")</f>
        <v>13</v>
      </c>
      <c r="BU15">
        <f t="array" ref="BU15">IFERROR(VALUE(INDEX(AZ:AZ,SMALL(IF($AZ$5:$AZ$150&lt;&gt;"",ROW($AZ$5:$AZ$150),9999),ROW(A11)))&amp;""),"")</f>
        <v>1577.1</v>
      </c>
      <c r="BV15">
        <f t="array" ref="BV15">IFERROR(VALUE(INDEX(BA:BA,SMALL(IF($BA$5:$BA$150&lt;&gt;"",ROW($BA$5:$BA$150),9999),ROW(A11)))&amp;""),"")</f>
        <v>12</v>
      </c>
      <c r="BX15">
        <f t="shared" si="53"/>
        <v>289.8</v>
      </c>
      <c r="BY15">
        <f t="shared" si="54"/>
        <v>0.82000000000000006</v>
      </c>
      <c r="BZ15">
        <f t="shared" si="55"/>
        <v>14</v>
      </c>
      <c r="CA15">
        <f t="shared" si="56"/>
        <v>1.1599999999999999</v>
      </c>
      <c r="CB15">
        <f t="shared" si="57"/>
        <v>13</v>
      </c>
      <c r="CC15">
        <f t="shared" si="58"/>
        <v>1.03</v>
      </c>
      <c r="CD15">
        <f t="shared" si="59"/>
        <v>14</v>
      </c>
      <c r="CE15">
        <f t="shared" si="60"/>
        <v>1</v>
      </c>
      <c r="CF15">
        <f t="shared" si="61"/>
        <v>13</v>
      </c>
      <c r="CG15">
        <f t="shared" si="62"/>
        <v>1.26</v>
      </c>
      <c r="CH15">
        <f t="shared" si="63"/>
        <v>12</v>
      </c>
      <c r="CW15" t="str">
        <f t="shared" si="9"/>
        <v/>
      </c>
      <c r="CX15" t="str">
        <f t="shared" si="10"/>
        <v/>
      </c>
      <c r="CY15">
        <f t="shared" si="11"/>
        <v>0</v>
      </c>
      <c r="CZ15" t="str">
        <f t="shared" si="12"/>
        <v/>
      </c>
      <c r="DA15" t="str">
        <f t="shared" si="13"/>
        <v/>
      </c>
      <c r="DB15" t="str">
        <f t="shared" si="14"/>
        <v/>
      </c>
      <c r="DC15" t="str">
        <f t="shared" si="15"/>
        <v/>
      </c>
      <c r="DD15" t="str">
        <f t="shared" si="16"/>
        <v/>
      </c>
      <c r="DE15" t="str">
        <f t="shared" si="17"/>
        <v/>
      </c>
      <c r="DF15" t="str">
        <f t="shared" si="18"/>
        <v/>
      </c>
      <c r="DG15" t="str">
        <f t="shared" si="19"/>
        <v/>
      </c>
      <c r="DH15" t="str">
        <f t="shared" si="20"/>
        <v/>
      </c>
      <c r="DI15" t="str">
        <f t="shared" si="21"/>
        <v/>
      </c>
      <c r="DJ15" t="str">
        <f t="shared" si="22"/>
        <v/>
      </c>
      <c r="DL15" t="str">
        <f t="shared" si="23"/>
        <v/>
      </c>
      <c r="DM15" t="str">
        <f t="shared" si="24"/>
        <v/>
      </c>
      <c r="DN15" t="str">
        <f t="shared" si="25"/>
        <v/>
      </c>
      <c r="DO15">
        <f t="shared" si="26"/>
        <v>0</v>
      </c>
      <c r="DP15" t="str">
        <f t="shared" si="27"/>
        <v/>
      </c>
      <c r="DQ15" t="str">
        <f t="shared" si="28"/>
        <v/>
      </c>
      <c r="DR15" t="str">
        <f t="shared" si="29"/>
        <v/>
      </c>
      <c r="DS15" t="str">
        <f t="shared" si="30"/>
        <v/>
      </c>
      <c r="DT15" t="str">
        <f t="shared" si="31"/>
        <v/>
      </c>
      <c r="DU15" t="str">
        <f t="shared" si="32"/>
        <v/>
      </c>
      <c r="DV15" t="str">
        <f t="shared" si="33"/>
        <v/>
      </c>
      <c r="DW15" t="str">
        <f t="shared" si="34"/>
        <v/>
      </c>
      <c r="DX15" t="str">
        <f t="shared" si="35"/>
        <v/>
      </c>
      <c r="DY15" t="str">
        <f t="shared" si="36"/>
        <v/>
      </c>
    </row>
    <row r="16" spans="1:129">
      <c r="A16">
        <v>2</v>
      </c>
      <c r="B16">
        <v>8</v>
      </c>
      <c r="C16">
        <v>27.7</v>
      </c>
      <c r="D16">
        <v>4</v>
      </c>
      <c r="E16">
        <v>1</v>
      </c>
      <c r="F16">
        <v>7449</v>
      </c>
      <c r="G16">
        <v>16.7</v>
      </c>
      <c r="H16">
        <v>10.4</v>
      </c>
      <c r="I16">
        <v>22.1</v>
      </c>
      <c r="L16">
        <f t="shared" si="37"/>
        <v>2.6634615384615383</v>
      </c>
      <c r="M16">
        <f t="shared" si="38"/>
        <v>17.299999999999997</v>
      </c>
      <c r="O16" t="str">
        <f t="shared" si="0"/>
        <v/>
      </c>
      <c r="P16" t="str">
        <f t="shared" si="39"/>
        <v/>
      </c>
      <c r="V16">
        <f t="shared" si="1"/>
        <v>27.7</v>
      </c>
      <c r="W16">
        <f t="shared" si="2"/>
        <v>2.6634615384615383</v>
      </c>
      <c r="AJ16">
        <v>12</v>
      </c>
      <c r="AK16" t="e">
        <f>#REF!</f>
        <v>#REF!</v>
      </c>
      <c r="AL16" s="25" t="str">
        <f>IFERROR(RANK(AK16,AK5:AK22,0),"")</f>
        <v/>
      </c>
      <c r="AR16" t="str">
        <f t="shared" si="40"/>
        <v/>
      </c>
      <c r="AS16" s="25" t="str">
        <f t="shared" si="41"/>
        <v/>
      </c>
      <c r="AT16" t="str">
        <f t="shared" si="42"/>
        <v/>
      </c>
      <c r="AU16" s="25" t="str">
        <f t="shared" si="43"/>
        <v/>
      </c>
      <c r="AV16" t="str">
        <f t="shared" si="44"/>
        <v/>
      </c>
      <c r="AW16" s="25" t="str">
        <f t="shared" si="43"/>
        <v/>
      </c>
      <c r="AX16">
        <f t="shared" si="45"/>
        <v>16.7</v>
      </c>
      <c r="AY16" s="25">
        <f t="shared" si="3"/>
        <v>1</v>
      </c>
      <c r="AZ16" t="str">
        <f t="shared" si="46"/>
        <v/>
      </c>
      <c r="BA16" s="25" t="str">
        <f t="shared" si="4"/>
        <v/>
      </c>
      <c r="BB16" t="str">
        <f t="shared" si="47"/>
        <v/>
      </c>
      <c r="BC16" s="25" t="str">
        <f t="shared" si="48"/>
        <v/>
      </c>
      <c r="BD16" t="str">
        <f t="shared" si="49"/>
        <v/>
      </c>
      <c r="BE16" s="25" t="str">
        <f t="shared" si="5"/>
        <v/>
      </c>
      <c r="BF16" t="str">
        <f t="shared" si="50"/>
        <v/>
      </c>
      <c r="BG16" s="25" t="str">
        <f t="shared" si="6"/>
        <v/>
      </c>
      <c r="BH16" t="str">
        <f t="shared" si="51"/>
        <v/>
      </c>
      <c r="BI16" s="25" t="str">
        <f t="shared" si="7"/>
        <v/>
      </c>
      <c r="BJ16" t="str">
        <f t="shared" si="52"/>
        <v/>
      </c>
      <c r="BK16" s="25" t="str">
        <f t="shared" si="8"/>
        <v/>
      </c>
      <c r="BM16">
        <f t="array" ref="BM16">IFERROR(VALUE(INDEX(AR:AR,SMALL(IF($AR$5:$AR$150&lt;&gt;"",ROW($AR$5:$AR$150),9999),ROW(A12)))&amp;""),"")</f>
        <v>1299.4000000000001</v>
      </c>
      <c r="BN16">
        <f t="array" ref="BN16">IFERROR(VALUE(INDEX(AS:AS,SMALL(IF($AS$5:$AS$150&lt;&gt;"",ROW($AS$5:$AS$150),9999),ROW(A12)))&amp;""),"")</f>
        <v>13</v>
      </c>
      <c r="BO16">
        <f t="array" ref="BO16">IFERROR(VALUE(INDEX(AT:AT,SMALL(IF($AT$5:$AT$150&lt;&gt;"",ROW($AT$5:$AT$150),9999),ROW(A12)))&amp;""),"")</f>
        <v>1812.3</v>
      </c>
      <c r="BP16">
        <f t="array" ref="BP16">IFERROR(VALUE(INDEX(AU:AU,SMALL(IF($AU$5:$AU$150&lt;&gt;"",ROW($AU$5:$AU$150),9999),ROW(A12)))&amp;""),"")</f>
        <v>12</v>
      </c>
      <c r="BQ16">
        <f t="array" ref="BQ16">IFERROR(VALUE(INDEX(AV:AV,SMALL(IF($AV$5:$AV$150&lt;&gt;"",ROW($AV$5:$AV$150),9999),ROW(A12)))&amp;""),"")</f>
        <v>1967.6</v>
      </c>
      <c r="BR16">
        <f t="array" ref="BR16">IFERROR(VALUE(INDEX(AW:AW,SMALL(IF($AW$5:$AW$150&lt;&gt;"",ROW($AW$5:$AW$150),9999),ROW(A12)))&amp;""),"")</f>
        <v>13</v>
      </c>
      <c r="BS16">
        <f t="array" ref="BS16">IFERROR(VALUE(INDEX(AX:AX,SMALL(IF($AX$5:$AX$150&lt;&gt;"",ROW($AX$5:$AX$150),9999),ROW(A12)))&amp;""),"")</f>
        <v>1967.6</v>
      </c>
      <c r="BT16">
        <f t="array" ref="BT16">IFERROR(VALUE(INDEX(AY:AY,SMALL(IF($AY$5:$AY$150&lt;&gt;"",ROW($AY$5:$AY$150),9999),ROW(A12)))&amp;""),"")</f>
        <v>14</v>
      </c>
      <c r="BU16">
        <f t="array" ref="BU16">IFERROR(VALUE(INDEX(AZ:AZ,SMALL(IF($AZ$5:$AZ$150&lt;&gt;"",ROW($AZ$5:$AZ$150),9999),ROW(A12)))&amp;""),"")</f>
        <v>1986.6</v>
      </c>
      <c r="BV16">
        <f t="array" ref="BV16">IFERROR(VALUE(INDEX(BA:BA,SMALL(IF($BA$5:$BA$150&lt;&gt;"",ROW($BA$5:$BA$150),9999),ROW(A12)))&amp;""),"")</f>
        <v>14</v>
      </c>
      <c r="BX16">
        <f t="shared" si="53"/>
        <v>-528.9</v>
      </c>
      <c r="BY16">
        <f t="shared" si="54"/>
        <v>1.41</v>
      </c>
      <c r="BZ16">
        <f t="shared" si="55"/>
        <v>13</v>
      </c>
      <c r="CA16">
        <f t="shared" si="56"/>
        <v>1.1100000000000001</v>
      </c>
      <c r="CB16">
        <f t="shared" si="57"/>
        <v>12</v>
      </c>
      <c r="CC16">
        <f t="shared" si="58"/>
        <v>1.32</v>
      </c>
      <c r="CD16">
        <f t="shared" si="59"/>
        <v>13</v>
      </c>
      <c r="CE16">
        <f t="shared" si="60"/>
        <v>1.1200000000000001</v>
      </c>
      <c r="CF16">
        <f t="shared" si="61"/>
        <v>14</v>
      </c>
      <c r="CG16">
        <f t="shared" si="62"/>
        <v>1.1000000000000001</v>
      </c>
      <c r="CH16">
        <f t="shared" si="63"/>
        <v>14</v>
      </c>
      <c r="CW16" t="str">
        <f t="shared" si="9"/>
        <v/>
      </c>
      <c r="CX16" t="str">
        <f t="shared" si="10"/>
        <v/>
      </c>
      <c r="CY16" t="str">
        <f t="shared" si="11"/>
        <v/>
      </c>
      <c r="CZ16">
        <f t="shared" si="12"/>
        <v>0</v>
      </c>
      <c r="DA16" t="str">
        <f t="shared" si="13"/>
        <v/>
      </c>
      <c r="DB16" t="str">
        <f t="shared" si="14"/>
        <v/>
      </c>
      <c r="DC16" t="str">
        <f t="shared" si="15"/>
        <v/>
      </c>
      <c r="DD16" t="str">
        <f t="shared" si="16"/>
        <v/>
      </c>
      <c r="DE16" t="str">
        <f t="shared" si="17"/>
        <v/>
      </c>
      <c r="DF16" t="str">
        <f t="shared" si="18"/>
        <v/>
      </c>
      <c r="DG16" t="str">
        <f t="shared" si="19"/>
        <v/>
      </c>
      <c r="DH16" t="str">
        <f t="shared" si="20"/>
        <v/>
      </c>
      <c r="DI16" t="str">
        <f t="shared" si="21"/>
        <v/>
      </c>
      <c r="DJ16" t="str">
        <f t="shared" si="22"/>
        <v/>
      </c>
      <c r="DL16">
        <f t="shared" si="23"/>
        <v>0</v>
      </c>
      <c r="DM16" t="str">
        <f t="shared" si="24"/>
        <v/>
      </c>
      <c r="DN16" t="str">
        <f t="shared" si="25"/>
        <v/>
      </c>
      <c r="DO16" t="str">
        <f t="shared" si="26"/>
        <v/>
      </c>
      <c r="DP16" t="str">
        <f t="shared" si="27"/>
        <v/>
      </c>
      <c r="DQ16" t="str">
        <f t="shared" si="28"/>
        <v/>
      </c>
      <c r="DR16" t="str">
        <f t="shared" si="29"/>
        <v/>
      </c>
      <c r="DS16" t="str">
        <f t="shared" si="30"/>
        <v/>
      </c>
      <c r="DT16" t="str">
        <f t="shared" si="31"/>
        <v/>
      </c>
      <c r="DU16" t="str">
        <f t="shared" si="32"/>
        <v/>
      </c>
      <c r="DV16" t="str">
        <f t="shared" si="33"/>
        <v/>
      </c>
      <c r="DW16" t="str">
        <f t="shared" si="34"/>
        <v/>
      </c>
      <c r="DX16" t="str">
        <f t="shared" si="35"/>
        <v/>
      </c>
      <c r="DY16" t="str">
        <f t="shared" si="36"/>
        <v/>
      </c>
    </row>
    <row r="17" spans="1:129">
      <c r="A17">
        <v>2</v>
      </c>
      <c r="B17">
        <v>1</v>
      </c>
      <c r="C17">
        <v>30.1</v>
      </c>
      <c r="D17">
        <v>4</v>
      </c>
      <c r="E17">
        <v>3</v>
      </c>
      <c r="F17">
        <v>6843</v>
      </c>
      <c r="G17">
        <v>27.4</v>
      </c>
      <c r="H17">
        <v>14.3</v>
      </c>
      <c r="I17">
        <v>33</v>
      </c>
      <c r="L17">
        <f t="shared" si="37"/>
        <v>2.104895104895105</v>
      </c>
      <c r="M17">
        <f t="shared" si="38"/>
        <v>15.8</v>
      </c>
      <c r="O17" t="str">
        <f t="shared" si="0"/>
        <v/>
      </c>
      <c r="P17" t="str">
        <f t="shared" si="39"/>
        <v/>
      </c>
      <c r="V17">
        <f t="shared" si="1"/>
        <v>30.1</v>
      </c>
      <c r="W17">
        <f t="shared" si="2"/>
        <v>2.104895104895105</v>
      </c>
      <c r="AJ17">
        <v>13</v>
      </c>
      <c r="AK17" t="e">
        <f>#REF!</f>
        <v>#REF!</v>
      </c>
      <c r="AL17" s="25" t="str">
        <f>IFERROR(RANK(AK17,AK5:AK22,0),"")</f>
        <v/>
      </c>
      <c r="AR17" t="str">
        <f t="shared" si="40"/>
        <v/>
      </c>
      <c r="AS17" s="25" t="str">
        <f t="shared" si="41"/>
        <v/>
      </c>
      <c r="AT17" t="str">
        <f t="shared" si="42"/>
        <v/>
      </c>
      <c r="AU17" s="25" t="str">
        <f t="shared" si="43"/>
        <v/>
      </c>
      <c r="AV17" t="str">
        <f t="shared" si="44"/>
        <v/>
      </c>
      <c r="AW17" s="25" t="str">
        <f t="shared" si="43"/>
        <v/>
      </c>
      <c r="AX17">
        <f t="shared" si="45"/>
        <v>27.4</v>
      </c>
      <c r="AY17" s="25">
        <f t="shared" si="3"/>
        <v>3</v>
      </c>
      <c r="AZ17" t="str">
        <f t="shared" si="46"/>
        <v/>
      </c>
      <c r="BA17" s="25" t="str">
        <f t="shared" si="4"/>
        <v/>
      </c>
      <c r="BB17" t="str">
        <f t="shared" si="47"/>
        <v/>
      </c>
      <c r="BC17" s="25" t="str">
        <f t="shared" si="48"/>
        <v/>
      </c>
      <c r="BD17" t="str">
        <f t="shared" si="49"/>
        <v/>
      </c>
      <c r="BE17" s="25" t="str">
        <f t="shared" si="5"/>
        <v/>
      </c>
      <c r="BF17" t="str">
        <f t="shared" si="50"/>
        <v/>
      </c>
      <c r="BG17" s="25" t="str">
        <f t="shared" si="6"/>
        <v/>
      </c>
      <c r="BH17" t="str">
        <f t="shared" si="51"/>
        <v/>
      </c>
      <c r="BI17" s="25" t="str">
        <f t="shared" si="7"/>
        <v/>
      </c>
      <c r="BJ17" t="str">
        <f t="shared" si="52"/>
        <v/>
      </c>
      <c r="BK17" s="25" t="str">
        <f t="shared" si="8"/>
        <v/>
      </c>
      <c r="BM17">
        <f t="array" ref="BM17">IFERROR(VALUE(INDEX(AR:AR,SMALL(IF($AR$5:$AR$150&lt;&gt;"",ROW($AR$5:$AR$150),9999),ROW(A13)))&amp;""),"")</f>
        <v>1828.3</v>
      </c>
      <c r="BN17">
        <f t="array" ref="BN17">IFERROR(VALUE(INDEX(AS:AS,SMALL(IF($AS$5:$AS$150&lt;&gt;"",ROW($AS$5:$AS$150),9999),ROW(A13)))&amp;""),"")</f>
        <v>12</v>
      </c>
      <c r="BO17">
        <f t="array" ref="BO17">IFERROR(VALUE(INDEX(AT:AT,SMALL(IF($AT$5:$AT$150&lt;&gt;"",ROW($AT$5:$AT$150),9999),ROW(A13)))&amp;""),"")</f>
        <v>2005.9</v>
      </c>
      <c r="BP17">
        <f t="array" ref="BP17">IFERROR(VALUE(INDEX(AU:AU,SMALL(IF($AU$5:$AU$150&lt;&gt;"",ROW($AU$5:$AU$150),9999),ROW(A13)))&amp;""),"")</f>
        <v>14</v>
      </c>
      <c r="BQ17">
        <f t="array" ref="BQ17">IFERROR(VALUE(INDEX(AV:AV,SMALL(IF($AV$5:$AV$150&lt;&gt;"",ROW($AV$5:$AV$150),9999),ROW(A13)))&amp;""),"")</f>
        <v>2582.5</v>
      </c>
      <c r="BR17">
        <f t="array" ref="BR17">IFERROR(VALUE(INDEX(AW:AW,SMALL(IF($AW$5:$AW$150&lt;&gt;"",ROW($AW$5:$AW$150),9999),ROW(A13)))&amp;""),"")</f>
        <v>12</v>
      </c>
      <c r="BS17">
        <f t="array" ref="BS17">IFERROR(VALUE(INDEX(AX:AX,SMALL(IF($AX$5:$AX$150&lt;&gt;"",ROW($AX$5:$AX$150),9999),ROW(A13)))&amp;""),"")</f>
        <v>2197.9</v>
      </c>
      <c r="BT17">
        <f t="array" ref="BT17">IFERROR(VALUE(INDEX(AY:AY,SMALL(IF($AY$5:$AY$150&lt;&gt;"",ROW($AY$5:$AY$150),9999),ROW(A13)))&amp;""),"")</f>
        <v>12</v>
      </c>
      <c r="BU17">
        <f t="array" ref="BU17">IFERROR(VALUE(INDEX(AZ:AZ,SMALL(IF($AZ$5:$AZ$150&lt;&gt;"",ROW($AZ$5:$AZ$150),9999),ROW(A13)))&amp;""),"")</f>
        <v>2174.8000000000002</v>
      </c>
      <c r="BV17">
        <f t="array" ref="BV17">IFERROR(VALUE(INDEX(BA:BA,SMALL(IF($BA$5:$BA$150&lt;&gt;"",ROW($BA$5:$BA$150),9999),ROW(A13)))&amp;""),"")</f>
        <v>13</v>
      </c>
      <c r="BX17">
        <f t="shared" si="53"/>
        <v>-16.41</v>
      </c>
      <c r="BY17">
        <f t="shared" si="54"/>
        <v>1.01</v>
      </c>
      <c r="BZ17">
        <f t="shared" si="55"/>
        <v>12</v>
      </c>
      <c r="CA17">
        <f t="shared" si="56"/>
        <v>1.61</v>
      </c>
      <c r="CB17">
        <f t="shared" si="57"/>
        <v>14</v>
      </c>
      <c r="CC17">
        <f t="shared" si="58"/>
        <v>1.54</v>
      </c>
      <c r="CD17">
        <f t="shared" si="59"/>
        <v>12</v>
      </c>
      <c r="CE17">
        <f t="shared" si="60"/>
        <v>1.41</v>
      </c>
      <c r="CF17">
        <f t="shared" si="61"/>
        <v>12</v>
      </c>
      <c r="CG17">
        <f t="shared" si="62"/>
        <v>1.32</v>
      </c>
      <c r="CH17">
        <f t="shared" si="63"/>
        <v>13</v>
      </c>
      <c r="CW17" t="str">
        <f t="shared" si="9"/>
        <v/>
      </c>
      <c r="CX17" t="str">
        <f t="shared" si="10"/>
        <v/>
      </c>
      <c r="CY17" t="str">
        <f t="shared" si="11"/>
        <v/>
      </c>
      <c r="CZ17">
        <f t="shared" si="12"/>
        <v>0</v>
      </c>
      <c r="DA17" t="str">
        <f t="shared" si="13"/>
        <v/>
      </c>
      <c r="DB17" t="str">
        <f t="shared" si="14"/>
        <v/>
      </c>
      <c r="DC17" t="str">
        <f t="shared" si="15"/>
        <v/>
      </c>
      <c r="DD17" t="str">
        <f t="shared" si="16"/>
        <v/>
      </c>
      <c r="DE17" t="str">
        <f t="shared" si="17"/>
        <v/>
      </c>
      <c r="DF17" t="str">
        <f t="shared" si="18"/>
        <v/>
      </c>
      <c r="DG17" t="str">
        <f t="shared" si="19"/>
        <v/>
      </c>
      <c r="DH17" t="str">
        <f t="shared" si="20"/>
        <v/>
      </c>
      <c r="DI17" t="str">
        <f t="shared" si="21"/>
        <v/>
      </c>
      <c r="DJ17" t="str">
        <f t="shared" si="22"/>
        <v/>
      </c>
      <c r="DL17" t="str">
        <f t="shared" si="23"/>
        <v/>
      </c>
      <c r="DM17" t="str">
        <f t="shared" si="24"/>
        <v/>
      </c>
      <c r="DN17">
        <f t="shared" si="25"/>
        <v>0</v>
      </c>
      <c r="DO17" t="str">
        <f t="shared" si="26"/>
        <v/>
      </c>
      <c r="DP17" t="str">
        <f t="shared" si="27"/>
        <v/>
      </c>
      <c r="DQ17" t="str">
        <f t="shared" si="28"/>
        <v/>
      </c>
      <c r="DR17" t="str">
        <f t="shared" si="29"/>
        <v/>
      </c>
      <c r="DS17" t="str">
        <f t="shared" si="30"/>
        <v/>
      </c>
      <c r="DT17" t="str">
        <f t="shared" si="31"/>
        <v/>
      </c>
      <c r="DU17" t="str">
        <f t="shared" si="32"/>
        <v/>
      </c>
      <c r="DV17" t="str">
        <f t="shared" si="33"/>
        <v/>
      </c>
      <c r="DW17" t="str">
        <f t="shared" si="34"/>
        <v/>
      </c>
      <c r="DX17" t="str">
        <f t="shared" si="35"/>
        <v/>
      </c>
      <c r="DY17" t="str">
        <f t="shared" si="36"/>
        <v/>
      </c>
    </row>
    <row r="18" spans="1:129">
      <c r="A18">
        <v>13</v>
      </c>
      <c r="B18">
        <v>8</v>
      </c>
      <c r="C18">
        <v>30.2</v>
      </c>
      <c r="D18">
        <v>5</v>
      </c>
      <c r="E18">
        <v>1</v>
      </c>
      <c r="F18">
        <v>6841</v>
      </c>
      <c r="G18">
        <v>16</v>
      </c>
      <c r="H18">
        <v>10.5</v>
      </c>
      <c r="I18">
        <v>28.5</v>
      </c>
      <c r="L18">
        <f t="shared" si="37"/>
        <v>2.8761904761904762</v>
      </c>
      <c r="M18">
        <f t="shared" si="38"/>
        <v>19.7</v>
      </c>
      <c r="O18" t="str">
        <f t="shared" si="0"/>
        <v/>
      </c>
      <c r="P18" t="str">
        <f t="shared" si="39"/>
        <v/>
      </c>
      <c r="V18">
        <f t="shared" si="1"/>
        <v>30.2</v>
      </c>
      <c r="W18">
        <f t="shared" si="2"/>
        <v>2.8761904761904762</v>
      </c>
      <c r="AJ18">
        <v>14</v>
      </c>
      <c r="AK18" t="e">
        <f>#REF!</f>
        <v>#REF!</v>
      </c>
      <c r="AL18" s="25" t="str">
        <f>IFERROR(RANK(AK18,AK5:AK22,0),"")</f>
        <v/>
      </c>
      <c r="AR18" t="str">
        <f t="shared" si="40"/>
        <v/>
      </c>
      <c r="AS18" s="25" t="str">
        <f t="shared" si="41"/>
        <v/>
      </c>
      <c r="AT18" t="str">
        <f t="shared" si="42"/>
        <v/>
      </c>
      <c r="AU18" s="25" t="str">
        <f t="shared" si="43"/>
        <v/>
      </c>
      <c r="AV18" t="str">
        <f t="shared" si="44"/>
        <v/>
      </c>
      <c r="AW18" s="25" t="str">
        <f t="shared" si="43"/>
        <v/>
      </c>
      <c r="AX18" t="str">
        <f t="shared" si="45"/>
        <v/>
      </c>
      <c r="AY18" s="25" t="str">
        <f t="shared" si="3"/>
        <v/>
      </c>
      <c r="AZ18">
        <f t="shared" si="46"/>
        <v>16</v>
      </c>
      <c r="BA18" s="25">
        <f t="shared" si="4"/>
        <v>1</v>
      </c>
      <c r="BB18" t="str">
        <f t="shared" si="47"/>
        <v/>
      </c>
      <c r="BC18" s="25" t="str">
        <f t="shared" si="48"/>
        <v/>
      </c>
      <c r="BD18" t="str">
        <f t="shared" si="49"/>
        <v/>
      </c>
      <c r="BE18" s="25" t="str">
        <f t="shared" si="5"/>
        <v/>
      </c>
      <c r="BF18" t="str">
        <f t="shared" si="50"/>
        <v/>
      </c>
      <c r="BG18" s="25" t="str">
        <f t="shared" si="6"/>
        <v/>
      </c>
      <c r="BH18" t="str">
        <f t="shared" si="51"/>
        <v/>
      </c>
      <c r="BI18" s="25" t="str">
        <f t="shared" si="7"/>
        <v/>
      </c>
      <c r="BJ18" t="str">
        <f t="shared" si="52"/>
        <v/>
      </c>
      <c r="BK18" s="25" t="str">
        <f t="shared" si="8"/>
        <v/>
      </c>
      <c r="BM18">
        <f t="array" ref="BM18">IFERROR(VALUE(INDEX(AR:AR,SMALL(IF($AR$5:$AR$150&lt;&gt;"",ROW($AR$5:$AR$150),9999),ROW(A14)))&amp;""),"")</f>
        <v>1844.7</v>
      </c>
      <c r="BN18">
        <f t="array" ref="BN18">IFERROR(VALUE(INDEX(AS:AS,SMALL(IF($AS$5:$AS$150&lt;&gt;"",ROW($AS$5:$AS$150),9999),ROW(A14)))&amp;""),"")</f>
        <v>15</v>
      </c>
      <c r="BO18">
        <f t="array" ref="BO18">IFERROR(VALUE(INDEX(AT:AT,SMALL(IF($AT$5:$AT$150&lt;&gt;"",ROW($AT$5:$AT$150),9999),ROW(A14)))&amp;""),"")</f>
        <v>3228.2</v>
      </c>
      <c r="BP18">
        <f t="array" ref="BP18">IFERROR(VALUE(INDEX(AU:AU,SMALL(IF($AU$5:$AU$150&lt;&gt;"",ROW($AU$5:$AU$150),9999),ROW(A14)))&amp;""),"")</f>
        <v>15</v>
      </c>
      <c r="BQ18">
        <f t="array" ref="BQ18">IFERROR(VALUE(INDEX(AV:AV,SMALL(IF($AV$5:$AV$150&lt;&gt;"",ROW($AV$5:$AV$150),9999),ROW(A14)))&amp;""),"")</f>
        <v>3973.2</v>
      </c>
      <c r="BR18">
        <f t="array" ref="BR18">IFERROR(VALUE(INDEX(AW:AW,SMALL(IF($AW$5:$AW$150&lt;&gt;"",ROW($AW$5:$AW$150),9999),ROW(A14)))&amp;""),"")</f>
        <v>15</v>
      </c>
      <c r="BS18">
        <f t="array" ref="BS18">IFERROR(VALUE(INDEX(AX:AX,SMALL(IF($AX$5:$AX$150&lt;&gt;"",ROW($AX$5:$AX$150),9999),ROW(A14)))&amp;""),"")</f>
        <v>3083.6</v>
      </c>
      <c r="BT18">
        <f t="array" ref="BT18">IFERROR(VALUE(INDEX(AY:AY,SMALL(IF($AY$5:$AY$150&lt;&gt;"",ROW($AY$5:$AY$150),9999),ROW(A14)))&amp;""),"")</f>
        <v>16</v>
      </c>
      <c r="BU18">
        <f t="array" ref="BU18">IFERROR(VALUE(INDEX(AZ:AZ,SMALL(IF($AZ$5:$AZ$150&lt;&gt;"",ROW($AZ$5:$AZ$150),9999),ROW(A14)))&amp;""),"")</f>
        <v>2869.5</v>
      </c>
      <c r="BV18">
        <f t="array" ref="BV18">IFERROR(VALUE(INDEX(BA:BA,SMALL(IF($BA$5:$BA$150&lt;&gt;"",ROW($BA$5:$BA$150),9999),ROW(A14)))&amp;""),"")</f>
        <v>15</v>
      </c>
      <c r="BX18">
        <f t="shared" si="53"/>
        <v>-161.19999999999999</v>
      </c>
      <c r="BY18">
        <f t="shared" si="54"/>
        <v>1.0900000000000001</v>
      </c>
      <c r="BZ18">
        <f t="shared" si="55"/>
        <v>15</v>
      </c>
      <c r="CA18">
        <f t="shared" si="56"/>
        <v>1.4</v>
      </c>
      <c r="CB18">
        <f t="shared" si="57"/>
        <v>15</v>
      </c>
      <c r="CC18">
        <f t="shared" si="58"/>
        <v>0.92</v>
      </c>
      <c r="CD18">
        <f t="shared" si="59"/>
        <v>15</v>
      </c>
      <c r="CE18">
        <f t="shared" si="60"/>
        <v>1.07</v>
      </c>
      <c r="CF18">
        <f t="shared" si="61"/>
        <v>16</v>
      </c>
      <c r="CG18">
        <f t="shared" si="62"/>
        <v>1.39</v>
      </c>
      <c r="CH18">
        <f t="shared" si="63"/>
        <v>15</v>
      </c>
      <c r="CW18" t="str">
        <f t="shared" si="9"/>
        <v/>
      </c>
      <c r="CX18" t="str">
        <f t="shared" si="10"/>
        <v/>
      </c>
      <c r="CY18" t="str">
        <f t="shared" si="11"/>
        <v/>
      </c>
      <c r="CZ18" t="str">
        <f t="shared" si="12"/>
        <v/>
      </c>
      <c r="DA18">
        <f t="shared" si="13"/>
        <v>0</v>
      </c>
      <c r="DB18" t="str">
        <f t="shared" si="14"/>
        <v/>
      </c>
      <c r="DC18" t="str">
        <f t="shared" si="15"/>
        <v/>
      </c>
      <c r="DD18" t="str">
        <f t="shared" si="16"/>
        <v/>
      </c>
      <c r="DE18" t="str">
        <f t="shared" si="17"/>
        <v/>
      </c>
      <c r="DF18" t="str">
        <f t="shared" si="18"/>
        <v/>
      </c>
      <c r="DG18" t="str">
        <f t="shared" si="19"/>
        <v/>
      </c>
      <c r="DH18" t="str">
        <f t="shared" si="20"/>
        <v/>
      </c>
      <c r="DI18" t="str">
        <f t="shared" si="21"/>
        <v/>
      </c>
      <c r="DJ18" t="str">
        <f t="shared" si="22"/>
        <v/>
      </c>
      <c r="DL18">
        <f t="shared" si="23"/>
        <v>0</v>
      </c>
      <c r="DM18" t="str">
        <f t="shared" si="24"/>
        <v/>
      </c>
      <c r="DN18" t="str">
        <f t="shared" si="25"/>
        <v/>
      </c>
      <c r="DO18" t="str">
        <f t="shared" si="26"/>
        <v/>
      </c>
      <c r="DP18" t="str">
        <f t="shared" si="27"/>
        <v/>
      </c>
      <c r="DQ18" t="str">
        <f t="shared" si="28"/>
        <v/>
      </c>
      <c r="DR18" t="str">
        <f t="shared" si="29"/>
        <v/>
      </c>
      <c r="DS18" t="str">
        <f t="shared" si="30"/>
        <v/>
      </c>
      <c r="DT18" t="str">
        <f t="shared" si="31"/>
        <v/>
      </c>
      <c r="DU18" t="str">
        <f t="shared" si="32"/>
        <v/>
      </c>
      <c r="DV18" t="str">
        <f t="shared" si="33"/>
        <v/>
      </c>
      <c r="DW18" t="str">
        <f t="shared" si="34"/>
        <v/>
      </c>
      <c r="DX18" t="str">
        <f t="shared" si="35"/>
        <v/>
      </c>
      <c r="DY18" t="str">
        <f t="shared" si="36"/>
        <v/>
      </c>
    </row>
    <row r="19" spans="1:129">
      <c r="A19">
        <v>8</v>
      </c>
      <c r="B19">
        <v>15</v>
      </c>
      <c r="C19">
        <v>33</v>
      </c>
      <c r="D19">
        <v>1</v>
      </c>
      <c r="E19">
        <v>6</v>
      </c>
      <c r="F19">
        <v>6247</v>
      </c>
      <c r="G19">
        <v>55.3</v>
      </c>
      <c r="H19">
        <v>20.7</v>
      </c>
      <c r="I19">
        <v>25.7</v>
      </c>
      <c r="L19">
        <f t="shared" si="37"/>
        <v>1.5942028985507246</v>
      </c>
      <c r="M19">
        <f t="shared" si="38"/>
        <v>12.3</v>
      </c>
      <c r="O19">
        <f t="shared" si="0"/>
        <v>33</v>
      </c>
      <c r="P19">
        <f t="shared" si="39"/>
        <v>1.5942028985507246</v>
      </c>
      <c r="V19" t="str">
        <f t="shared" si="1"/>
        <v/>
      </c>
      <c r="W19" t="str">
        <f t="shared" si="2"/>
        <v/>
      </c>
      <c r="AJ19">
        <v>15</v>
      </c>
      <c r="AK19">
        <f>AF105</f>
        <v>0</v>
      </c>
      <c r="AL19" s="25" t="str">
        <f>IFERROR(RANK(AK19,AK5:AK22,0),"")</f>
        <v/>
      </c>
      <c r="AR19">
        <f t="shared" si="40"/>
        <v>55.3</v>
      </c>
      <c r="AS19" s="25">
        <f t="shared" si="41"/>
        <v>6</v>
      </c>
      <c r="AT19" t="str">
        <f t="shared" si="42"/>
        <v/>
      </c>
      <c r="AU19" s="25" t="str">
        <f t="shared" si="43"/>
        <v/>
      </c>
      <c r="AV19" t="str">
        <f t="shared" si="44"/>
        <v/>
      </c>
      <c r="AW19" s="25" t="str">
        <f t="shared" si="43"/>
        <v/>
      </c>
      <c r="AX19" t="str">
        <f t="shared" si="45"/>
        <v/>
      </c>
      <c r="AY19" s="25" t="str">
        <f t="shared" si="3"/>
        <v/>
      </c>
      <c r="AZ19" t="str">
        <f t="shared" si="46"/>
        <v/>
      </c>
      <c r="BA19" s="25" t="str">
        <f t="shared" si="4"/>
        <v/>
      </c>
      <c r="BB19" t="str">
        <f t="shared" si="47"/>
        <v/>
      </c>
      <c r="BC19" s="25" t="str">
        <f t="shared" si="48"/>
        <v/>
      </c>
      <c r="BD19" t="str">
        <f t="shared" si="49"/>
        <v/>
      </c>
      <c r="BE19" s="25" t="str">
        <f t="shared" si="5"/>
        <v/>
      </c>
      <c r="BF19" t="str">
        <f t="shared" si="50"/>
        <v/>
      </c>
      <c r="BG19" s="25" t="str">
        <f t="shared" si="6"/>
        <v/>
      </c>
      <c r="BH19" t="str">
        <f t="shared" si="51"/>
        <v/>
      </c>
      <c r="BI19" s="25" t="str">
        <f t="shared" si="7"/>
        <v/>
      </c>
      <c r="BJ19" t="str">
        <f t="shared" si="52"/>
        <v/>
      </c>
      <c r="BK19" s="25" t="str">
        <f t="shared" si="8"/>
        <v/>
      </c>
      <c r="BM19">
        <f t="array" ref="BM19">IFERROR(VALUE(INDEX(AR:AR,SMALL(IF($AR$5:$AR$150&lt;&gt;"",ROW($AR$5:$AR$150),9999),ROW(A15)))&amp;""),"")</f>
        <v>2005.9</v>
      </c>
      <c r="BN19">
        <f t="array" ref="BN19">IFERROR(VALUE(INDEX(AS:AS,SMALL(IF($AS$5:$AS$150&lt;&gt;"",ROW($AS$5:$AS$150),9999),ROW(A15)))&amp;""),"")</f>
        <v>16</v>
      </c>
      <c r="BO19">
        <f t="array" ref="BO19">IFERROR(VALUE(INDEX(AT:AT,SMALL(IF($AT$5:$AT$150&lt;&gt;"",ROW($AT$5:$AT$150),9999),ROW(A15)))&amp;""),"")</f>
        <v>4491.3999999999996</v>
      </c>
      <c r="BP19">
        <f t="array" ref="BP19">IFERROR(VALUE(INDEX(AU:AU,SMALL(IF($AU$5:$AU$150&lt;&gt;"",ROW($AU$5:$AU$150),9999),ROW(A15)))&amp;""),"")</f>
        <v>16</v>
      </c>
      <c r="BQ19">
        <f t="array" ref="BQ19">IFERROR(VALUE(INDEX(AV:AV,SMALL(IF($AV$5:$AV$150&lt;&gt;"",ROW($AV$5:$AV$150),9999),ROW(A15)))&amp;""),"")</f>
        <v>3624.6</v>
      </c>
      <c r="BR19">
        <f t="array" ref="BR19">IFERROR(VALUE(INDEX(AW:AW,SMALL(IF($AW$5:$AW$150&lt;&gt;"",ROW($AW$5:$AW$150),9999),ROW(A15)))&amp;""),"")</f>
        <v>16</v>
      </c>
      <c r="BS19">
        <f t="array" ref="BS19">IFERROR(VALUE(INDEX(AX:AX,SMALL(IF($AX$5:$AX$150&lt;&gt;"",ROW($AX$5:$AX$150),9999),ROW(A15)))&amp;""),"")</f>
        <v>3279.4</v>
      </c>
      <c r="BT19">
        <f t="array" ref="BT19">IFERROR(VALUE(INDEX(AY:AY,SMALL(IF($AY$5:$AY$150&lt;&gt;"",ROW($AY$5:$AY$150),9999),ROW(A15)))&amp;""),"")</f>
        <v>15</v>
      </c>
      <c r="BU19">
        <f t="array" ref="BU19">IFERROR(VALUE(INDEX(AZ:AZ,SMALL(IF($AZ$5:$AZ$150&lt;&gt;"",ROW($AZ$5:$AZ$150),9999),ROW(A15)))&amp;""),"")</f>
        <v>3973.2</v>
      </c>
      <c r="BV19">
        <f t="array" ref="BV19">IFERROR(VALUE(INDEX(BA:BA,SMALL(IF($BA$5:$BA$150&lt;&gt;"",ROW($BA$5:$BA$150),9999),ROW(A15)))&amp;""),"")</f>
        <v>16</v>
      </c>
      <c r="BX19" t="str">
        <f t="shared" si="53"/>
        <v/>
      </c>
      <c r="BY19" t="str">
        <f t="shared" si="54"/>
        <v/>
      </c>
      <c r="BZ19">
        <f t="shared" si="55"/>
        <v>16</v>
      </c>
      <c r="CA19" t="str">
        <f t="shared" si="56"/>
        <v/>
      </c>
      <c r="CB19">
        <f t="shared" si="57"/>
        <v>16</v>
      </c>
      <c r="CC19" t="str">
        <f t="shared" si="58"/>
        <v/>
      </c>
      <c r="CD19">
        <f t="shared" si="59"/>
        <v>16</v>
      </c>
      <c r="CE19" t="str">
        <f t="shared" si="60"/>
        <v/>
      </c>
      <c r="CF19">
        <f t="shared" si="61"/>
        <v>15</v>
      </c>
      <c r="CG19" t="str">
        <f t="shared" si="62"/>
        <v/>
      </c>
      <c r="CH19">
        <f t="shared" si="63"/>
        <v>16</v>
      </c>
      <c r="CW19">
        <f t="shared" si="9"/>
        <v>0</v>
      </c>
      <c r="CX19" t="str">
        <f t="shared" si="10"/>
        <v/>
      </c>
      <c r="CY19" t="str">
        <f t="shared" si="11"/>
        <v/>
      </c>
      <c r="CZ19" t="str">
        <f t="shared" si="12"/>
        <v/>
      </c>
      <c r="DA19" t="str">
        <f t="shared" si="13"/>
        <v/>
      </c>
      <c r="DB19" t="str">
        <f t="shared" si="14"/>
        <v/>
      </c>
      <c r="DC19" t="str">
        <f t="shared" si="15"/>
        <v/>
      </c>
      <c r="DD19" t="str">
        <f t="shared" si="16"/>
        <v/>
      </c>
      <c r="DE19" t="str">
        <f t="shared" si="17"/>
        <v/>
      </c>
      <c r="DF19" t="str">
        <f t="shared" si="18"/>
        <v/>
      </c>
      <c r="DG19" t="str">
        <f t="shared" si="19"/>
        <v/>
      </c>
      <c r="DH19" t="str">
        <f t="shared" si="20"/>
        <v/>
      </c>
      <c r="DI19" t="str">
        <f t="shared" si="21"/>
        <v/>
      </c>
      <c r="DJ19" t="str">
        <f t="shared" si="22"/>
        <v/>
      </c>
      <c r="DL19" t="str">
        <f t="shared" si="23"/>
        <v/>
      </c>
      <c r="DM19" t="str">
        <f t="shared" si="24"/>
        <v/>
      </c>
      <c r="DN19" t="str">
        <f t="shared" si="25"/>
        <v/>
      </c>
      <c r="DO19" t="str">
        <f t="shared" si="26"/>
        <v/>
      </c>
      <c r="DP19" t="str">
        <f t="shared" si="27"/>
        <v/>
      </c>
      <c r="DQ19">
        <f t="shared" si="28"/>
        <v>0</v>
      </c>
      <c r="DR19" t="str">
        <f t="shared" si="29"/>
        <v/>
      </c>
      <c r="DS19" t="str">
        <f t="shared" si="30"/>
        <v/>
      </c>
      <c r="DT19" t="str">
        <f t="shared" si="31"/>
        <v/>
      </c>
      <c r="DU19" t="str">
        <f t="shared" si="32"/>
        <v/>
      </c>
      <c r="DV19" t="str">
        <f t="shared" si="33"/>
        <v/>
      </c>
      <c r="DW19" t="str">
        <f t="shared" si="34"/>
        <v/>
      </c>
      <c r="DX19" t="str">
        <f t="shared" si="35"/>
        <v/>
      </c>
      <c r="DY19" t="str">
        <f t="shared" si="36"/>
        <v/>
      </c>
    </row>
    <row r="20" spans="1:129">
      <c r="A20">
        <v>14</v>
      </c>
      <c r="B20">
        <v>13</v>
      </c>
      <c r="C20">
        <v>35.6</v>
      </c>
      <c r="D20">
        <v>2</v>
      </c>
      <c r="E20">
        <v>5</v>
      </c>
      <c r="F20">
        <v>5802</v>
      </c>
      <c r="G20">
        <v>40.1</v>
      </c>
      <c r="H20">
        <v>18.899999999999999</v>
      </c>
      <c r="I20">
        <v>29.1</v>
      </c>
      <c r="L20">
        <f t="shared" si="37"/>
        <v>1.8835978835978837</v>
      </c>
      <c r="M20">
        <f t="shared" si="38"/>
        <v>16.700000000000003</v>
      </c>
      <c r="O20">
        <f t="shared" si="0"/>
        <v>35.6</v>
      </c>
      <c r="P20">
        <f t="shared" si="39"/>
        <v>1.8835978835978837</v>
      </c>
      <c r="V20" t="str">
        <f t="shared" si="1"/>
        <v/>
      </c>
      <c r="W20" t="str">
        <f t="shared" si="2"/>
        <v/>
      </c>
      <c r="AJ20">
        <v>16</v>
      </c>
      <c r="AK20">
        <f>AG105</f>
        <v>0</v>
      </c>
      <c r="AL20" s="25" t="str">
        <f>IFERROR(RANK(AK20,AK5:AK22,0),"")</f>
        <v/>
      </c>
      <c r="AR20" t="str">
        <f t="shared" si="40"/>
        <v/>
      </c>
      <c r="AS20" s="25" t="str">
        <f t="shared" si="41"/>
        <v/>
      </c>
      <c r="AT20">
        <f t="shared" si="42"/>
        <v>40.1</v>
      </c>
      <c r="AU20" s="25">
        <f t="shared" si="43"/>
        <v>5</v>
      </c>
      <c r="AV20" t="str">
        <f t="shared" si="44"/>
        <v/>
      </c>
      <c r="AW20" s="25" t="str">
        <f t="shared" si="43"/>
        <v/>
      </c>
      <c r="AX20" t="str">
        <f t="shared" si="45"/>
        <v/>
      </c>
      <c r="AY20" s="25" t="str">
        <f t="shared" si="3"/>
        <v/>
      </c>
      <c r="AZ20" t="str">
        <f t="shared" si="46"/>
        <v/>
      </c>
      <c r="BA20" s="25" t="str">
        <f t="shared" si="4"/>
        <v/>
      </c>
      <c r="BB20" t="str">
        <f t="shared" si="47"/>
        <v/>
      </c>
      <c r="BC20" s="25" t="str">
        <f t="shared" si="48"/>
        <v/>
      </c>
      <c r="BD20" t="str">
        <f t="shared" si="49"/>
        <v/>
      </c>
      <c r="BE20" s="25" t="str">
        <f t="shared" si="5"/>
        <v/>
      </c>
      <c r="BF20" t="str">
        <f t="shared" si="50"/>
        <v/>
      </c>
      <c r="BG20" s="25" t="str">
        <f t="shared" si="6"/>
        <v/>
      </c>
      <c r="BH20" t="str">
        <f t="shared" si="51"/>
        <v/>
      </c>
      <c r="BI20" s="25" t="str">
        <f t="shared" si="7"/>
        <v/>
      </c>
      <c r="BJ20" t="str">
        <f t="shared" si="52"/>
        <v/>
      </c>
      <c r="BK20" s="25" t="str">
        <f t="shared" si="8"/>
        <v/>
      </c>
      <c r="BM20" t="str">
        <f t="array" ref="BM20">IFERROR(VALUE(INDEX(AR:AR,SMALL(IF($AR$5:$AR$150&lt;&gt;"",ROW($AR$5:$AR$150),9999),ROW(A16)))&amp;""),"")</f>
        <v/>
      </c>
      <c r="BN20" t="str">
        <f t="array" ref="BN20">IFERROR(VALUE(INDEX(AS:AS,SMALL(IF($AS$5:$AS$150&lt;&gt;"",ROW($AS$5:$AS$150),9999),ROW(A16)))&amp;""),"")</f>
        <v/>
      </c>
      <c r="BO20" t="str">
        <f t="array" ref="BO20">IFERROR(VALUE(INDEX(AT:AT,SMALL(IF($AT$5:$AT$150&lt;&gt;"",ROW($AT$5:$AT$150),9999),ROW(A16)))&amp;""),"")</f>
        <v/>
      </c>
      <c r="BP20" t="str">
        <f t="array" ref="BP20">IFERROR(VALUE(INDEX(AU:AU,SMALL(IF($AU$5:$AU$150&lt;&gt;"",ROW($AU$5:$AU$150),9999),ROW(A16)))&amp;""),"")</f>
        <v/>
      </c>
      <c r="BQ20" t="str">
        <f t="array" ref="BQ20">IFERROR(VALUE(INDEX(AV:AV,SMALL(IF($AV$5:$AV$150&lt;&gt;"",ROW($AV$5:$AV$150),9999),ROW(A16)))&amp;""),"")</f>
        <v/>
      </c>
      <c r="BR20" t="str">
        <f t="array" ref="BR20">IFERROR(VALUE(INDEX(AW:AW,SMALL(IF($AW$5:$AW$150&lt;&gt;"",ROW($AW$5:$AW$150),9999),ROW(A16)))&amp;""),"")</f>
        <v/>
      </c>
      <c r="BS20" t="str">
        <f t="array" ref="BS20">IFERROR(VALUE(INDEX(AX:AX,SMALL(IF($AX$5:$AX$150&lt;&gt;"",ROW($AX$5:$AX$150),9999),ROW(A16)))&amp;""),"")</f>
        <v/>
      </c>
      <c r="BT20" t="str">
        <f t="array" ref="BT20">IFERROR(VALUE(INDEX(AY:AY,SMALL(IF($AY$5:$AY$150&lt;&gt;"",ROW($AY$5:$AY$150),9999),ROW(A16)))&amp;""),"")</f>
        <v/>
      </c>
      <c r="BU20" t="str">
        <f t="array" ref="BU20">IFERROR(VALUE(INDEX(AZ:AZ,SMALL(IF($AZ$5:$AZ$150&lt;&gt;"",ROW($AZ$5:$AZ$150),9999),ROW(A16)))&amp;""),"")</f>
        <v/>
      </c>
      <c r="BV20" t="str">
        <f t="array" ref="BV20">IFERROR(VALUE(INDEX(BA:BA,SMALL(IF($BA$5:$BA$150&lt;&gt;"",ROW($BA$5:$BA$150),9999),ROW(A16)))&amp;""),"")</f>
        <v/>
      </c>
      <c r="CW20" t="str">
        <f t="shared" si="9"/>
        <v/>
      </c>
      <c r="CX20">
        <f t="shared" si="10"/>
        <v>0</v>
      </c>
      <c r="CY20" t="str">
        <f t="shared" si="11"/>
        <v/>
      </c>
      <c r="CZ20" t="str">
        <f t="shared" si="12"/>
        <v/>
      </c>
      <c r="DA20" t="str">
        <f t="shared" si="13"/>
        <v/>
      </c>
      <c r="DB20" t="str">
        <f t="shared" si="14"/>
        <v/>
      </c>
      <c r="DC20" t="str">
        <f t="shared" si="15"/>
        <v/>
      </c>
      <c r="DD20" t="str">
        <f t="shared" si="16"/>
        <v/>
      </c>
      <c r="DE20" t="str">
        <f t="shared" si="17"/>
        <v/>
      </c>
      <c r="DF20" t="str">
        <f t="shared" si="18"/>
        <v/>
      </c>
      <c r="DG20" t="str">
        <f t="shared" si="19"/>
        <v/>
      </c>
      <c r="DH20" t="str">
        <f t="shared" si="20"/>
        <v/>
      </c>
      <c r="DI20" t="str">
        <f t="shared" si="21"/>
        <v/>
      </c>
      <c r="DJ20" t="str">
        <f t="shared" si="22"/>
        <v/>
      </c>
      <c r="DL20" t="str">
        <f t="shared" si="23"/>
        <v/>
      </c>
      <c r="DM20" t="str">
        <f t="shared" si="24"/>
        <v/>
      </c>
      <c r="DN20" t="str">
        <f t="shared" si="25"/>
        <v/>
      </c>
      <c r="DO20" t="str">
        <f t="shared" si="26"/>
        <v/>
      </c>
      <c r="DP20">
        <f t="shared" si="27"/>
        <v>0</v>
      </c>
      <c r="DQ20" t="str">
        <f t="shared" si="28"/>
        <v/>
      </c>
      <c r="DR20" t="str">
        <f t="shared" si="29"/>
        <v/>
      </c>
      <c r="DS20" t="str">
        <f t="shared" si="30"/>
        <v/>
      </c>
      <c r="DT20" t="str">
        <f t="shared" si="31"/>
        <v/>
      </c>
      <c r="DU20" t="str">
        <f t="shared" si="32"/>
        <v/>
      </c>
      <c r="DV20" t="str">
        <f t="shared" si="33"/>
        <v/>
      </c>
      <c r="DW20" t="str">
        <f t="shared" si="34"/>
        <v/>
      </c>
      <c r="DX20" t="str">
        <f t="shared" si="35"/>
        <v/>
      </c>
      <c r="DY20" t="str">
        <f t="shared" si="36"/>
        <v/>
      </c>
    </row>
    <row r="21" spans="1:129">
      <c r="A21">
        <v>1</v>
      </c>
      <c r="B21">
        <v>13</v>
      </c>
      <c r="C21">
        <v>37.5</v>
      </c>
      <c r="D21">
        <v>3</v>
      </c>
      <c r="E21">
        <v>5</v>
      </c>
      <c r="F21">
        <v>5495</v>
      </c>
      <c r="G21">
        <v>44.6</v>
      </c>
      <c r="H21">
        <v>20.399999999999999</v>
      </c>
      <c r="I21">
        <v>37.1</v>
      </c>
      <c r="L21">
        <f t="shared" si="37"/>
        <v>1.8382352941176472</v>
      </c>
      <c r="M21">
        <f t="shared" si="38"/>
        <v>17.100000000000001</v>
      </c>
      <c r="O21">
        <f t="shared" si="0"/>
        <v>37.5</v>
      </c>
      <c r="P21">
        <f t="shared" si="39"/>
        <v>1.8382352941176472</v>
      </c>
      <c r="V21" t="str">
        <f t="shared" si="1"/>
        <v/>
      </c>
      <c r="W21" t="str">
        <f t="shared" si="2"/>
        <v/>
      </c>
      <c r="AJ21">
        <v>17</v>
      </c>
      <c r="AK21">
        <f>AH105</f>
        <v>0</v>
      </c>
      <c r="AL21" s="25" t="str">
        <f>IFERROR(RANK(AK21,AK5:AK22,0),"")</f>
        <v/>
      </c>
      <c r="AR21" t="str">
        <f t="shared" si="40"/>
        <v/>
      </c>
      <c r="AS21" s="25" t="str">
        <f t="shared" si="41"/>
        <v/>
      </c>
      <c r="AT21" t="str">
        <f t="shared" si="42"/>
        <v/>
      </c>
      <c r="AU21" s="25" t="str">
        <f t="shared" si="43"/>
        <v/>
      </c>
      <c r="AV21">
        <f t="shared" si="44"/>
        <v>44.6</v>
      </c>
      <c r="AW21" s="25">
        <f t="shared" si="43"/>
        <v>5</v>
      </c>
      <c r="AX21" t="str">
        <f t="shared" si="45"/>
        <v/>
      </c>
      <c r="AY21" s="25" t="str">
        <f t="shared" si="3"/>
        <v/>
      </c>
      <c r="AZ21" t="str">
        <f t="shared" si="46"/>
        <v/>
      </c>
      <c r="BA21" s="25" t="str">
        <f t="shared" si="4"/>
        <v/>
      </c>
      <c r="BB21" t="str">
        <f t="shared" si="47"/>
        <v/>
      </c>
      <c r="BC21" s="25" t="str">
        <f t="shared" si="48"/>
        <v/>
      </c>
      <c r="BD21" t="str">
        <f t="shared" si="49"/>
        <v/>
      </c>
      <c r="BE21" s="25" t="str">
        <f t="shared" si="5"/>
        <v/>
      </c>
      <c r="BF21" t="str">
        <f t="shared" si="50"/>
        <v/>
      </c>
      <c r="BG21" s="25" t="str">
        <f t="shared" si="6"/>
        <v/>
      </c>
      <c r="BH21" t="str">
        <f t="shared" si="51"/>
        <v/>
      </c>
      <c r="BI21" s="25" t="str">
        <f t="shared" si="7"/>
        <v/>
      </c>
      <c r="BJ21" t="str">
        <f t="shared" si="52"/>
        <v/>
      </c>
      <c r="BK21" s="25" t="str">
        <f t="shared" si="8"/>
        <v/>
      </c>
      <c r="CW21" t="str">
        <f t="shared" si="9"/>
        <v/>
      </c>
      <c r="CX21" t="str">
        <f t="shared" si="10"/>
        <v/>
      </c>
      <c r="CY21">
        <f t="shared" si="11"/>
        <v>0</v>
      </c>
      <c r="CZ21" t="str">
        <f t="shared" si="12"/>
        <v/>
      </c>
      <c r="DA21" t="str">
        <f t="shared" si="13"/>
        <v/>
      </c>
      <c r="DB21" t="str">
        <f t="shared" si="14"/>
        <v/>
      </c>
      <c r="DC21" t="str">
        <f t="shared" si="15"/>
        <v/>
      </c>
      <c r="DD21" t="str">
        <f t="shared" si="16"/>
        <v/>
      </c>
      <c r="DE21" t="str">
        <f t="shared" si="17"/>
        <v/>
      </c>
      <c r="DF21" t="str">
        <f t="shared" si="18"/>
        <v/>
      </c>
      <c r="DG21" t="str">
        <f t="shared" si="19"/>
        <v/>
      </c>
      <c r="DH21" t="str">
        <f t="shared" si="20"/>
        <v/>
      </c>
      <c r="DI21" t="str">
        <f t="shared" si="21"/>
        <v/>
      </c>
      <c r="DJ21" t="str">
        <f t="shared" si="22"/>
        <v/>
      </c>
      <c r="DL21" t="str">
        <f t="shared" si="23"/>
        <v/>
      </c>
      <c r="DM21" t="str">
        <f t="shared" si="24"/>
        <v/>
      </c>
      <c r="DN21" t="str">
        <f t="shared" si="25"/>
        <v/>
      </c>
      <c r="DO21" t="str">
        <f t="shared" si="26"/>
        <v/>
      </c>
      <c r="DP21">
        <f t="shared" si="27"/>
        <v>0</v>
      </c>
      <c r="DQ21" t="str">
        <f t="shared" si="28"/>
        <v/>
      </c>
      <c r="DR21" t="str">
        <f t="shared" si="29"/>
        <v/>
      </c>
      <c r="DS21" t="str">
        <f t="shared" si="30"/>
        <v/>
      </c>
      <c r="DT21" t="str">
        <f t="shared" si="31"/>
        <v/>
      </c>
      <c r="DU21" t="str">
        <f t="shared" si="32"/>
        <v/>
      </c>
      <c r="DV21" t="str">
        <f t="shared" si="33"/>
        <v/>
      </c>
      <c r="DW21" t="str">
        <f t="shared" si="34"/>
        <v/>
      </c>
      <c r="DX21" t="str">
        <f t="shared" si="35"/>
        <v/>
      </c>
      <c r="DY21" t="str">
        <f t="shared" si="36"/>
        <v/>
      </c>
    </row>
    <row r="22" spans="1:129">
      <c r="A22">
        <v>13</v>
      </c>
      <c r="B22">
        <v>14</v>
      </c>
      <c r="C22">
        <v>40.1</v>
      </c>
      <c r="D22">
        <v>5</v>
      </c>
      <c r="E22">
        <v>2</v>
      </c>
      <c r="F22">
        <v>5142</v>
      </c>
      <c r="G22">
        <v>35.6</v>
      </c>
      <c r="H22">
        <v>18.899999999999999</v>
      </c>
      <c r="I22">
        <v>37.9</v>
      </c>
      <c r="L22">
        <f t="shared" si="37"/>
        <v>2.1216931216931219</v>
      </c>
      <c r="M22">
        <f t="shared" si="38"/>
        <v>21.200000000000003</v>
      </c>
      <c r="O22" t="str">
        <f t="shared" si="0"/>
        <v/>
      </c>
      <c r="P22" t="str">
        <f t="shared" si="39"/>
        <v/>
      </c>
      <c r="V22">
        <f t="shared" si="1"/>
        <v>40.1</v>
      </c>
      <c r="W22">
        <f t="shared" si="2"/>
        <v>2.1216931216931219</v>
      </c>
      <c r="AJ22">
        <v>18</v>
      </c>
      <c r="AK22">
        <f>AI105</f>
        <v>0</v>
      </c>
      <c r="AL22" s="25" t="str">
        <f>IFERROR(RANK(AK22,AK5:AK22,0),"")</f>
        <v/>
      </c>
      <c r="AR22" t="str">
        <f t="shared" si="40"/>
        <v/>
      </c>
      <c r="AS22" s="25" t="str">
        <f t="shared" si="41"/>
        <v/>
      </c>
      <c r="AT22" t="str">
        <f t="shared" si="42"/>
        <v/>
      </c>
      <c r="AU22" s="25" t="str">
        <f t="shared" si="43"/>
        <v/>
      </c>
      <c r="AV22" t="str">
        <f t="shared" si="44"/>
        <v/>
      </c>
      <c r="AW22" s="25" t="str">
        <f t="shared" si="43"/>
        <v/>
      </c>
      <c r="AX22" t="str">
        <f t="shared" si="45"/>
        <v/>
      </c>
      <c r="AY22" s="25" t="str">
        <f t="shared" si="3"/>
        <v/>
      </c>
      <c r="AZ22">
        <f t="shared" si="46"/>
        <v>35.6</v>
      </c>
      <c r="BA22" s="25">
        <f t="shared" si="4"/>
        <v>2</v>
      </c>
      <c r="BB22" t="str">
        <f t="shared" si="47"/>
        <v/>
      </c>
      <c r="BC22" s="25" t="str">
        <f t="shared" si="48"/>
        <v/>
      </c>
      <c r="BD22" t="str">
        <f t="shared" si="49"/>
        <v/>
      </c>
      <c r="BE22" s="25" t="str">
        <f t="shared" si="5"/>
        <v/>
      </c>
      <c r="BF22" t="str">
        <f t="shared" si="50"/>
        <v/>
      </c>
      <c r="BG22" s="25" t="str">
        <f t="shared" si="6"/>
        <v/>
      </c>
      <c r="BH22" t="str">
        <f t="shared" si="51"/>
        <v/>
      </c>
      <c r="BI22" s="25" t="str">
        <f t="shared" si="7"/>
        <v/>
      </c>
      <c r="BJ22" t="str">
        <f t="shared" si="52"/>
        <v/>
      </c>
      <c r="BK22" s="25" t="str">
        <f t="shared" si="8"/>
        <v/>
      </c>
      <c r="CW22" t="str">
        <f t="shared" si="9"/>
        <v/>
      </c>
      <c r="CX22" t="str">
        <f t="shared" si="10"/>
        <v/>
      </c>
      <c r="CY22" t="str">
        <f t="shared" si="11"/>
        <v/>
      </c>
      <c r="CZ22" t="str">
        <f t="shared" si="12"/>
        <v/>
      </c>
      <c r="DA22">
        <f t="shared" si="13"/>
        <v>0</v>
      </c>
      <c r="DB22" t="str">
        <f t="shared" si="14"/>
        <v/>
      </c>
      <c r="DC22" t="str">
        <f t="shared" si="15"/>
        <v/>
      </c>
      <c r="DD22" t="str">
        <f t="shared" si="16"/>
        <v/>
      </c>
      <c r="DE22" t="str">
        <f t="shared" si="17"/>
        <v/>
      </c>
      <c r="DF22" t="str">
        <f t="shared" si="18"/>
        <v/>
      </c>
      <c r="DG22" t="str">
        <f t="shared" si="19"/>
        <v/>
      </c>
      <c r="DH22" t="str">
        <f t="shared" si="20"/>
        <v/>
      </c>
      <c r="DI22" t="str">
        <f t="shared" si="21"/>
        <v/>
      </c>
      <c r="DJ22" t="str">
        <f t="shared" si="22"/>
        <v/>
      </c>
      <c r="DL22" t="str">
        <f t="shared" si="23"/>
        <v/>
      </c>
      <c r="DM22">
        <f t="shared" si="24"/>
        <v>0</v>
      </c>
      <c r="DN22" t="str">
        <f t="shared" si="25"/>
        <v/>
      </c>
      <c r="DO22" t="str">
        <f t="shared" si="26"/>
        <v/>
      </c>
      <c r="DP22" t="str">
        <f t="shared" si="27"/>
        <v/>
      </c>
      <c r="DQ22" t="str">
        <f t="shared" si="28"/>
        <v/>
      </c>
      <c r="DR22" t="str">
        <f t="shared" si="29"/>
        <v/>
      </c>
      <c r="DS22" t="str">
        <f t="shared" si="30"/>
        <v/>
      </c>
      <c r="DT22" t="str">
        <f t="shared" si="31"/>
        <v/>
      </c>
      <c r="DU22" t="str">
        <f t="shared" si="32"/>
        <v/>
      </c>
      <c r="DV22" t="str">
        <f t="shared" si="33"/>
        <v/>
      </c>
      <c r="DW22" t="str">
        <f t="shared" si="34"/>
        <v/>
      </c>
      <c r="DX22" t="str">
        <f t="shared" si="35"/>
        <v/>
      </c>
      <c r="DY22" t="str">
        <f t="shared" si="36"/>
        <v/>
      </c>
    </row>
    <row r="23" spans="1:129">
      <c r="A23">
        <v>14</v>
      </c>
      <c r="B23">
        <v>15</v>
      </c>
      <c r="C23">
        <v>43.5</v>
      </c>
      <c r="D23">
        <v>2</v>
      </c>
      <c r="E23">
        <v>6</v>
      </c>
      <c r="F23">
        <v>4747</v>
      </c>
      <c r="G23">
        <v>46.2</v>
      </c>
      <c r="H23">
        <v>22.4</v>
      </c>
      <c r="I23">
        <v>54.4</v>
      </c>
      <c r="L23">
        <f t="shared" si="37"/>
        <v>1.9419642857142858</v>
      </c>
      <c r="M23">
        <f t="shared" si="38"/>
        <v>21.1</v>
      </c>
      <c r="O23">
        <f t="shared" si="0"/>
        <v>43.5</v>
      </c>
      <c r="P23">
        <f t="shared" si="39"/>
        <v>1.9419642857142858</v>
      </c>
      <c r="V23" t="str">
        <f t="shared" si="1"/>
        <v/>
      </c>
      <c r="W23" t="str">
        <f t="shared" si="2"/>
        <v/>
      </c>
      <c r="AR23" t="str">
        <f t="shared" si="40"/>
        <v/>
      </c>
      <c r="AS23" s="25" t="str">
        <f t="shared" si="41"/>
        <v/>
      </c>
      <c r="AT23">
        <f t="shared" si="42"/>
        <v>46.2</v>
      </c>
      <c r="AU23" s="25">
        <f t="shared" si="43"/>
        <v>6</v>
      </c>
      <c r="AV23" t="str">
        <f t="shared" si="44"/>
        <v/>
      </c>
      <c r="AW23" s="25" t="str">
        <f t="shared" si="43"/>
        <v/>
      </c>
      <c r="AX23" t="str">
        <f t="shared" si="45"/>
        <v/>
      </c>
      <c r="AY23" s="25" t="str">
        <f t="shared" si="3"/>
        <v/>
      </c>
      <c r="AZ23" t="str">
        <f t="shared" si="46"/>
        <v/>
      </c>
      <c r="BA23" s="25" t="str">
        <f t="shared" si="4"/>
        <v/>
      </c>
      <c r="BB23" t="str">
        <f t="shared" si="47"/>
        <v/>
      </c>
      <c r="BC23" s="25" t="str">
        <f t="shared" si="48"/>
        <v/>
      </c>
      <c r="BD23" t="str">
        <f t="shared" si="49"/>
        <v/>
      </c>
      <c r="BE23" s="25" t="str">
        <f t="shared" si="5"/>
        <v/>
      </c>
      <c r="BF23" t="str">
        <f t="shared" si="50"/>
        <v/>
      </c>
      <c r="BG23" s="25" t="str">
        <f t="shared" si="6"/>
        <v/>
      </c>
      <c r="BH23" t="str">
        <f t="shared" si="51"/>
        <v/>
      </c>
      <c r="BI23" s="25" t="str">
        <f t="shared" si="7"/>
        <v/>
      </c>
      <c r="BJ23" t="str">
        <f t="shared" si="52"/>
        <v/>
      </c>
      <c r="BK23" s="25" t="str">
        <f t="shared" si="8"/>
        <v/>
      </c>
      <c r="CW23" t="str">
        <f t="shared" si="9"/>
        <v/>
      </c>
      <c r="CX23">
        <f t="shared" si="10"/>
        <v>0</v>
      </c>
      <c r="CY23" t="str">
        <f t="shared" si="11"/>
        <v/>
      </c>
      <c r="CZ23" t="str">
        <f t="shared" si="12"/>
        <v/>
      </c>
      <c r="DA23" t="str">
        <f t="shared" si="13"/>
        <v/>
      </c>
      <c r="DB23" t="str">
        <f t="shared" si="14"/>
        <v/>
      </c>
      <c r="DC23" t="str">
        <f t="shared" si="15"/>
        <v/>
      </c>
      <c r="DD23" t="str">
        <f t="shared" si="16"/>
        <v/>
      </c>
      <c r="DE23" t="str">
        <f t="shared" si="17"/>
        <v/>
      </c>
      <c r="DF23" t="str">
        <f t="shared" si="18"/>
        <v/>
      </c>
      <c r="DG23" t="str">
        <f t="shared" si="19"/>
        <v/>
      </c>
      <c r="DH23" t="str">
        <f t="shared" si="20"/>
        <v/>
      </c>
      <c r="DI23" t="str">
        <f t="shared" si="21"/>
        <v/>
      </c>
      <c r="DJ23" t="str">
        <f t="shared" si="22"/>
        <v/>
      </c>
      <c r="DL23" t="str">
        <f t="shared" si="23"/>
        <v/>
      </c>
      <c r="DM23" t="str">
        <f t="shared" si="24"/>
        <v/>
      </c>
      <c r="DN23" t="str">
        <f t="shared" si="25"/>
        <v/>
      </c>
      <c r="DO23" t="str">
        <f t="shared" si="26"/>
        <v/>
      </c>
      <c r="DP23" t="str">
        <f t="shared" si="27"/>
        <v/>
      </c>
      <c r="DQ23">
        <f t="shared" si="28"/>
        <v>0</v>
      </c>
      <c r="DR23" t="str">
        <f t="shared" si="29"/>
        <v/>
      </c>
      <c r="DS23" t="str">
        <f t="shared" si="30"/>
        <v/>
      </c>
      <c r="DT23" t="str">
        <f t="shared" si="31"/>
        <v/>
      </c>
      <c r="DU23" t="str">
        <f t="shared" si="32"/>
        <v/>
      </c>
      <c r="DV23" t="str">
        <f t="shared" si="33"/>
        <v/>
      </c>
      <c r="DW23" t="str">
        <f t="shared" si="34"/>
        <v/>
      </c>
      <c r="DX23" t="str">
        <f t="shared" si="35"/>
        <v/>
      </c>
      <c r="DY23" t="str">
        <f t="shared" si="36"/>
        <v/>
      </c>
    </row>
    <row r="24" spans="1:129">
      <c r="A24">
        <v>13</v>
      </c>
      <c r="B24">
        <v>1</v>
      </c>
      <c r="C24">
        <v>44.6</v>
      </c>
      <c r="D24">
        <v>5</v>
      </c>
      <c r="E24">
        <v>3</v>
      </c>
      <c r="F24">
        <v>4625</v>
      </c>
      <c r="G24">
        <v>37.5</v>
      </c>
      <c r="H24">
        <v>20.399999999999999</v>
      </c>
      <c r="I24">
        <v>46.2</v>
      </c>
      <c r="L24">
        <f t="shared" si="37"/>
        <v>2.1862745098039218</v>
      </c>
      <c r="M24">
        <f t="shared" si="38"/>
        <v>24.200000000000003</v>
      </c>
      <c r="O24" t="str">
        <f t="shared" si="0"/>
        <v/>
      </c>
      <c r="P24" t="str">
        <f t="shared" si="39"/>
        <v/>
      </c>
      <c r="V24">
        <f t="shared" si="1"/>
        <v>44.6</v>
      </c>
      <c r="W24">
        <f t="shared" si="2"/>
        <v>2.1862745098039218</v>
      </c>
      <c r="AR24" t="str">
        <f t="shared" si="40"/>
        <v/>
      </c>
      <c r="AS24" s="25" t="str">
        <f t="shared" si="41"/>
        <v/>
      </c>
      <c r="AT24" t="str">
        <f t="shared" si="42"/>
        <v/>
      </c>
      <c r="AU24" s="25" t="str">
        <f t="shared" si="43"/>
        <v/>
      </c>
      <c r="AV24" t="str">
        <f t="shared" si="44"/>
        <v/>
      </c>
      <c r="AW24" s="25" t="str">
        <f t="shared" si="43"/>
        <v/>
      </c>
      <c r="AX24" t="str">
        <f t="shared" si="45"/>
        <v/>
      </c>
      <c r="AY24" s="25" t="str">
        <f t="shared" si="3"/>
        <v/>
      </c>
      <c r="AZ24">
        <f t="shared" si="46"/>
        <v>37.5</v>
      </c>
      <c r="BA24" s="25">
        <f t="shared" si="4"/>
        <v>3</v>
      </c>
      <c r="BB24" t="str">
        <f t="shared" si="47"/>
        <v/>
      </c>
      <c r="BC24" s="25" t="str">
        <f t="shared" si="48"/>
        <v/>
      </c>
      <c r="BD24" t="str">
        <f t="shared" si="49"/>
        <v/>
      </c>
      <c r="BE24" s="25" t="str">
        <f t="shared" si="5"/>
        <v/>
      </c>
      <c r="BF24" t="str">
        <f t="shared" si="50"/>
        <v/>
      </c>
      <c r="BG24" s="25" t="str">
        <f t="shared" si="6"/>
        <v/>
      </c>
      <c r="BH24" t="str">
        <f t="shared" si="51"/>
        <v/>
      </c>
      <c r="BI24" s="25" t="str">
        <f t="shared" si="7"/>
        <v/>
      </c>
      <c r="BJ24" t="str">
        <f t="shared" si="52"/>
        <v/>
      </c>
      <c r="BK24" s="25" t="str">
        <f t="shared" si="8"/>
        <v/>
      </c>
      <c r="CW24" t="str">
        <f t="shared" si="9"/>
        <v/>
      </c>
      <c r="CX24" t="str">
        <f t="shared" si="10"/>
        <v/>
      </c>
      <c r="CY24" t="str">
        <f t="shared" si="11"/>
        <v/>
      </c>
      <c r="CZ24" t="str">
        <f t="shared" si="12"/>
        <v/>
      </c>
      <c r="DA24">
        <f t="shared" si="13"/>
        <v>0</v>
      </c>
      <c r="DB24" t="str">
        <f t="shared" si="14"/>
        <v/>
      </c>
      <c r="DC24" t="str">
        <f t="shared" si="15"/>
        <v/>
      </c>
      <c r="DD24" t="str">
        <f t="shared" si="16"/>
        <v/>
      </c>
      <c r="DE24" t="str">
        <f t="shared" si="17"/>
        <v/>
      </c>
      <c r="DF24" t="str">
        <f t="shared" si="18"/>
        <v/>
      </c>
      <c r="DG24" t="str">
        <f t="shared" si="19"/>
        <v/>
      </c>
      <c r="DH24" t="str">
        <f t="shared" si="20"/>
        <v/>
      </c>
      <c r="DI24" t="str">
        <f t="shared" si="21"/>
        <v/>
      </c>
      <c r="DJ24" t="str">
        <f t="shared" si="22"/>
        <v/>
      </c>
      <c r="DL24" t="str">
        <f t="shared" si="23"/>
        <v/>
      </c>
      <c r="DM24" t="str">
        <f t="shared" si="24"/>
        <v/>
      </c>
      <c r="DN24">
        <f t="shared" si="25"/>
        <v>0</v>
      </c>
      <c r="DO24" t="str">
        <f t="shared" si="26"/>
        <v/>
      </c>
      <c r="DP24" t="str">
        <f t="shared" si="27"/>
        <v/>
      </c>
      <c r="DQ24" t="str">
        <f t="shared" si="28"/>
        <v/>
      </c>
      <c r="DR24" t="str">
        <f t="shared" si="29"/>
        <v/>
      </c>
      <c r="DS24" t="str">
        <f t="shared" si="30"/>
        <v/>
      </c>
      <c r="DT24" t="str">
        <f t="shared" si="31"/>
        <v/>
      </c>
      <c r="DU24" t="str">
        <f t="shared" si="32"/>
        <v/>
      </c>
      <c r="DV24" t="str">
        <f t="shared" si="33"/>
        <v/>
      </c>
      <c r="DW24" t="str">
        <f t="shared" si="34"/>
        <v/>
      </c>
      <c r="DX24" t="str">
        <f t="shared" si="35"/>
        <v/>
      </c>
      <c r="DY24" t="str">
        <f t="shared" si="36"/>
        <v/>
      </c>
    </row>
    <row r="25" spans="1:129">
      <c r="A25">
        <v>2</v>
      </c>
      <c r="B25">
        <v>13</v>
      </c>
      <c r="C25">
        <v>44.8</v>
      </c>
      <c r="D25">
        <v>4</v>
      </c>
      <c r="E25">
        <v>5</v>
      </c>
      <c r="F25">
        <v>4602</v>
      </c>
      <c r="G25">
        <v>54.2</v>
      </c>
      <c r="H25">
        <v>24.5</v>
      </c>
      <c r="I25">
        <v>52.2</v>
      </c>
      <c r="L25">
        <f t="shared" si="37"/>
        <v>1.8285714285714285</v>
      </c>
      <c r="M25">
        <f t="shared" si="38"/>
        <v>20.299999999999997</v>
      </c>
      <c r="O25">
        <f t="shared" si="0"/>
        <v>44.8</v>
      </c>
      <c r="P25">
        <f t="shared" si="39"/>
        <v>1.8285714285714285</v>
      </c>
      <c r="V25" t="str">
        <f t="shared" si="1"/>
        <v/>
      </c>
      <c r="W25" t="str">
        <f t="shared" si="2"/>
        <v/>
      </c>
      <c r="AR25" t="str">
        <f t="shared" si="40"/>
        <v/>
      </c>
      <c r="AS25" s="25" t="str">
        <f t="shared" si="41"/>
        <v/>
      </c>
      <c r="AT25" t="str">
        <f t="shared" si="42"/>
        <v/>
      </c>
      <c r="AU25" s="25" t="str">
        <f t="shared" si="43"/>
        <v/>
      </c>
      <c r="AV25" t="str">
        <f t="shared" si="44"/>
        <v/>
      </c>
      <c r="AW25" s="25" t="str">
        <f t="shared" si="43"/>
        <v/>
      </c>
      <c r="AX25">
        <f t="shared" si="45"/>
        <v>54.2</v>
      </c>
      <c r="AY25" s="25">
        <f t="shared" si="3"/>
        <v>5</v>
      </c>
      <c r="AZ25" t="str">
        <f t="shared" si="46"/>
        <v/>
      </c>
      <c r="BA25" s="25" t="str">
        <f t="shared" si="4"/>
        <v/>
      </c>
      <c r="BB25" t="str">
        <f t="shared" si="47"/>
        <v/>
      </c>
      <c r="BC25" s="25" t="str">
        <f t="shared" si="48"/>
        <v/>
      </c>
      <c r="BD25" t="str">
        <f t="shared" si="49"/>
        <v/>
      </c>
      <c r="BE25" s="25" t="str">
        <f t="shared" si="5"/>
        <v/>
      </c>
      <c r="BF25" t="str">
        <f t="shared" si="50"/>
        <v/>
      </c>
      <c r="BG25" s="25" t="str">
        <f t="shared" si="6"/>
        <v/>
      </c>
      <c r="BH25" t="str">
        <f t="shared" si="51"/>
        <v/>
      </c>
      <c r="BI25" s="25" t="str">
        <f t="shared" si="7"/>
        <v/>
      </c>
      <c r="BJ25" t="str">
        <f t="shared" si="52"/>
        <v/>
      </c>
      <c r="BK25" s="25" t="str">
        <f t="shared" si="8"/>
        <v/>
      </c>
      <c r="CW25" t="str">
        <f t="shared" si="9"/>
        <v/>
      </c>
      <c r="CX25" t="str">
        <f t="shared" si="10"/>
        <v/>
      </c>
      <c r="CY25" t="str">
        <f t="shared" si="11"/>
        <v/>
      </c>
      <c r="CZ25">
        <f t="shared" si="12"/>
        <v>0</v>
      </c>
      <c r="DA25" t="str">
        <f t="shared" si="13"/>
        <v/>
      </c>
      <c r="DB25" t="str">
        <f t="shared" si="14"/>
        <v/>
      </c>
      <c r="DC25" t="str">
        <f t="shared" si="15"/>
        <v/>
      </c>
      <c r="DD25" t="str">
        <f t="shared" si="16"/>
        <v/>
      </c>
      <c r="DE25" t="str">
        <f t="shared" si="17"/>
        <v/>
      </c>
      <c r="DF25" t="str">
        <f t="shared" si="18"/>
        <v/>
      </c>
      <c r="DG25" t="str">
        <f t="shared" si="19"/>
        <v/>
      </c>
      <c r="DH25" t="str">
        <f t="shared" si="20"/>
        <v/>
      </c>
      <c r="DI25" t="str">
        <f t="shared" si="21"/>
        <v/>
      </c>
      <c r="DJ25" t="str">
        <f t="shared" si="22"/>
        <v/>
      </c>
      <c r="DL25" t="str">
        <f t="shared" si="23"/>
        <v/>
      </c>
      <c r="DM25" t="str">
        <f t="shared" si="24"/>
        <v/>
      </c>
      <c r="DN25" t="str">
        <f t="shared" si="25"/>
        <v/>
      </c>
      <c r="DO25" t="str">
        <f t="shared" si="26"/>
        <v/>
      </c>
      <c r="DP25">
        <f t="shared" si="27"/>
        <v>0</v>
      </c>
      <c r="DQ25" t="str">
        <f t="shared" si="28"/>
        <v/>
      </c>
      <c r="DR25" t="str">
        <f t="shared" si="29"/>
        <v/>
      </c>
      <c r="DS25" t="str">
        <f t="shared" si="30"/>
        <v/>
      </c>
      <c r="DT25" t="str">
        <f t="shared" si="31"/>
        <v/>
      </c>
      <c r="DU25" t="str">
        <f t="shared" si="32"/>
        <v/>
      </c>
      <c r="DV25" t="str">
        <f t="shared" si="33"/>
        <v/>
      </c>
      <c r="DW25" t="str">
        <f t="shared" si="34"/>
        <v/>
      </c>
      <c r="DX25" t="str">
        <f t="shared" si="35"/>
        <v/>
      </c>
      <c r="DY25" t="str">
        <f t="shared" si="36"/>
        <v/>
      </c>
    </row>
    <row r="26" spans="1:129">
      <c r="A26">
        <v>15</v>
      </c>
      <c r="B26">
        <v>14</v>
      </c>
      <c r="C26">
        <v>46.2</v>
      </c>
      <c r="D26">
        <v>6</v>
      </c>
      <c r="E26">
        <v>2</v>
      </c>
      <c r="F26">
        <v>4467</v>
      </c>
      <c r="G26">
        <v>43.5</v>
      </c>
      <c r="H26">
        <v>22.4</v>
      </c>
      <c r="I26">
        <v>67.2</v>
      </c>
      <c r="L26">
        <f t="shared" si="37"/>
        <v>2.0625000000000004</v>
      </c>
      <c r="M26">
        <f t="shared" si="38"/>
        <v>23.800000000000004</v>
      </c>
      <c r="O26" t="str">
        <f t="shared" si="0"/>
        <v/>
      </c>
      <c r="P26" t="str">
        <f t="shared" si="39"/>
        <v/>
      </c>
      <c r="V26">
        <f t="shared" si="1"/>
        <v>46.2</v>
      </c>
      <c r="W26">
        <f t="shared" si="2"/>
        <v>2.0625000000000004</v>
      </c>
      <c r="AR26" t="str">
        <f t="shared" si="40"/>
        <v/>
      </c>
      <c r="AS26" s="25" t="str">
        <f t="shared" si="41"/>
        <v/>
      </c>
      <c r="AT26" t="str">
        <f t="shared" si="42"/>
        <v/>
      </c>
      <c r="AU26" s="25" t="str">
        <f t="shared" si="43"/>
        <v/>
      </c>
      <c r="AV26" t="str">
        <f t="shared" si="44"/>
        <v/>
      </c>
      <c r="AW26" s="25" t="str">
        <f t="shared" si="43"/>
        <v/>
      </c>
      <c r="AX26" t="str">
        <f t="shared" si="45"/>
        <v/>
      </c>
      <c r="AY26" s="25" t="str">
        <f t="shared" si="3"/>
        <v/>
      </c>
      <c r="AZ26" t="str">
        <f t="shared" si="46"/>
        <v/>
      </c>
      <c r="BA26" s="25" t="str">
        <f t="shared" si="4"/>
        <v/>
      </c>
      <c r="BB26">
        <f t="shared" si="47"/>
        <v>43.5</v>
      </c>
      <c r="BC26" s="25">
        <f t="shared" si="48"/>
        <v>2</v>
      </c>
      <c r="BD26" t="str">
        <f t="shared" si="49"/>
        <v/>
      </c>
      <c r="BE26" s="25" t="str">
        <f t="shared" si="5"/>
        <v/>
      </c>
      <c r="BF26" t="str">
        <f t="shared" si="50"/>
        <v/>
      </c>
      <c r="BG26" s="25" t="str">
        <f t="shared" si="6"/>
        <v/>
      </c>
      <c r="BH26" t="str">
        <f t="shared" si="51"/>
        <v/>
      </c>
      <c r="BI26" s="25" t="str">
        <f t="shared" si="7"/>
        <v/>
      </c>
      <c r="BJ26" t="str">
        <f t="shared" si="52"/>
        <v/>
      </c>
      <c r="BK26" s="25" t="str">
        <f t="shared" si="8"/>
        <v/>
      </c>
      <c r="CW26" t="str">
        <f t="shared" si="9"/>
        <v/>
      </c>
      <c r="CX26" t="str">
        <f t="shared" si="10"/>
        <v/>
      </c>
      <c r="CY26" t="str">
        <f t="shared" si="11"/>
        <v/>
      </c>
      <c r="CZ26" t="str">
        <f t="shared" si="12"/>
        <v/>
      </c>
      <c r="DA26" t="str">
        <f t="shared" si="13"/>
        <v/>
      </c>
      <c r="DB26">
        <f t="shared" si="14"/>
        <v>0</v>
      </c>
      <c r="DC26" t="str">
        <f t="shared" si="15"/>
        <v/>
      </c>
      <c r="DD26" t="str">
        <f t="shared" si="16"/>
        <v/>
      </c>
      <c r="DE26" t="str">
        <f t="shared" si="17"/>
        <v/>
      </c>
      <c r="DF26" t="str">
        <f t="shared" si="18"/>
        <v/>
      </c>
      <c r="DG26" t="str">
        <f t="shared" si="19"/>
        <v/>
      </c>
      <c r="DH26" t="str">
        <f t="shared" si="20"/>
        <v/>
      </c>
      <c r="DI26" t="str">
        <f t="shared" si="21"/>
        <v/>
      </c>
      <c r="DJ26" t="str">
        <f t="shared" si="22"/>
        <v/>
      </c>
      <c r="DL26" t="str">
        <f t="shared" si="23"/>
        <v/>
      </c>
      <c r="DM26">
        <f t="shared" si="24"/>
        <v>0</v>
      </c>
      <c r="DN26" t="str">
        <f t="shared" si="25"/>
        <v/>
      </c>
      <c r="DO26" t="str">
        <f t="shared" si="26"/>
        <v/>
      </c>
      <c r="DP26" t="str">
        <f t="shared" si="27"/>
        <v/>
      </c>
      <c r="DQ26" t="str">
        <f t="shared" si="28"/>
        <v/>
      </c>
      <c r="DR26" t="str">
        <f t="shared" si="29"/>
        <v/>
      </c>
      <c r="DS26" t="str">
        <f t="shared" si="30"/>
        <v/>
      </c>
      <c r="DT26" t="str">
        <f t="shared" si="31"/>
        <v/>
      </c>
      <c r="DU26" t="str">
        <f t="shared" si="32"/>
        <v/>
      </c>
      <c r="DV26" t="str">
        <f t="shared" si="33"/>
        <v/>
      </c>
      <c r="DW26" t="str">
        <f t="shared" si="34"/>
        <v/>
      </c>
      <c r="DX26" t="str">
        <f t="shared" si="35"/>
        <v/>
      </c>
      <c r="DY26" t="str">
        <f t="shared" si="36"/>
        <v/>
      </c>
    </row>
    <row r="27" spans="1:129">
      <c r="A27">
        <v>13</v>
      </c>
      <c r="B27">
        <v>2</v>
      </c>
      <c r="C27">
        <v>54.2</v>
      </c>
      <c r="D27">
        <v>5</v>
      </c>
      <c r="E27">
        <v>4</v>
      </c>
      <c r="F27">
        <v>3808</v>
      </c>
      <c r="G27">
        <v>44.8</v>
      </c>
      <c r="H27">
        <v>24.5</v>
      </c>
      <c r="I27">
        <v>53.7</v>
      </c>
      <c r="L27">
        <f t="shared" si="37"/>
        <v>2.212244897959184</v>
      </c>
      <c r="M27">
        <f t="shared" si="38"/>
        <v>29.700000000000003</v>
      </c>
      <c r="O27" t="str">
        <f t="shared" si="0"/>
        <v/>
      </c>
      <c r="P27" t="str">
        <f t="shared" si="39"/>
        <v/>
      </c>
      <c r="V27">
        <f t="shared" si="1"/>
        <v>54.2</v>
      </c>
      <c r="W27">
        <f t="shared" si="2"/>
        <v>2.212244897959184</v>
      </c>
      <c r="AR27" t="str">
        <f t="shared" si="40"/>
        <v/>
      </c>
      <c r="AS27" s="25" t="str">
        <f t="shared" si="41"/>
        <v/>
      </c>
      <c r="AT27" t="str">
        <f t="shared" si="42"/>
        <v/>
      </c>
      <c r="AU27" s="25" t="str">
        <f t="shared" si="43"/>
        <v/>
      </c>
      <c r="AV27" t="str">
        <f t="shared" si="44"/>
        <v/>
      </c>
      <c r="AW27" s="25" t="str">
        <f t="shared" si="43"/>
        <v/>
      </c>
      <c r="AX27" t="str">
        <f t="shared" si="45"/>
        <v/>
      </c>
      <c r="AY27" s="25" t="str">
        <f t="shared" si="3"/>
        <v/>
      </c>
      <c r="AZ27">
        <f t="shared" si="46"/>
        <v>44.8</v>
      </c>
      <c r="BA27" s="25">
        <f t="shared" si="4"/>
        <v>4</v>
      </c>
      <c r="BB27" t="str">
        <f t="shared" si="47"/>
        <v/>
      </c>
      <c r="BC27" s="25" t="str">
        <f t="shared" si="48"/>
        <v/>
      </c>
      <c r="BD27" t="str">
        <f t="shared" si="49"/>
        <v/>
      </c>
      <c r="BE27" s="25" t="str">
        <f t="shared" si="5"/>
        <v/>
      </c>
      <c r="BF27" t="str">
        <f t="shared" si="50"/>
        <v/>
      </c>
      <c r="BG27" s="25" t="str">
        <f t="shared" si="6"/>
        <v/>
      </c>
      <c r="BH27" t="str">
        <f t="shared" si="51"/>
        <v/>
      </c>
      <c r="BI27" s="25" t="str">
        <f t="shared" si="7"/>
        <v/>
      </c>
      <c r="BJ27" t="str">
        <f t="shared" si="52"/>
        <v/>
      </c>
      <c r="BK27" s="25" t="str">
        <f t="shared" si="8"/>
        <v/>
      </c>
      <c r="CW27" t="str">
        <f t="shared" si="9"/>
        <v/>
      </c>
      <c r="CX27" t="str">
        <f t="shared" si="10"/>
        <v/>
      </c>
      <c r="CY27" t="str">
        <f t="shared" si="11"/>
        <v/>
      </c>
      <c r="CZ27" t="str">
        <f t="shared" si="12"/>
        <v/>
      </c>
      <c r="DA27">
        <f t="shared" si="13"/>
        <v>0</v>
      </c>
      <c r="DB27" t="str">
        <f t="shared" si="14"/>
        <v/>
      </c>
      <c r="DC27" t="str">
        <f t="shared" si="15"/>
        <v/>
      </c>
      <c r="DD27" t="str">
        <f t="shared" si="16"/>
        <v/>
      </c>
      <c r="DE27" t="str">
        <f t="shared" si="17"/>
        <v/>
      </c>
      <c r="DF27" t="str">
        <f t="shared" si="18"/>
        <v/>
      </c>
      <c r="DG27" t="str">
        <f t="shared" si="19"/>
        <v/>
      </c>
      <c r="DH27" t="str">
        <f t="shared" si="20"/>
        <v/>
      </c>
      <c r="DI27" t="str">
        <f t="shared" si="21"/>
        <v/>
      </c>
      <c r="DJ27" t="str">
        <f t="shared" si="22"/>
        <v/>
      </c>
      <c r="DL27" t="str">
        <f t="shared" si="23"/>
        <v/>
      </c>
      <c r="DM27" t="str">
        <f t="shared" si="24"/>
        <v/>
      </c>
      <c r="DN27" t="str">
        <f t="shared" si="25"/>
        <v/>
      </c>
      <c r="DO27">
        <f t="shared" si="26"/>
        <v>0</v>
      </c>
      <c r="DP27" t="str">
        <f t="shared" si="27"/>
        <v/>
      </c>
      <c r="DQ27" t="str">
        <f t="shared" si="28"/>
        <v/>
      </c>
      <c r="DR27" t="str">
        <f t="shared" si="29"/>
        <v/>
      </c>
      <c r="DS27" t="str">
        <f t="shared" si="30"/>
        <v/>
      </c>
      <c r="DT27" t="str">
        <f t="shared" si="31"/>
        <v/>
      </c>
      <c r="DU27" t="str">
        <f t="shared" si="32"/>
        <v/>
      </c>
      <c r="DV27" t="str">
        <f t="shared" si="33"/>
        <v/>
      </c>
      <c r="DW27" t="str">
        <f t="shared" si="34"/>
        <v/>
      </c>
      <c r="DX27" t="str">
        <f t="shared" si="35"/>
        <v/>
      </c>
      <c r="DY27" t="str">
        <f t="shared" si="36"/>
        <v/>
      </c>
    </row>
    <row r="28" spans="1:129">
      <c r="A28">
        <v>15</v>
      </c>
      <c r="B28">
        <v>2</v>
      </c>
      <c r="C28">
        <v>54.6</v>
      </c>
      <c r="D28">
        <v>6</v>
      </c>
      <c r="E28">
        <v>4</v>
      </c>
      <c r="F28">
        <v>3778</v>
      </c>
      <c r="G28">
        <v>54.8</v>
      </c>
      <c r="H28">
        <v>27.3</v>
      </c>
      <c r="I28">
        <v>86.9</v>
      </c>
      <c r="L28">
        <f t="shared" si="37"/>
        <v>2</v>
      </c>
      <c r="M28">
        <f t="shared" si="38"/>
        <v>27.3</v>
      </c>
      <c r="O28" t="str">
        <f t="shared" si="0"/>
        <v/>
      </c>
      <c r="P28" t="str">
        <f t="shared" si="39"/>
        <v/>
      </c>
      <c r="V28">
        <f t="shared" si="1"/>
        <v>54.6</v>
      </c>
      <c r="W28">
        <f t="shared" si="2"/>
        <v>2</v>
      </c>
      <c r="AR28" t="str">
        <f t="shared" si="40"/>
        <v/>
      </c>
      <c r="AS28" s="25" t="str">
        <f t="shared" si="41"/>
        <v/>
      </c>
      <c r="AT28" t="str">
        <f t="shared" si="42"/>
        <v/>
      </c>
      <c r="AU28" s="25" t="str">
        <f t="shared" si="43"/>
        <v/>
      </c>
      <c r="AV28" t="str">
        <f t="shared" si="44"/>
        <v/>
      </c>
      <c r="AW28" s="25" t="str">
        <f t="shared" si="43"/>
        <v/>
      </c>
      <c r="AX28" t="str">
        <f t="shared" si="45"/>
        <v/>
      </c>
      <c r="AY28" s="25" t="str">
        <f t="shared" si="3"/>
        <v/>
      </c>
      <c r="AZ28" t="str">
        <f t="shared" si="46"/>
        <v/>
      </c>
      <c r="BA28" s="25" t="str">
        <f t="shared" si="4"/>
        <v/>
      </c>
      <c r="BB28">
        <f t="shared" si="47"/>
        <v>54.8</v>
      </c>
      <c r="BC28" s="25">
        <f t="shared" si="48"/>
        <v>4</v>
      </c>
      <c r="BD28" t="str">
        <f t="shared" si="49"/>
        <v/>
      </c>
      <c r="BE28" s="25" t="str">
        <f t="shared" si="5"/>
        <v/>
      </c>
      <c r="BF28" t="str">
        <f t="shared" si="50"/>
        <v/>
      </c>
      <c r="BG28" s="25" t="str">
        <f t="shared" si="6"/>
        <v/>
      </c>
      <c r="BH28" t="str">
        <f t="shared" si="51"/>
        <v/>
      </c>
      <c r="BI28" s="25" t="str">
        <f t="shared" si="7"/>
        <v/>
      </c>
      <c r="BJ28" t="str">
        <f t="shared" si="52"/>
        <v/>
      </c>
      <c r="BK28" s="25" t="str">
        <f t="shared" si="8"/>
        <v/>
      </c>
      <c r="CW28" t="str">
        <f t="shared" si="9"/>
        <v/>
      </c>
      <c r="CX28" t="str">
        <f t="shared" si="10"/>
        <v/>
      </c>
      <c r="CY28" t="str">
        <f t="shared" si="11"/>
        <v/>
      </c>
      <c r="CZ28" t="str">
        <f t="shared" si="12"/>
        <v/>
      </c>
      <c r="DA28" t="str">
        <f t="shared" si="13"/>
        <v/>
      </c>
      <c r="DB28">
        <f t="shared" si="14"/>
        <v>0</v>
      </c>
      <c r="DC28" t="str">
        <f t="shared" si="15"/>
        <v/>
      </c>
      <c r="DD28" t="str">
        <f t="shared" si="16"/>
        <v/>
      </c>
      <c r="DE28" t="str">
        <f t="shared" si="17"/>
        <v/>
      </c>
      <c r="DF28" t="str">
        <f t="shared" si="18"/>
        <v/>
      </c>
      <c r="DG28" t="str">
        <f t="shared" si="19"/>
        <v/>
      </c>
      <c r="DH28" t="str">
        <f t="shared" si="20"/>
        <v/>
      </c>
      <c r="DI28" t="str">
        <f t="shared" si="21"/>
        <v/>
      </c>
      <c r="DJ28" t="str">
        <f t="shared" si="22"/>
        <v/>
      </c>
      <c r="DL28" t="str">
        <f t="shared" si="23"/>
        <v/>
      </c>
      <c r="DM28" t="str">
        <f t="shared" si="24"/>
        <v/>
      </c>
      <c r="DN28" t="str">
        <f t="shared" si="25"/>
        <v/>
      </c>
      <c r="DO28">
        <f t="shared" si="26"/>
        <v>0</v>
      </c>
      <c r="DP28" t="str">
        <f t="shared" si="27"/>
        <v/>
      </c>
      <c r="DQ28" t="str">
        <f t="shared" si="28"/>
        <v/>
      </c>
      <c r="DR28" t="str">
        <f t="shared" si="29"/>
        <v/>
      </c>
      <c r="DS28" t="str">
        <f t="shared" si="30"/>
        <v/>
      </c>
      <c r="DT28" t="str">
        <f t="shared" si="31"/>
        <v/>
      </c>
      <c r="DU28" t="str">
        <f t="shared" si="32"/>
        <v/>
      </c>
      <c r="DV28" t="str">
        <f t="shared" si="33"/>
        <v/>
      </c>
      <c r="DW28" t="str">
        <f t="shared" si="34"/>
        <v/>
      </c>
      <c r="DX28" t="str">
        <f t="shared" si="35"/>
        <v/>
      </c>
      <c r="DY28" t="str">
        <f t="shared" si="36"/>
        <v/>
      </c>
    </row>
    <row r="29" spans="1:129">
      <c r="A29">
        <v>2</v>
      </c>
      <c r="B29">
        <v>15</v>
      </c>
      <c r="C29">
        <v>54.8</v>
      </c>
      <c r="D29">
        <v>4</v>
      </c>
      <c r="E29">
        <v>6</v>
      </c>
      <c r="F29">
        <v>3770</v>
      </c>
      <c r="G29">
        <v>54.6</v>
      </c>
      <c r="H29">
        <v>27.3</v>
      </c>
      <c r="I29">
        <v>89.7</v>
      </c>
      <c r="L29">
        <f t="shared" si="37"/>
        <v>2.0073260073260073</v>
      </c>
      <c r="M29">
        <f t="shared" si="38"/>
        <v>27.499999999999996</v>
      </c>
      <c r="O29">
        <f t="shared" si="0"/>
        <v>54.8</v>
      </c>
      <c r="P29">
        <f t="shared" si="39"/>
        <v>2.0073260073260073</v>
      </c>
      <c r="V29" t="str">
        <f t="shared" si="1"/>
        <v/>
      </c>
      <c r="W29" t="str">
        <f t="shared" si="2"/>
        <v/>
      </c>
      <c r="AR29" t="str">
        <f t="shared" si="40"/>
        <v/>
      </c>
      <c r="AS29" s="25" t="str">
        <f t="shared" si="41"/>
        <v/>
      </c>
      <c r="AT29" t="str">
        <f t="shared" si="42"/>
        <v/>
      </c>
      <c r="AU29" s="25" t="str">
        <f t="shared" si="43"/>
        <v/>
      </c>
      <c r="AV29" t="str">
        <f t="shared" si="44"/>
        <v/>
      </c>
      <c r="AW29" s="25" t="str">
        <f t="shared" si="43"/>
        <v/>
      </c>
      <c r="AX29">
        <f t="shared" si="45"/>
        <v>54.6</v>
      </c>
      <c r="AY29" s="25">
        <f t="shared" si="3"/>
        <v>6</v>
      </c>
      <c r="AZ29" t="str">
        <f t="shared" si="46"/>
        <v/>
      </c>
      <c r="BA29" s="25" t="str">
        <f t="shared" si="4"/>
        <v/>
      </c>
      <c r="BB29" t="str">
        <f t="shared" si="47"/>
        <v/>
      </c>
      <c r="BC29" s="25" t="str">
        <f t="shared" si="48"/>
        <v/>
      </c>
      <c r="BD29" t="str">
        <f t="shared" si="49"/>
        <v/>
      </c>
      <c r="BE29" s="25" t="str">
        <f t="shared" si="5"/>
        <v/>
      </c>
      <c r="BF29" t="str">
        <f t="shared" si="50"/>
        <v/>
      </c>
      <c r="BG29" s="25" t="str">
        <f t="shared" si="6"/>
        <v/>
      </c>
      <c r="BH29" t="str">
        <f t="shared" si="51"/>
        <v/>
      </c>
      <c r="BI29" s="25" t="str">
        <f t="shared" si="7"/>
        <v/>
      </c>
      <c r="BJ29" t="str">
        <f t="shared" si="52"/>
        <v/>
      </c>
      <c r="BK29" s="25" t="str">
        <f t="shared" si="8"/>
        <v/>
      </c>
      <c r="CW29" t="str">
        <f t="shared" si="9"/>
        <v/>
      </c>
      <c r="CX29" t="str">
        <f t="shared" si="10"/>
        <v/>
      </c>
      <c r="CY29" t="str">
        <f t="shared" si="11"/>
        <v/>
      </c>
      <c r="CZ29">
        <f t="shared" si="12"/>
        <v>0</v>
      </c>
      <c r="DA29" t="str">
        <f t="shared" si="13"/>
        <v/>
      </c>
      <c r="DB29" t="str">
        <f t="shared" si="14"/>
        <v/>
      </c>
      <c r="DC29" t="str">
        <f t="shared" si="15"/>
        <v/>
      </c>
      <c r="DD29" t="str">
        <f t="shared" si="16"/>
        <v/>
      </c>
      <c r="DE29" t="str">
        <f t="shared" si="17"/>
        <v/>
      </c>
      <c r="DF29" t="str">
        <f t="shared" si="18"/>
        <v/>
      </c>
      <c r="DG29" t="str">
        <f t="shared" si="19"/>
        <v/>
      </c>
      <c r="DH29" t="str">
        <f t="shared" si="20"/>
        <v/>
      </c>
      <c r="DI29" t="str">
        <f t="shared" si="21"/>
        <v/>
      </c>
      <c r="DJ29" t="str">
        <f t="shared" si="22"/>
        <v/>
      </c>
      <c r="DL29" t="str">
        <f t="shared" si="23"/>
        <v/>
      </c>
      <c r="DM29" t="str">
        <f t="shared" si="24"/>
        <v/>
      </c>
      <c r="DN29" t="str">
        <f t="shared" si="25"/>
        <v/>
      </c>
      <c r="DO29" t="str">
        <f t="shared" si="26"/>
        <v/>
      </c>
      <c r="DP29" t="str">
        <f t="shared" si="27"/>
        <v/>
      </c>
      <c r="DQ29">
        <f t="shared" si="28"/>
        <v>0</v>
      </c>
      <c r="DR29" t="str">
        <f t="shared" si="29"/>
        <v/>
      </c>
      <c r="DS29" t="str">
        <f t="shared" si="30"/>
        <v/>
      </c>
      <c r="DT29" t="str">
        <f t="shared" si="31"/>
        <v/>
      </c>
      <c r="DU29" t="str">
        <f t="shared" si="32"/>
        <v/>
      </c>
      <c r="DV29" t="str">
        <f t="shared" si="33"/>
        <v/>
      </c>
      <c r="DW29" t="str">
        <f t="shared" si="34"/>
        <v/>
      </c>
      <c r="DX29" t="str">
        <f t="shared" si="35"/>
        <v/>
      </c>
      <c r="DY29" t="str">
        <f t="shared" si="36"/>
        <v/>
      </c>
    </row>
    <row r="30" spans="1:129">
      <c r="A30">
        <v>15</v>
      </c>
      <c r="B30">
        <v>8</v>
      </c>
      <c r="C30">
        <v>55.3</v>
      </c>
      <c r="D30">
        <v>6</v>
      </c>
      <c r="E30">
        <v>1</v>
      </c>
      <c r="F30">
        <v>3731</v>
      </c>
      <c r="G30">
        <v>33</v>
      </c>
      <c r="H30">
        <v>20.7</v>
      </c>
      <c r="I30">
        <v>38.700000000000003</v>
      </c>
      <c r="L30">
        <f t="shared" si="37"/>
        <v>2.6714975845410627</v>
      </c>
      <c r="M30">
        <f t="shared" si="38"/>
        <v>34.599999999999994</v>
      </c>
      <c r="O30" t="str">
        <f t="shared" si="0"/>
        <v/>
      </c>
      <c r="P30" t="str">
        <f t="shared" si="39"/>
        <v/>
      </c>
      <c r="V30">
        <f t="shared" si="1"/>
        <v>55.3</v>
      </c>
      <c r="W30">
        <f t="shared" si="2"/>
        <v>2.6714975845410627</v>
      </c>
      <c r="AR30" t="str">
        <f t="shared" si="40"/>
        <v/>
      </c>
      <c r="AS30" s="25" t="str">
        <f t="shared" si="41"/>
        <v/>
      </c>
      <c r="AT30" t="str">
        <f t="shared" si="42"/>
        <v/>
      </c>
      <c r="AU30" s="25" t="str">
        <f t="shared" si="43"/>
        <v/>
      </c>
      <c r="AV30" t="str">
        <f t="shared" si="44"/>
        <v/>
      </c>
      <c r="AW30" s="25" t="str">
        <f t="shared" si="43"/>
        <v/>
      </c>
      <c r="AX30" t="str">
        <f t="shared" si="45"/>
        <v/>
      </c>
      <c r="AY30" s="25" t="str">
        <f t="shared" si="3"/>
        <v/>
      </c>
      <c r="AZ30" t="str">
        <f t="shared" si="46"/>
        <v/>
      </c>
      <c r="BA30" s="25" t="str">
        <f t="shared" si="4"/>
        <v/>
      </c>
      <c r="BB30">
        <f t="shared" si="47"/>
        <v>33</v>
      </c>
      <c r="BC30" s="25">
        <f t="shared" si="48"/>
        <v>1</v>
      </c>
      <c r="BD30" t="str">
        <f t="shared" si="49"/>
        <v/>
      </c>
      <c r="BE30" s="25" t="str">
        <f t="shared" si="5"/>
        <v/>
      </c>
      <c r="BF30" t="str">
        <f t="shared" si="50"/>
        <v/>
      </c>
      <c r="BG30" s="25" t="str">
        <f t="shared" si="6"/>
        <v/>
      </c>
      <c r="BH30" t="str">
        <f t="shared" si="51"/>
        <v/>
      </c>
      <c r="BI30" s="25" t="str">
        <f t="shared" si="7"/>
        <v/>
      </c>
      <c r="BJ30" t="str">
        <f t="shared" si="52"/>
        <v/>
      </c>
      <c r="BK30" s="25" t="str">
        <f t="shared" si="8"/>
        <v/>
      </c>
      <c r="CW30" t="str">
        <f t="shared" si="9"/>
        <v/>
      </c>
      <c r="CX30" t="str">
        <f t="shared" si="10"/>
        <v/>
      </c>
      <c r="CY30" t="str">
        <f t="shared" si="11"/>
        <v/>
      </c>
      <c r="CZ30" t="str">
        <f t="shared" si="12"/>
        <v/>
      </c>
      <c r="DA30" t="str">
        <f t="shared" si="13"/>
        <v/>
      </c>
      <c r="DB30">
        <f t="shared" si="14"/>
        <v>0</v>
      </c>
      <c r="DC30" t="str">
        <f t="shared" si="15"/>
        <v/>
      </c>
      <c r="DD30" t="str">
        <f t="shared" si="16"/>
        <v/>
      </c>
      <c r="DE30" t="str">
        <f t="shared" si="17"/>
        <v/>
      </c>
      <c r="DF30" t="str">
        <f t="shared" si="18"/>
        <v/>
      </c>
      <c r="DG30" t="str">
        <f t="shared" si="19"/>
        <v/>
      </c>
      <c r="DH30" t="str">
        <f t="shared" si="20"/>
        <v/>
      </c>
      <c r="DI30" t="str">
        <f t="shared" si="21"/>
        <v/>
      </c>
      <c r="DJ30" t="str">
        <f t="shared" si="22"/>
        <v/>
      </c>
      <c r="DL30">
        <f t="shared" si="23"/>
        <v>0</v>
      </c>
      <c r="DM30" t="str">
        <f t="shared" si="24"/>
        <v/>
      </c>
      <c r="DN30" t="str">
        <f t="shared" si="25"/>
        <v/>
      </c>
      <c r="DO30" t="str">
        <f t="shared" si="26"/>
        <v/>
      </c>
      <c r="DP30" t="str">
        <f t="shared" si="27"/>
        <v/>
      </c>
      <c r="DQ30" t="str">
        <f t="shared" si="28"/>
        <v/>
      </c>
      <c r="DR30" t="str">
        <f t="shared" si="29"/>
        <v/>
      </c>
      <c r="DS30" t="str">
        <f t="shared" si="30"/>
        <v/>
      </c>
      <c r="DT30" t="str">
        <f t="shared" si="31"/>
        <v/>
      </c>
      <c r="DU30" t="str">
        <f t="shared" si="32"/>
        <v/>
      </c>
      <c r="DV30" t="str">
        <f t="shared" si="33"/>
        <v/>
      </c>
      <c r="DW30" t="str">
        <f t="shared" si="34"/>
        <v/>
      </c>
      <c r="DX30" t="str">
        <f t="shared" si="35"/>
        <v/>
      </c>
      <c r="DY30" t="str">
        <f t="shared" si="36"/>
        <v/>
      </c>
    </row>
    <row r="31" spans="1:129">
      <c r="A31">
        <v>8</v>
      </c>
      <c r="B31">
        <v>9</v>
      </c>
      <c r="C31">
        <v>61.1</v>
      </c>
      <c r="D31">
        <v>1</v>
      </c>
      <c r="E31">
        <v>7</v>
      </c>
      <c r="F31">
        <v>3376</v>
      </c>
      <c r="G31">
        <v>128.19999999999999</v>
      </c>
      <c r="H31">
        <v>41.4</v>
      </c>
      <c r="I31">
        <v>67.3</v>
      </c>
      <c r="L31">
        <f t="shared" si="37"/>
        <v>1.4758454106280194</v>
      </c>
      <c r="M31">
        <f t="shared" si="38"/>
        <v>19.700000000000003</v>
      </c>
      <c r="AR31">
        <f t="shared" si="40"/>
        <v>128.19999999999999</v>
      </c>
      <c r="AS31" s="25">
        <f t="shared" si="41"/>
        <v>7</v>
      </c>
      <c r="AT31" t="str">
        <f t="shared" si="42"/>
        <v/>
      </c>
      <c r="AU31" s="25" t="str">
        <f t="shared" si="43"/>
        <v/>
      </c>
      <c r="AV31" t="str">
        <f t="shared" si="44"/>
        <v/>
      </c>
      <c r="AW31" s="25" t="str">
        <f t="shared" si="43"/>
        <v/>
      </c>
      <c r="AX31" t="str">
        <f t="shared" si="45"/>
        <v/>
      </c>
      <c r="AY31" s="25" t="str">
        <f t="shared" si="3"/>
        <v/>
      </c>
      <c r="AZ31" t="str">
        <f t="shared" si="46"/>
        <v/>
      </c>
      <c r="BA31" s="25" t="str">
        <f t="shared" si="4"/>
        <v/>
      </c>
      <c r="BB31" t="str">
        <f t="shared" si="47"/>
        <v/>
      </c>
      <c r="BC31" s="25" t="str">
        <f t="shared" si="48"/>
        <v/>
      </c>
      <c r="BD31" t="str">
        <f t="shared" si="49"/>
        <v/>
      </c>
      <c r="BE31" s="25" t="str">
        <f t="shared" si="5"/>
        <v/>
      </c>
      <c r="BF31" t="str">
        <f t="shared" si="50"/>
        <v/>
      </c>
      <c r="BG31" s="25" t="str">
        <f t="shared" si="6"/>
        <v/>
      </c>
      <c r="BH31" t="str">
        <f t="shared" si="51"/>
        <v/>
      </c>
      <c r="BI31" s="25" t="str">
        <f t="shared" si="7"/>
        <v/>
      </c>
      <c r="BJ31" t="str">
        <f t="shared" si="52"/>
        <v/>
      </c>
      <c r="BK31" s="25" t="str">
        <f t="shared" si="8"/>
        <v/>
      </c>
      <c r="CW31">
        <f t="shared" si="9"/>
        <v>0</v>
      </c>
      <c r="CX31" t="str">
        <f t="shared" si="10"/>
        <v/>
      </c>
      <c r="CY31" t="str">
        <f t="shared" si="11"/>
        <v/>
      </c>
      <c r="CZ31" t="str">
        <f t="shared" si="12"/>
        <v/>
      </c>
      <c r="DA31" t="str">
        <f t="shared" si="13"/>
        <v/>
      </c>
      <c r="DB31" t="str">
        <f t="shared" si="14"/>
        <v/>
      </c>
      <c r="DC31" t="str">
        <f t="shared" si="15"/>
        <v/>
      </c>
      <c r="DD31" t="str">
        <f t="shared" si="16"/>
        <v/>
      </c>
      <c r="DE31" t="str">
        <f t="shared" si="17"/>
        <v/>
      </c>
      <c r="DF31" t="str">
        <f t="shared" si="18"/>
        <v/>
      </c>
      <c r="DG31" t="str">
        <f t="shared" si="19"/>
        <v/>
      </c>
      <c r="DH31" t="str">
        <f t="shared" si="20"/>
        <v/>
      </c>
      <c r="DI31" t="str">
        <f t="shared" si="21"/>
        <v/>
      </c>
      <c r="DJ31" t="str">
        <f t="shared" si="22"/>
        <v/>
      </c>
      <c r="DL31" t="str">
        <f t="shared" si="23"/>
        <v/>
      </c>
      <c r="DM31" t="str">
        <f t="shared" si="24"/>
        <v/>
      </c>
      <c r="DN31" t="str">
        <f t="shared" si="25"/>
        <v/>
      </c>
      <c r="DO31" t="str">
        <f t="shared" si="26"/>
        <v/>
      </c>
      <c r="DP31" t="str">
        <f t="shared" si="27"/>
        <v/>
      </c>
      <c r="DQ31" t="str">
        <f t="shared" si="28"/>
        <v/>
      </c>
      <c r="DR31">
        <f t="shared" si="29"/>
        <v>0</v>
      </c>
      <c r="DS31" t="str">
        <f t="shared" si="30"/>
        <v/>
      </c>
      <c r="DT31" t="str">
        <f t="shared" si="31"/>
        <v/>
      </c>
      <c r="DU31" t="str">
        <f t="shared" si="32"/>
        <v/>
      </c>
      <c r="DV31" t="str">
        <f t="shared" si="33"/>
        <v/>
      </c>
      <c r="DW31" t="str">
        <f t="shared" si="34"/>
        <v/>
      </c>
      <c r="DX31" t="str">
        <f t="shared" si="35"/>
        <v/>
      </c>
      <c r="DY31" t="str">
        <f t="shared" si="36"/>
        <v/>
      </c>
    </row>
    <row r="32" spans="1:129">
      <c r="A32">
        <v>1</v>
      </c>
      <c r="B32">
        <v>15</v>
      </c>
      <c r="C32">
        <v>63.6</v>
      </c>
      <c r="D32">
        <v>3</v>
      </c>
      <c r="E32">
        <v>6</v>
      </c>
      <c r="F32">
        <v>3244</v>
      </c>
      <c r="G32">
        <v>98.3</v>
      </c>
      <c r="H32">
        <v>38.6</v>
      </c>
      <c r="I32">
        <v>70</v>
      </c>
      <c r="L32">
        <f t="shared" si="37"/>
        <v>1.6476683937823835</v>
      </c>
      <c r="AR32" t="str">
        <f t="shared" si="40"/>
        <v/>
      </c>
      <c r="AS32" s="25" t="str">
        <f t="shared" si="41"/>
        <v/>
      </c>
      <c r="AT32" t="str">
        <f t="shared" si="42"/>
        <v/>
      </c>
      <c r="AU32" s="25" t="str">
        <f t="shared" si="43"/>
        <v/>
      </c>
      <c r="AV32">
        <f t="shared" si="44"/>
        <v>98.3</v>
      </c>
      <c r="AW32" s="25">
        <f t="shared" si="43"/>
        <v>6</v>
      </c>
      <c r="AX32" t="str">
        <f t="shared" si="45"/>
        <v/>
      </c>
      <c r="AY32" s="25" t="str">
        <f t="shared" si="3"/>
        <v/>
      </c>
      <c r="AZ32" t="str">
        <f t="shared" si="46"/>
        <v/>
      </c>
      <c r="BA32" s="25" t="str">
        <f t="shared" si="4"/>
        <v/>
      </c>
      <c r="BB32" t="str">
        <f t="shared" si="47"/>
        <v/>
      </c>
      <c r="BC32" s="25" t="str">
        <f t="shared" si="48"/>
        <v/>
      </c>
      <c r="BD32" t="str">
        <f t="shared" si="49"/>
        <v/>
      </c>
      <c r="BE32" s="25" t="str">
        <f t="shared" si="5"/>
        <v/>
      </c>
      <c r="BF32" t="str">
        <f t="shared" si="50"/>
        <v/>
      </c>
      <c r="BG32" s="25" t="str">
        <f t="shared" si="6"/>
        <v/>
      </c>
      <c r="BH32" t="str">
        <f t="shared" si="51"/>
        <v/>
      </c>
      <c r="BI32" s="25" t="str">
        <f t="shared" si="7"/>
        <v/>
      </c>
      <c r="BJ32" t="str">
        <f t="shared" si="52"/>
        <v/>
      </c>
      <c r="BK32" s="25" t="str">
        <f t="shared" si="8"/>
        <v/>
      </c>
      <c r="CW32" t="str">
        <f t="shared" si="9"/>
        <v/>
      </c>
      <c r="CX32" t="str">
        <f t="shared" si="10"/>
        <v/>
      </c>
      <c r="CY32">
        <f t="shared" si="11"/>
        <v>0</v>
      </c>
      <c r="CZ32" t="str">
        <f t="shared" si="12"/>
        <v/>
      </c>
      <c r="DA32" t="str">
        <f t="shared" si="13"/>
        <v/>
      </c>
      <c r="DB32" t="str">
        <f t="shared" si="14"/>
        <v/>
      </c>
      <c r="DC32" t="str">
        <f t="shared" si="15"/>
        <v/>
      </c>
      <c r="DD32" t="str">
        <f t="shared" si="16"/>
        <v/>
      </c>
      <c r="DE32" t="str">
        <f t="shared" si="17"/>
        <v/>
      </c>
      <c r="DF32" t="str">
        <f t="shared" si="18"/>
        <v/>
      </c>
      <c r="DG32" t="str">
        <f t="shared" si="19"/>
        <v/>
      </c>
      <c r="DH32" t="str">
        <f t="shared" si="20"/>
        <v/>
      </c>
      <c r="DI32" t="str">
        <f t="shared" si="21"/>
        <v/>
      </c>
      <c r="DJ32" t="str">
        <f t="shared" si="22"/>
        <v/>
      </c>
      <c r="DL32" t="str">
        <f t="shared" si="23"/>
        <v/>
      </c>
      <c r="DM32" t="str">
        <f t="shared" si="24"/>
        <v/>
      </c>
      <c r="DN32" t="str">
        <f t="shared" si="25"/>
        <v/>
      </c>
      <c r="DO32" t="str">
        <f t="shared" si="26"/>
        <v/>
      </c>
      <c r="DP32" t="str">
        <f t="shared" si="27"/>
        <v/>
      </c>
      <c r="DQ32">
        <f t="shared" si="28"/>
        <v>0</v>
      </c>
      <c r="DR32" t="str">
        <f t="shared" si="29"/>
        <v/>
      </c>
      <c r="DS32" t="str">
        <f t="shared" si="30"/>
        <v/>
      </c>
      <c r="DT32" t="str">
        <f t="shared" si="31"/>
        <v/>
      </c>
      <c r="DU32" t="str">
        <f t="shared" si="32"/>
        <v/>
      </c>
      <c r="DV32" t="str">
        <f t="shared" si="33"/>
        <v/>
      </c>
      <c r="DW32" t="str">
        <f t="shared" si="34"/>
        <v/>
      </c>
      <c r="DX32" t="str">
        <f t="shared" si="35"/>
        <v/>
      </c>
      <c r="DY32" t="str">
        <f t="shared" si="36"/>
        <v/>
      </c>
    </row>
    <row r="33" spans="1:134">
      <c r="A33">
        <v>14</v>
      </c>
      <c r="B33">
        <v>9</v>
      </c>
      <c r="C33">
        <v>82.1</v>
      </c>
      <c r="D33">
        <v>2</v>
      </c>
      <c r="E33">
        <v>7</v>
      </c>
      <c r="F33">
        <v>2516</v>
      </c>
      <c r="G33">
        <v>150.80000000000001</v>
      </c>
      <c r="H33">
        <v>53.2</v>
      </c>
      <c r="I33">
        <v>72.5</v>
      </c>
      <c r="L33" s="25"/>
      <c r="O33" s="25"/>
      <c r="AR33" t="str">
        <f t="shared" si="40"/>
        <v/>
      </c>
      <c r="AS33" s="25" t="str">
        <f t="shared" si="41"/>
        <v/>
      </c>
      <c r="AT33">
        <f t="shared" si="42"/>
        <v>150.80000000000001</v>
      </c>
      <c r="AU33" s="25">
        <f t="shared" si="43"/>
        <v>7</v>
      </c>
      <c r="AV33" t="str">
        <f t="shared" si="44"/>
        <v/>
      </c>
      <c r="AW33" s="25" t="str">
        <f t="shared" si="43"/>
        <v/>
      </c>
      <c r="AX33" t="str">
        <f t="shared" si="45"/>
        <v/>
      </c>
      <c r="AY33" s="25" t="str">
        <f t="shared" si="3"/>
        <v/>
      </c>
      <c r="AZ33" t="str">
        <f t="shared" si="46"/>
        <v/>
      </c>
      <c r="BA33" s="25" t="str">
        <f t="shared" si="4"/>
        <v/>
      </c>
      <c r="BB33" t="str">
        <f t="shared" si="47"/>
        <v/>
      </c>
      <c r="BC33" s="25" t="str">
        <f t="shared" si="48"/>
        <v/>
      </c>
      <c r="BD33" t="str">
        <f t="shared" si="49"/>
        <v/>
      </c>
      <c r="BE33" s="25" t="str">
        <f t="shared" si="5"/>
        <v/>
      </c>
      <c r="BF33" t="str">
        <f t="shared" si="50"/>
        <v/>
      </c>
      <c r="BG33" s="25" t="str">
        <f t="shared" si="6"/>
        <v/>
      </c>
      <c r="BH33" t="str">
        <f t="shared" si="51"/>
        <v/>
      </c>
      <c r="BI33" s="25" t="str">
        <f t="shared" si="7"/>
        <v/>
      </c>
      <c r="BJ33" t="str">
        <f t="shared" si="52"/>
        <v/>
      </c>
      <c r="BK33" s="25" t="str">
        <f t="shared" si="8"/>
        <v/>
      </c>
      <c r="CW33">
        <f>IFERROR(SUM(CW5:CW32),0)</f>
        <v>0</v>
      </c>
      <c r="CX33">
        <f t="shared" ref="CX33:DL33" si="64">IFERROR(SUM(CX5:CX32),0)</f>
        <v>0</v>
      </c>
      <c r="CY33">
        <f t="shared" si="64"/>
        <v>0</v>
      </c>
      <c r="CZ33">
        <f t="shared" si="64"/>
        <v>0</v>
      </c>
      <c r="DA33">
        <f t="shared" si="64"/>
        <v>0</v>
      </c>
      <c r="DB33">
        <f t="shared" si="64"/>
        <v>0</v>
      </c>
      <c r="DC33">
        <f t="shared" si="64"/>
        <v>0</v>
      </c>
      <c r="DD33">
        <f t="shared" si="64"/>
        <v>0</v>
      </c>
      <c r="DE33">
        <f t="shared" si="64"/>
        <v>0</v>
      </c>
      <c r="DF33">
        <f t="shared" si="64"/>
        <v>0</v>
      </c>
      <c r="DG33">
        <f t="shared" si="64"/>
        <v>0</v>
      </c>
      <c r="DH33">
        <f t="shared" si="64"/>
        <v>0</v>
      </c>
      <c r="DI33">
        <f t="shared" si="64"/>
        <v>0</v>
      </c>
      <c r="DJ33">
        <f t="shared" si="64"/>
        <v>0</v>
      </c>
      <c r="DL33">
        <f t="shared" si="64"/>
        <v>0</v>
      </c>
      <c r="DM33">
        <f t="shared" ref="DM33" si="65">IFERROR(SUM(DM5:DM32),0)</f>
        <v>0</v>
      </c>
      <c r="DN33">
        <f t="shared" ref="DN33" si="66">IFERROR(SUM(DN5:DN32),0)</f>
        <v>0</v>
      </c>
      <c r="DO33">
        <f t="shared" ref="DO33" si="67">IFERROR(SUM(DO5:DO32),0)</f>
        <v>0</v>
      </c>
      <c r="DP33">
        <f t="shared" ref="DP33" si="68">IFERROR(SUM(DP5:DP32),0)</f>
        <v>0</v>
      </c>
      <c r="DQ33">
        <f t="shared" ref="DQ33" si="69">IFERROR(SUM(DQ5:DQ32),0)</f>
        <v>0</v>
      </c>
      <c r="DR33">
        <f t="shared" ref="DR33" si="70">IFERROR(SUM(DR5:DR32),0)</f>
        <v>0</v>
      </c>
      <c r="DS33">
        <f t="shared" ref="DS33" si="71">IFERROR(SUM(DS5:DS32),0)</f>
        <v>0</v>
      </c>
      <c r="DT33">
        <f t="shared" ref="DT33" si="72">IFERROR(SUM(DT5:DT32),0)</f>
        <v>0</v>
      </c>
      <c r="DU33">
        <f t="shared" ref="DU33" si="73">IFERROR(SUM(DU5:DU32),0)</f>
        <v>0</v>
      </c>
      <c r="DV33">
        <f t="shared" ref="DV33" si="74">IFERROR(SUM(DV5:DV32),0)</f>
        <v>0</v>
      </c>
      <c r="DW33">
        <f t="shared" ref="DW33" si="75">IFERROR(SUM(DW5:DW32),0)</f>
        <v>0</v>
      </c>
      <c r="DX33">
        <f t="shared" ref="DX33" si="76">IFERROR(SUM(DX5:DX32),0)</f>
        <v>0</v>
      </c>
      <c r="DY33">
        <f t="shared" ref="DY33" si="77">IFERROR(SUM(DY5:DY32),0)</f>
        <v>0</v>
      </c>
      <c r="EB33" t="s">
        <v>130</v>
      </c>
      <c r="EC33" t="s">
        <v>131</v>
      </c>
    </row>
    <row r="34" spans="1:134">
      <c r="A34">
        <v>13</v>
      </c>
      <c r="B34">
        <v>15</v>
      </c>
      <c r="C34">
        <v>82.4</v>
      </c>
      <c r="D34">
        <v>5</v>
      </c>
      <c r="E34">
        <v>6</v>
      </c>
      <c r="F34">
        <v>2506</v>
      </c>
      <c r="G34">
        <v>87.7</v>
      </c>
      <c r="H34">
        <v>42.5</v>
      </c>
      <c r="I34">
        <v>96.6</v>
      </c>
      <c r="AR34" t="str">
        <f t="shared" si="40"/>
        <v/>
      </c>
      <c r="AS34" s="25" t="str">
        <f t="shared" si="41"/>
        <v/>
      </c>
      <c r="AT34" t="str">
        <f t="shared" si="42"/>
        <v/>
      </c>
      <c r="AU34" s="25" t="str">
        <f t="shared" si="43"/>
        <v/>
      </c>
      <c r="AV34" t="str">
        <f t="shared" si="44"/>
        <v/>
      </c>
      <c r="AW34" s="25" t="str">
        <f t="shared" si="43"/>
        <v/>
      </c>
      <c r="AX34" t="str">
        <f t="shared" si="45"/>
        <v/>
      </c>
      <c r="AY34" s="25" t="str">
        <f t="shared" si="3"/>
        <v/>
      </c>
      <c r="AZ34">
        <f t="shared" si="46"/>
        <v>87.7</v>
      </c>
      <c r="BA34" s="25">
        <f t="shared" si="4"/>
        <v>6</v>
      </c>
      <c r="BB34" t="str">
        <f t="shared" si="47"/>
        <v/>
      </c>
      <c r="BC34" s="25" t="str">
        <f t="shared" si="48"/>
        <v/>
      </c>
      <c r="BD34" t="str">
        <f t="shared" si="49"/>
        <v/>
      </c>
      <c r="BE34" s="25" t="str">
        <f t="shared" si="5"/>
        <v/>
      </c>
      <c r="BF34" t="str">
        <f t="shared" si="50"/>
        <v/>
      </c>
      <c r="BG34" s="25" t="str">
        <f t="shared" si="6"/>
        <v/>
      </c>
      <c r="BH34" t="str">
        <f t="shared" si="51"/>
        <v/>
      </c>
      <c r="BI34" s="25" t="str">
        <f t="shared" si="7"/>
        <v/>
      </c>
      <c r="BJ34" t="str">
        <f t="shared" si="52"/>
        <v/>
      </c>
      <c r="BK34" s="25" t="str">
        <f t="shared" si="8"/>
        <v/>
      </c>
      <c r="CV34" t="s">
        <v>115</v>
      </c>
      <c r="CW34">
        <f>IFERROR(SUM(CW5:CW32),0)</f>
        <v>0</v>
      </c>
      <c r="DK34" t="s">
        <v>115</v>
      </c>
      <c r="DL34">
        <f>IFERROR(SUM(DL5:DL32),0)</f>
        <v>0</v>
      </c>
      <c r="EA34" t="s">
        <v>115</v>
      </c>
      <c r="EB34">
        <f>CW34</f>
        <v>0</v>
      </c>
      <c r="EC34">
        <f>DL34</f>
        <v>0</v>
      </c>
      <c r="ED34" t="str">
        <f>IFERROR(EC34/EB34,"")</f>
        <v/>
      </c>
    </row>
    <row r="35" spans="1:134">
      <c r="A35">
        <v>8</v>
      </c>
      <c r="B35">
        <v>5</v>
      </c>
      <c r="C35">
        <v>84.5</v>
      </c>
      <c r="D35">
        <v>1</v>
      </c>
      <c r="E35">
        <v>8</v>
      </c>
      <c r="F35">
        <v>2444</v>
      </c>
      <c r="G35">
        <v>166.7</v>
      </c>
      <c r="H35">
        <v>56.1</v>
      </c>
      <c r="I35">
        <v>90.8</v>
      </c>
      <c r="AR35">
        <f t="shared" si="40"/>
        <v>166.7</v>
      </c>
      <c r="AS35" s="25">
        <f t="shared" si="41"/>
        <v>8</v>
      </c>
      <c r="AT35" t="str">
        <f t="shared" si="42"/>
        <v/>
      </c>
      <c r="AU35" s="25" t="str">
        <f t="shared" si="43"/>
        <v/>
      </c>
      <c r="AV35" t="str">
        <f t="shared" si="44"/>
        <v/>
      </c>
      <c r="AW35" s="25" t="str">
        <f t="shared" si="43"/>
        <v/>
      </c>
      <c r="AX35" t="str">
        <f t="shared" si="45"/>
        <v/>
      </c>
      <c r="AY35" s="25" t="str">
        <f t="shared" si="3"/>
        <v/>
      </c>
      <c r="AZ35" t="str">
        <f t="shared" si="46"/>
        <v/>
      </c>
      <c r="BA35" s="25" t="str">
        <f t="shared" si="4"/>
        <v/>
      </c>
      <c r="BB35" t="str">
        <f t="shared" si="47"/>
        <v/>
      </c>
      <c r="BC35" s="25" t="str">
        <f t="shared" si="48"/>
        <v/>
      </c>
      <c r="BD35" t="str">
        <f t="shared" si="49"/>
        <v/>
      </c>
      <c r="BE35" s="25" t="str">
        <f t="shared" si="5"/>
        <v/>
      </c>
      <c r="BF35" t="str">
        <f t="shared" si="50"/>
        <v/>
      </c>
      <c r="BG35" s="25" t="str">
        <f t="shared" si="6"/>
        <v/>
      </c>
      <c r="BH35" t="str">
        <f t="shared" si="51"/>
        <v/>
      </c>
      <c r="BI35" s="25" t="str">
        <f t="shared" si="7"/>
        <v/>
      </c>
      <c r="BJ35" t="str">
        <f t="shared" si="52"/>
        <v/>
      </c>
      <c r="BK35" s="25" t="str">
        <f t="shared" si="8"/>
        <v/>
      </c>
      <c r="CV35" t="s">
        <v>116</v>
      </c>
      <c r="CW35">
        <f>IFERROR(SUM(CX5:CX32),0)</f>
        <v>0</v>
      </c>
      <c r="DK35" t="s">
        <v>116</v>
      </c>
      <c r="DL35">
        <f>IFERROR(SUM(DM5:DM32),0)</f>
        <v>0</v>
      </c>
      <c r="EA35" t="s">
        <v>116</v>
      </c>
      <c r="EB35">
        <f t="shared" ref="EB35:EB47" si="78">CW35</f>
        <v>0</v>
      </c>
      <c r="EC35">
        <f t="shared" ref="EC35:EC47" si="79">DL35</f>
        <v>0</v>
      </c>
      <c r="ED35" t="str">
        <f t="shared" ref="ED35:ED47" si="80">IFERROR(EC35/EB35,"")</f>
        <v/>
      </c>
    </row>
    <row r="36" spans="1:134">
      <c r="A36">
        <v>15</v>
      </c>
      <c r="B36">
        <v>13</v>
      </c>
      <c r="C36">
        <v>87.7</v>
      </c>
      <c r="D36">
        <v>6</v>
      </c>
      <c r="E36">
        <v>5</v>
      </c>
      <c r="F36">
        <v>2355</v>
      </c>
      <c r="G36">
        <v>82.4</v>
      </c>
      <c r="H36">
        <v>42.5</v>
      </c>
      <c r="I36">
        <v>93.7</v>
      </c>
      <c r="AR36" t="str">
        <f t="shared" si="40"/>
        <v/>
      </c>
      <c r="AS36" s="25" t="str">
        <f t="shared" si="41"/>
        <v/>
      </c>
      <c r="AT36" t="str">
        <f t="shared" si="42"/>
        <v/>
      </c>
      <c r="AU36" s="25" t="str">
        <f t="shared" si="43"/>
        <v/>
      </c>
      <c r="AV36" t="str">
        <f t="shared" si="44"/>
        <v/>
      </c>
      <c r="AW36" s="25" t="str">
        <f t="shared" si="43"/>
        <v/>
      </c>
      <c r="AX36" t="str">
        <f t="shared" si="45"/>
        <v/>
      </c>
      <c r="AY36" s="25" t="str">
        <f t="shared" si="3"/>
        <v/>
      </c>
      <c r="AZ36" t="str">
        <f t="shared" si="46"/>
        <v/>
      </c>
      <c r="BA36" s="25" t="str">
        <f t="shared" si="4"/>
        <v/>
      </c>
      <c r="BB36">
        <f t="shared" si="47"/>
        <v>82.4</v>
      </c>
      <c r="BC36" s="25">
        <f t="shared" si="48"/>
        <v>5</v>
      </c>
      <c r="BD36" t="str">
        <f t="shared" si="49"/>
        <v/>
      </c>
      <c r="BE36" s="25" t="str">
        <f t="shared" si="5"/>
        <v/>
      </c>
      <c r="BF36" t="str">
        <f t="shared" si="50"/>
        <v/>
      </c>
      <c r="BG36" s="25" t="str">
        <f t="shared" si="6"/>
        <v/>
      </c>
      <c r="BH36" t="str">
        <f t="shared" si="51"/>
        <v/>
      </c>
      <c r="BI36" s="25" t="str">
        <f t="shared" si="7"/>
        <v/>
      </c>
      <c r="BJ36" t="str">
        <f t="shared" si="52"/>
        <v/>
      </c>
      <c r="BK36" s="25" t="str">
        <f t="shared" si="8"/>
        <v/>
      </c>
      <c r="CV36" t="s">
        <v>117</v>
      </c>
      <c r="CW36">
        <f>IFERROR(SUM(CY5:CY32),0)</f>
        <v>0</v>
      </c>
      <c r="DK36" t="s">
        <v>117</v>
      </c>
      <c r="DL36">
        <f>IFERROR(SUM(DN5:DN32),0)</f>
        <v>0</v>
      </c>
      <c r="EA36" t="s">
        <v>117</v>
      </c>
      <c r="EB36">
        <f t="shared" si="78"/>
        <v>0</v>
      </c>
      <c r="EC36">
        <f t="shared" si="79"/>
        <v>0</v>
      </c>
      <c r="ED36" t="str">
        <f t="shared" si="80"/>
        <v/>
      </c>
    </row>
    <row r="37" spans="1:134">
      <c r="A37">
        <v>15</v>
      </c>
      <c r="B37">
        <v>1</v>
      </c>
      <c r="C37">
        <v>98.3</v>
      </c>
      <c r="D37">
        <v>6</v>
      </c>
      <c r="E37">
        <v>3</v>
      </c>
      <c r="F37">
        <v>2101</v>
      </c>
      <c r="G37">
        <v>63.6</v>
      </c>
      <c r="H37">
        <v>38.6</v>
      </c>
      <c r="I37">
        <v>93.9</v>
      </c>
      <c r="AR37" t="str">
        <f t="shared" si="40"/>
        <v/>
      </c>
      <c r="AS37" s="25" t="str">
        <f t="shared" si="41"/>
        <v/>
      </c>
      <c r="AT37" t="str">
        <f t="shared" si="42"/>
        <v/>
      </c>
      <c r="AU37" s="25" t="str">
        <f t="shared" si="43"/>
        <v/>
      </c>
      <c r="AV37" t="str">
        <f t="shared" si="44"/>
        <v/>
      </c>
      <c r="AW37" s="25" t="str">
        <f t="shared" si="43"/>
        <v/>
      </c>
      <c r="AX37" t="str">
        <f t="shared" si="45"/>
        <v/>
      </c>
      <c r="AY37" s="25" t="str">
        <f t="shared" si="3"/>
        <v/>
      </c>
      <c r="AZ37" t="str">
        <f t="shared" si="46"/>
        <v/>
      </c>
      <c r="BA37" s="25" t="str">
        <f t="shared" si="4"/>
        <v/>
      </c>
      <c r="BB37">
        <f t="shared" si="47"/>
        <v>63.6</v>
      </c>
      <c r="BC37" s="25">
        <f t="shared" si="48"/>
        <v>3</v>
      </c>
      <c r="BD37" t="str">
        <f t="shared" si="49"/>
        <v/>
      </c>
      <c r="BE37" s="25" t="str">
        <f t="shared" si="5"/>
        <v/>
      </c>
      <c r="BF37" t="str">
        <f t="shared" si="50"/>
        <v/>
      </c>
      <c r="BG37" s="25" t="str">
        <f t="shared" si="6"/>
        <v/>
      </c>
      <c r="BH37" t="str">
        <f t="shared" si="51"/>
        <v/>
      </c>
      <c r="BI37" s="25" t="str">
        <f t="shared" si="7"/>
        <v/>
      </c>
      <c r="BJ37" t="str">
        <f t="shared" si="52"/>
        <v/>
      </c>
      <c r="BK37" s="25" t="str">
        <f t="shared" si="8"/>
        <v/>
      </c>
      <c r="CV37" t="s">
        <v>118</v>
      </c>
      <c r="CW37">
        <f>IFERROR(SUM(CZ5:CZ32),0)</f>
        <v>0</v>
      </c>
      <c r="DK37" t="s">
        <v>118</v>
      </c>
      <c r="DL37">
        <f>IFERROR(SUM(DO5:DO32),0)</f>
        <v>0</v>
      </c>
      <c r="EA37" t="s">
        <v>118</v>
      </c>
      <c r="EB37">
        <f t="shared" si="78"/>
        <v>0</v>
      </c>
      <c r="EC37">
        <f t="shared" si="79"/>
        <v>0</v>
      </c>
      <c r="ED37" t="str">
        <f t="shared" si="80"/>
        <v/>
      </c>
    </row>
    <row r="38" spans="1:134">
      <c r="A38">
        <v>1</v>
      </c>
      <c r="B38">
        <v>9</v>
      </c>
      <c r="C38">
        <v>111.1</v>
      </c>
      <c r="D38">
        <v>3</v>
      </c>
      <c r="E38">
        <v>7</v>
      </c>
      <c r="F38">
        <v>1858</v>
      </c>
      <c r="G38">
        <v>220.4</v>
      </c>
      <c r="H38">
        <v>73.900000000000006</v>
      </c>
      <c r="I38">
        <v>106.1</v>
      </c>
      <c r="AR38" t="str">
        <f t="shared" si="40"/>
        <v/>
      </c>
      <c r="AS38" s="25" t="str">
        <f t="shared" si="41"/>
        <v/>
      </c>
      <c r="AT38" t="str">
        <f t="shared" si="42"/>
        <v/>
      </c>
      <c r="AU38" s="25" t="str">
        <f t="shared" si="43"/>
        <v/>
      </c>
      <c r="AV38">
        <f t="shared" si="44"/>
        <v>220.4</v>
      </c>
      <c r="AW38" s="25">
        <f t="shared" si="43"/>
        <v>7</v>
      </c>
      <c r="AX38" t="str">
        <f t="shared" si="45"/>
        <v/>
      </c>
      <c r="AY38" s="25" t="str">
        <f t="shared" si="3"/>
        <v/>
      </c>
      <c r="AZ38" t="str">
        <f t="shared" si="46"/>
        <v/>
      </c>
      <c r="BA38" s="25" t="str">
        <f t="shared" si="4"/>
        <v/>
      </c>
      <c r="BB38" t="str">
        <f t="shared" si="47"/>
        <v/>
      </c>
      <c r="BC38" s="25" t="str">
        <f t="shared" si="48"/>
        <v/>
      </c>
      <c r="BD38" t="str">
        <f t="shared" si="49"/>
        <v/>
      </c>
      <c r="BE38" s="25" t="str">
        <f t="shared" si="5"/>
        <v/>
      </c>
      <c r="BF38" t="str">
        <f t="shared" si="50"/>
        <v/>
      </c>
      <c r="BG38" s="25" t="str">
        <f t="shared" si="6"/>
        <v/>
      </c>
      <c r="BH38" t="str">
        <f t="shared" si="51"/>
        <v/>
      </c>
      <c r="BI38" s="25" t="str">
        <f t="shared" si="7"/>
        <v/>
      </c>
      <c r="BJ38" t="str">
        <f t="shared" si="52"/>
        <v/>
      </c>
      <c r="BK38" s="25" t="str">
        <f t="shared" si="8"/>
        <v/>
      </c>
      <c r="CV38" t="s">
        <v>119</v>
      </c>
      <c r="CW38">
        <f>IFERROR(SUM(DA5:DA32),0)</f>
        <v>0</v>
      </c>
      <c r="DK38" t="s">
        <v>119</v>
      </c>
      <c r="DL38">
        <f>IFERROR(SUM(DP5:DP32),0)</f>
        <v>0</v>
      </c>
      <c r="EA38" t="s">
        <v>119</v>
      </c>
      <c r="EB38">
        <f t="shared" si="78"/>
        <v>0</v>
      </c>
      <c r="EC38">
        <f t="shared" si="79"/>
        <v>0</v>
      </c>
      <c r="ED38" t="str">
        <f t="shared" si="80"/>
        <v/>
      </c>
    </row>
    <row r="39" spans="1:134">
      <c r="A39">
        <v>8</v>
      </c>
      <c r="B39">
        <v>11</v>
      </c>
      <c r="C39">
        <v>118.9</v>
      </c>
      <c r="D39">
        <v>1</v>
      </c>
      <c r="E39">
        <v>9</v>
      </c>
      <c r="F39">
        <v>1737</v>
      </c>
      <c r="G39">
        <v>242.4</v>
      </c>
      <c r="H39">
        <v>79.8</v>
      </c>
      <c r="I39">
        <v>134.5</v>
      </c>
      <c r="AR39">
        <f t="shared" si="40"/>
        <v>242.4</v>
      </c>
      <c r="AS39" s="25">
        <f t="shared" si="41"/>
        <v>9</v>
      </c>
      <c r="AT39" t="str">
        <f t="shared" si="42"/>
        <v/>
      </c>
      <c r="AU39" s="25" t="str">
        <f t="shared" si="43"/>
        <v/>
      </c>
      <c r="AV39" t="str">
        <f t="shared" si="44"/>
        <v/>
      </c>
      <c r="AW39" s="25" t="str">
        <f t="shared" si="43"/>
        <v/>
      </c>
      <c r="AX39" t="str">
        <f t="shared" si="45"/>
        <v/>
      </c>
      <c r="AY39" s="25" t="str">
        <f t="shared" si="3"/>
        <v/>
      </c>
      <c r="AZ39" t="str">
        <f t="shared" si="46"/>
        <v/>
      </c>
      <c r="BA39" s="25" t="str">
        <f t="shared" si="4"/>
        <v/>
      </c>
      <c r="BB39" t="str">
        <f t="shared" si="47"/>
        <v/>
      </c>
      <c r="BC39" s="25" t="str">
        <f t="shared" si="48"/>
        <v/>
      </c>
      <c r="BD39" t="str">
        <f t="shared" si="49"/>
        <v/>
      </c>
      <c r="BE39" s="25" t="str">
        <f t="shared" si="5"/>
        <v/>
      </c>
      <c r="BF39" t="str">
        <f t="shared" si="50"/>
        <v/>
      </c>
      <c r="BG39" s="25" t="str">
        <f t="shared" si="6"/>
        <v/>
      </c>
      <c r="BH39" t="str">
        <f t="shared" si="51"/>
        <v/>
      </c>
      <c r="BI39" s="25" t="str">
        <f t="shared" si="7"/>
        <v/>
      </c>
      <c r="BJ39" t="str">
        <f t="shared" si="52"/>
        <v/>
      </c>
      <c r="BK39" s="25" t="str">
        <f t="shared" si="8"/>
        <v/>
      </c>
      <c r="CV39" t="s">
        <v>120</v>
      </c>
      <c r="CW39">
        <f>IFERROR(SUM(DB5:DB32),0)</f>
        <v>0</v>
      </c>
      <c r="DK39" t="s">
        <v>120</v>
      </c>
      <c r="DL39">
        <f>IFERROR(SUM(DQ5:DQ32),0)</f>
        <v>0</v>
      </c>
      <c r="EA39" t="s">
        <v>120</v>
      </c>
      <c r="EB39">
        <f t="shared" si="78"/>
        <v>0</v>
      </c>
      <c r="EC39">
        <f t="shared" si="79"/>
        <v>0</v>
      </c>
      <c r="ED39" t="str">
        <f t="shared" si="80"/>
        <v/>
      </c>
    </row>
    <row r="40" spans="1:134">
      <c r="A40">
        <v>1</v>
      </c>
      <c r="B40">
        <v>5</v>
      </c>
      <c r="C40">
        <v>120.9</v>
      </c>
      <c r="D40">
        <v>3</v>
      </c>
      <c r="E40">
        <v>8</v>
      </c>
      <c r="F40">
        <v>1708</v>
      </c>
      <c r="G40">
        <v>205.5</v>
      </c>
      <c r="H40">
        <v>76.099999999999994</v>
      </c>
      <c r="I40">
        <v>131</v>
      </c>
      <c r="AR40" t="str">
        <f t="shared" si="40"/>
        <v/>
      </c>
      <c r="AS40" s="25" t="str">
        <f t="shared" si="41"/>
        <v/>
      </c>
      <c r="AT40" t="str">
        <f t="shared" si="42"/>
        <v/>
      </c>
      <c r="AU40" s="25" t="str">
        <f t="shared" si="43"/>
        <v/>
      </c>
      <c r="AV40">
        <f t="shared" si="44"/>
        <v>205.5</v>
      </c>
      <c r="AW40" s="25">
        <f t="shared" si="43"/>
        <v>8</v>
      </c>
      <c r="AX40" t="str">
        <f t="shared" si="45"/>
        <v/>
      </c>
      <c r="AY40" s="25" t="str">
        <f t="shared" si="3"/>
        <v/>
      </c>
      <c r="AZ40" t="str">
        <f t="shared" si="46"/>
        <v/>
      </c>
      <c r="BA40" s="25" t="str">
        <f t="shared" si="4"/>
        <v/>
      </c>
      <c r="BB40" t="str">
        <f t="shared" si="47"/>
        <v/>
      </c>
      <c r="BC40" s="25" t="str">
        <f t="shared" si="48"/>
        <v/>
      </c>
      <c r="BD40" t="str">
        <f t="shared" si="49"/>
        <v/>
      </c>
      <c r="BE40" s="25" t="str">
        <f t="shared" si="5"/>
        <v/>
      </c>
      <c r="BF40" t="str">
        <f t="shared" si="50"/>
        <v/>
      </c>
      <c r="BG40" s="25" t="str">
        <f t="shared" si="6"/>
        <v/>
      </c>
      <c r="BH40" t="str">
        <f t="shared" si="51"/>
        <v/>
      </c>
      <c r="BI40" s="25" t="str">
        <f t="shared" si="7"/>
        <v/>
      </c>
      <c r="BJ40" t="str">
        <f t="shared" si="52"/>
        <v/>
      </c>
      <c r="BK40" s="25" t="str">
        <f t="shared" si="8"/>
        <v/>
      </c>
      <c r="CV40" t="s">
        <v>121</v>
      </c>
      <c r="CW40">
        <f>IFERROR(SUM(DC5:DC32),0)</f>
        <v>0</v>
      </c>
      <c r="DK40" t="s">
        <v>121</v>
      </c>
      <c r="DL40">
        <f>IFERROR(SUM(DR5:DR32),0)</f>
        <v>0</v>
      </c>
      <c r="EA40" t="s">
        <v>121</v>
      </c>
      <c r="EB40">
        <f t="shared" si="78"/>
        <v>0</v>
      </c>
      <c r="EC40">
        <f t="shared" si="79"/>
        <v>0</v>
      </c>
      <c r="ED40" t="str">
        <f t="shared" si="80"/>
        <v/>
      </c>
    </row>
    <row r="41" spans="1:134">
      <c r="A41">
        <v>14</v>
      </c>
      <c r="B41">
        <v>5</v>
      </c>
      <c r="C41">
        <v>124.4</v>
      </c>
      <c r="D41">
        <v>2</v>
      </c>
      <c r="E41">
        <v>8</v>
      </c>
      <c r="F41">
        <v>1660</v>
      </c>
      <c r="G41">
        <v>196.9</v>
      </c>
      <c r="H41">
        <v>76.2</v>
      </c>
      <c r="I41">
        <v>96.9</v>
      </c>
      <c r="AR41" t="str">
        <f t="shared" si="40"/>
        <v/>
      </c>
      <c r="AS41" s="25" t="str">
        <f t="shared" si="41"/>
        <v/>
      </c>
      <c r="AT41">
        <f t="shared" si="42"/>
        <v>196.9</v>
      </c>
      <c r="AU41" s="25">
        <f t="shared" si="43"/>
        <v>8</v>
      </c>
      <c r="AV41" t="str">
        <f t="shared" si="44"/>
        <v/>
      </c>
      <c r="AW41" s="25" t="str">
        <f t="shared" si="43"/>
        <v/>
      </c>
      <c r="AX41" t="str">
        <f t="shared" si="45"/>
        <v/>
      </c>
      <c r="AY41" s="25" t="str">
        <f t="shared" si="3"/>
        <v/>
      </c>
      <c r="AZ41" t="str">
        <f t="shared" si="46"/>
        <v/>
      </c>
      <c r="BA41" s="25" t="str">
        <f t="shared" si="4"/>
        <v/>
      </c>
      <c r="BB41" t="str">
        <f t="shared" si="47"/>
        <v/>
      </c>
      <c r="BC41" s="25" t="str">
        <f t="shared" si="48"/>
        <v/>
      </c>
      <c r="BD41" t="str">
        <f t="shared" si="49"/>
        <v/>
      </c>
      <c r="BE41" s="25" t="str">
        <f t="shared" si="5"/>
        <v/>
      </c>
      <c r="BF41" t="str">
        <f t="shared" si="50"/>
        <v/>
      </c>
      <c r="BG41" s="25" t="str">
        <f t="shared" si="6"/>
        <v/>
      </c>
      <c r="BH41" t="str">
        <f t="shared" si="51"/>
        <v/>
      </c>
      <c r="BI41" s="25" t="str">
        <f t="shared" si="7"/>
        <v/>
      </c>
      <c r="BJ41" t="str">
        <f t="shared" si="52"/>
        <v/>
      </c>
      <c r="BK41" s="25" t="str">
        <f t="shared" si="8"/>
        <v/>
      </c>
      <c r="CV41" t="s">
        <v>122</v>
      </c>
      <c r="CW41">
        <f>IFERROR(SUM(DD5:DD32),0)</f>
        <v>0</v>
      </c>
      <c r="DK41" t="s">
        <v>122</v>
      </c>
      <c r="DL41">
        <f>IFERROR(SUM(DS5:DS32),0)</f>
        <v>0</v>
      </c>
      <c r="EA41" t="s">
        <v>122</v>
      </c>
      <c r="EB41">
        <f t="shared" si="78"/>
        <v>0</v>
      </c>
      <c r="EC41">
        <f t="shared" si="79"/>
        <v>0</v>
      </c>
      <c r="ED41" t="str">
        <f t="shared" si="80"/>
        <v/>
      </c>
    </row>
    <row r="42" spans="1:134">
      <c r="A42">
        <v>9</v>
      </c>
      <c r="B42">
        <v>8</v>
      </c>
      <c r="C42">
        <v>128.19999999999999</v>
      </c>
      <c r="D42">
        <v>7</v>
      </c>
      <c r="E42">
        <v>1</v>
      </c>
      <c r="F42">
        <v>1611</v>
      </c>
      <c r="G42">
        <v>61.1</v>
      </c>
      <c r="H42">
        <v>41.4</v>
      </c>
      <c r="I42">
        <v>129.9</v>
      </c>
      <c r="AR42" t="str">
        <f t="shared" si="40"/>
        <v/>
      </c>
      <c r="AS42" s="25" t="str">
        <f t="shared" si="41"/>
        <v/>
      </c>
      <c r="AT42" t="str">
        <f t="shared" si="42"/>
        <v/>
      </c>
      <c r="AU42" s="25" t="str">
        <f t="shared" si="43"/>
        <v/>
      </c>
      <c r="AV42" t="str">
        <f t="shared" si="44"/>
        <v/>
      </c>
      <c r="AW42" s="25" t="str">
        <f t="shared" si="43"/>
        <v/>
      </c>
      <c r="AX42" t="str">
        <f t="shared" si="45"/>
        <v/>
      </c>
      <c r="AY42" s="25" t="str">
        <f t="shared" si="3"/>
        <v/>
      </c>
      <c r="AZ42" t="str">
        <f t="shared" si="46"/>
        <v/>
      </c>
      <c r="BA42" s="25" t="str">
        <f t="shared" si="4"/>
        <v/>
      </c>
      <c r="BB42" t="str">
        <f t="shared" si="47"/>
        <v/>
      </c>
      <c r="BC42" s="25" t="str">
        <f t="shared" si="48"/>
        <v/>
      </c>
      <c r="BD42">
        <f t="shared" si="49"/>
        <v>61.1</v>
      </c>
      <c r="BE42" s="25">
        <f t="shared" si="5"/>
        <v>1</v>
      </c>
      <c r="BF42" t="str">
        <f t="shared" si="50"/>
        <v/>
      </c>
      <c r="BG42" s="25" t="str">
        <f t="shared" si="6"/>
        <v/>
      </c>
      <c r="BH42" t="str">
        <f t="shared" si="51"/>
        <v/>
      </c>
      <c r="BI42" s="25" t="str">
        <f t="shared" si="7"/>
        <v/>
      </c>
      <c r="BJ42" t="str">
        <f t="shared" si="52"/>
        <v/>
      </c>
      <c r="BK42" s="25" t="str">
        <f t="shared" si="8"/>
        <v/>
      </c>
      <c r="CV42" t="s">
        <v>123</v>
      </c>
      <c r="CW42">
        <f>IFERROR(SUM(DE5:DE32),0)</f>
        <v>0</v>
      </c>
      <c r="DK42" t="s">
        <v>123</v>
      </c>
      <c r="DL42">
        <f>IFERROR(SUM(DT5:DT32),0)</f>
        <v>0</v>
      </c>
      <c r="EA42" t="s">
        <v>123</v>
      </c>
      <c r="EB42">
        <f t="shared" si="78"/>
        <v>0</v>
      </c>
      <c r="EC42">
        <f t="shared" si="79"/>
        <v>0</v>
      </c>
      <c r="ED42" t="str">
        <f t="shared" si="80"/>
        <v/>
      </c>
    </row>
    <row r="43" spans="1:134">
      <c r="A43">
        <v>13</v>
      </c>
      <c r="B43">
        <v>9</v>
      </c>
      <c r="C43">
        <v>133.9</v>
      </c>
      <c r="D43">
        <v>5</v>
      </c>
      <c r="E43">
        <v>7</v>
      </c>
      <c r="F43">
        <v>1543</v>
      </c>
      <c r="G43">
        <v>189.3</v>
      </c>
      <c r="H43">
        <v>78.400000000000006</v>
      </c>
      <c r="I43">
        <v>148</v>
      </c>
      <c r="AR43" t="str">
        <f t="shared" si="40"/>
        <v/>
      </c>
      <c r="AS43" s="25" t="str">
        <f t="shared" si="41"/>
        <v/>
      </c>
      <c r="AT43" t="str">
        <f t="shared" si="42"/>
        <v/>
      </c>
      <c r="AU43" s="25" t="str">
        <f t="shared" si="43"/>
        <v/>
      </c>
      <c r="AV43" t="str">
        <f t="shared" si="44"/>
        <v/>
      </c>
      <c r="AW43" s="25" t="str">
        <f t="shared" si="43"/>
        <v/>
      </c>
      <c r="AX43" t="str">
        <f t="shared" si="45"/>
        <v/>
      </c>
      <c r="AY43" s="25" t="str">
        <f t="shared" si="3"/>
        <v/>
      </c>
      <c r="AZ43">
        <f t="shared" si="46"/>
        <v>189.3</v>
      </c>
      <c r="BA43" s="25">
        <f t="shared" si="4"/>
        <v>7</v>
      </c>
      <c r="BB43" t="str">
        <f t="shared" si="47"/>
        <v/>
      </c>
      <c r="BC43" s="25" t="str">
        <f t="shared" si="48"/>
        <v/>
      </c>
      <c r="BD43" t="str">
        <f t="shared" si="49"/>
        <v/>
      </c>
      <c r="BE43" s="25" t="str">
        <f t="shared" si="5"/>
        <v/>
      </c>
      <c r="BF43" t="str">
        <f t="shared" si="50"/>
        <v/>
      </c>
      <c r="BG43" s="25" t="str">
        <f t="shared" si="6"/>
        <v/>
      </c>
      <c r="BH43" t="str">
        <f t="shared" si="51"/>
        <v/>
      </c>
      <c r="BI43" s="25" t="str">
        <f t="shared" si="7"/>
        <v/>
      </c>
      <c r="BJ43" t="str">
        <f t="shared" si="52"/>
        <v/>
      </c>
      <c r="BK43" s="25" t="str">
        <f t="shared" si="8"/>
        <v/>
      </c>
      <c r="CV43" s="25" t="s">
        <v>124</v>
      </c>
      <c r="CW43">
        <f>IFERROR(SUM(DF5:DF32),0)</f>
        <v>0</v>
      </c>
      <c r="DK43" s="25" t="s">
        <v>124</v>
      </c>
      <c r="DL43">
        <f>IFERROR(SUM(DU5:DU32),0)</f>
        <v>0</v>
      </c>
      <c r="EA43" s="25" t="s">
        <v>124</v>
      </c>
      <c r="EB43">
        <f t="shared" si="78"/>
        <v>0</v>
      </c>
      <c r="EC43">
        <f t="shared" si="79"/>
        <v>0</v>
      </c>
      <c r="ED43" t="str">
        <f t="shared" si="80"/>
        <v/>
      </c>
    </row>
    <row r="44" spans="1:134">
      <c r="A44">
        <v>2</v>
      </c>
      <c r="B44">
        <v>5</v>
      </c>
      <c r="C44">
        <v>140.80000000000001</v>
      </c>
      <c r="D44">
        <v>4</v>
      </c>
      <c r="E44">
        <v>8</v>
      </c>
      <c r="F44">
        <v>1467</v>
      </c>
      <c r="G44">
        <v>212.5</v>
      </c>
      <c r="H44">
        <v>84.7</v>
      </c>
      <c r="I44">
        <v>169.2</v>
      </c>
      <c r="AR44" t="str">
        <f t="shared" si="40"/>
        <v/>
      </c>
      <c r="AS44" s="25" t="str">
        <f t="shared" si="41"/>
        <v/>
      </c>
      <c r="AT44" t="str">
        <f t="shared" si="42"/>
        <v/>
      </c>
      <c r="AU44" s="25" t="str">
        <f t="shared" si="43"/>
        <v/>
      </c>
      <c r="AV44" t="str">
        <f t="shared" si="44"/>
        <v/>
      </c>
      <c r="AW44" s="25" t="str">
        <f t="shared" si="43"/>
        <v/>
      </c>
      <c r="AX44">
        <f t="shared" si="45"/>
        <v>212.5</v>
      </c>
      <c r="AY44" s="25">
        <f t="shared" si="3"/>
        <v>8</v>
      </c>
      <c r="AZ44" t="str">
        <f t="shared" si="46"/>
        <v/>
      </c>
      <c r="BA44" s="25" t="str">
        <f t="shared" si="4"/>
        <v/>
      </c>
      <c r="BB44" t="str">
        <f t="shared" si="47"/>
        <v/>
      </c>
      <c r="BC44" s="25" t="str">
        <f t="shared" si="48"/>
        <v/>
      </c>
      <c r="BD44" t="str">
        <f t="shared" si="49"/>
        <v/>
      </c>
      <c r="BE44" s="25" t="str">
        <f t="shared" si="5"/>
        <v/>
      </c>
      <c r="BF44" t="str">
        <f t="shared" si="50"/>
        <v/>
      </c>
      <c r="BG44" s="25" t="str">
        <f t="shared" si="6"/>
        <v/>
      </c>
      <c r="BH44" t="str">
        <f t="shared" si="51"/>
        <v/>
      </c>
      <c r="BI44" s="25" t="str">
        <f t="shared" si="7"/>
        <v/>
      </c>
      <c r="BJ44" t="str">
        <f t="shared" si="52"/>
        <v/>
      </c>
      <c r="BK44" s="25" t="str">
        <f t="shared" si="8"/>
        <v/>
      </c>
      <c r="CV44" s="25" t="s">
        <v>125</v>
      </c>
      <c r="CW44">
        <f>IFERROR(SUM(DG5:DG32),0)</f>
        <v>0</v>
      </c>
      <c r="DK44" s="25" t="s">
        <v>125</v>
      </c>
      <c r="DL44">
        <f>IFERROR(SUM(DV5:DV32),0)</f>
        <v>0</v>
      </c>
      <c r="EA44" s="25" t="s">
        <v>125</v>
      </c>
      <c r="EB44">
        <f t="shared" si="78"/>
        <v>0</v>
      </c>
      <c r="EC44">
        <f t="shared" si="79"/>
        <v>0</v>
      </c>
      <c r="ED44" t="str">
        <f t="shared" si="80"/>
        <v/>
      </c>
    </row>
    <row r="45" spans="1:134">
      <c r="A45">
        <v>2</v>
      </c>
      <c r="B45">
        <v>9</v>
      </c>
      <c r="C45">
        <v>142.5</v>
      </c>
      <c r="D45">
        <v>4</v>
      </c>
      <c r="E45">
        <v>7</v>
      </c>
      <c r="F45">
        <v>1449</v>
      </c>
      <c r="G45">
        <v>226.7</v>
      </c>
      <c r="H45">
        <v>87.5</v>
      </c>
      <c r="I45">
        <v>136.19999999999999</v>
      </c>
      <c r="AR45" t="str">
        <f t="shared" si="40"/>
        <v/>
      </c>
      <c r="AS45" s="25" t="str">
        <f t="shared" si="41"/>
        <v/>
      </c>
      <c r="AT45" t="str">
        <f t="shared" si="42"/>
        <v/>
      </c>
      <c r="AU45" s="25" t="str">
        <f t="shared" si="43"/>
        <v/>
      </c>
      <c r="AV45" t="str">
        <f t="shared" si="44"/>
        <v/>
      </c>
      <c r="AW45" s="25" t="str">
        <f t="shared" si="43"/>
        <v/>
      </c>
      <c r="AX45">
        <f t="shared" si="45"/>
        <v>226.7</v>
      </c>
      <c r="AY45" s="25">
        <f t="shared" si="3"/>
        <v>7</v>
      </c>
      <c r="AZ45" t="str">
        <f t="shared" si="46"/>
        <v/>
      </c>
      <c r="BA45" s="25" t="str">
        <f t="shared" si="4"/>
        <v/>
      </c>
      <c r="BB45" t="str">
        <f t="shared" si="47"/>
        <v/>
      </c>
      <c r="BC45" s="25" t="str">
        <f t="shared" si="48"/>
        <v/>
      </c>
      <c r="BD45" t="str">
        <f t="shared" si="49"/>
        <v/>
      </c>
      <c r="BE45" s="25" t="str">
        <f t="shared" si="5"/>
        <v/>
      </c>
      <c r="BF45" t="str">
        <f t="shared" si="50"/>
        <v/>
      </c>
      <c r="BG45" s="25" t="str">
        <f t="shared" si="6"/>
        <v/>
      </c>
      <c r="BH45" t="str">
        <f t="shared" si="51"/>
        <v/>
      </c>
      <c r="BI45" s="25" t="str">
        <f t="shared" si="7"/>
        <v/>
      </c>
      <c r="BJ45" t="str">
        <f t="shared" si="52"/>
        <v/>
      </c>
      <c r="BK45" s="25" t="str">
        <f t="shared" si="8"/>
        <v/>
      </c>
      <c r="CV45" s="25" t="s">
        <v>126</v>
      </c>
      <c r="CW45">
        <f>IFERROR(SUM(DH5:DH32),0)</f>
        <v>0</v>
      </c>
      <c r="DK45" s="25" t="s">
        <v>126</v>
      </c>
      <c r="DL45">
        <f>IFERROR(SUM(DW5:DW32),0)</f>
        <v>0</v>
      </c>
      <c r="EA45" s="25" t="s">
        <v>126</v>
      </c>
      <c r="EB45">
        <f t="shared" si="78"/>
        <v>0</v>
      </c>
      <c r="EC45">
        <f t="shared" si="79"/>
        <v>0</v>
      </c>
      <c r="ED45" t="str">
        <f t="shared" si="80"/>
        <v/>
      </c>
    </row>
    <row r="46" spans="1:134">
      <c r="A46">
        <v>9</v>
      </c>
      <c r="B46">
        <v>14</v>
      </c>
      <c r="C46">
        <v>150.80000000000001</v>
      </c>
      <c r="D46">
        <v>7</v>
      </c>
      <c r="E46">
        <v>2</v>
      </c>
      <c r="F46">
        <v>1370</v>
      </c>
      <c r="G46">
        <v>82.1</v>
      </c>
      <c r="H46">
        <v>53.2</v>
      </c>
      <c r="I46">
        <v>132.4</v>
      </c>
      <c r="AR46" t="str">
        <f t="shared" si="40"/>
        <v/>
      </c>
      <c r="AS46" s="25" t="str">
        <f t="shared" si="41"/>
        <v/>
      </c>
      <c r="AT46" t="str">
        <f t="shared" si="42"/>
        <v/>
      </c>
      <c r="AU46" s="25" t="str">
        <f t="shared" si="43"/>
        <v/>
      </c>
      <c r="AV46" t="str">
        <f t="shared" si="44"/>
        <v/>
      </c>
      <c r="AW46" s="25" t="str">
        <f t="shared" si="43"/>
        <v/>
      </c>
      <c r="AX46" t="str">
        <f t="shared" si="45"/>
        <v/>
      </c>
      <c r="AY46" s="25" t="str">
        <f t="shared" si="3"/>
        <v/>
      </c>
      <c r="AZ46" t="str">
        <f t="shared" si="46"/>
        <v/>
      </c>
      <c r="BA46" s="25" t="str">
        <f t="shared" si="4"/>
        <v/>
      </c>
      <c r="BB46" t="str">
        <f t="shared" si="47"/>
        <v/>
      </c>
      <c r="BC46" s="25" t="str">
        <f t="shared" si="48"/>
        <v/>
      </c>
      <c r="BD46">
        <f t="shared" si="49"/>
        <v>82.1</v>
      </c>
      <c r="BE46" s="25">
        <f t="shared" si="5"/>
        <v>2</v>
      </c>
      <c r="BF46" t="str">
        <f t="shared" si="50"/>
        <v/>
      </c>
      <c r="BG46" s="25" t="str">
        <f t="shared" si="6"/>
        <v/>
      </c>
      <c r="BH46" t="str">
        <f t="shared" si="51"/>
        <v/>
      </c>
      <c r="BI46" s="25" t="str">
        <f t="shared" si="7"/>
        <v/>
      </c>
      <c r="BJ46" t="str">
        <f t="shared" si="52"/>
        <v/>
      </c>
      <c r="BK46" s="25" t="str">
        <f t="shared" si="8"/>
        <v/>
      </c>
      <c r="CV46" s="25" t="s">
        <v>127</v>
      </c>
      <c r="CW46">
        <f>IFERROR(SUM(DI5:DI32),0)</f>
        <v>0</v>
      </c>
      <c r="DK46" s="25" t="s">
        <v>127</v>
      </c>
      <c r="DL46">
        <f>IFERROR(SUM(DX5:DX32),0)</f>
        <v>0</v>
      </c>
      <c r="EA46" s="25" t="s">
        <v>127</v>
      </c>
      <c r="EB46">
        <f t="shared" si="78"/>
        <v>0</v>
      </c>
      <c r="EC46">
        <f t="shared" si="79"/>
        <v>0</v>
      </c>
      <c r="ED46" t="str">
        <f t="shared" si="80"/>
        <v/>
      </c>
    </row>
    <row r="47" spans="1:134">
      <c r="A47">
        <v>13</v>
      </c>
      <c r="B47">
        <v>5</v>
      </c>
      <c r="C47">
        <v>160.6</v>
      </c>
      <c r="D47">
        <v>5</v>
      </c>
      <c r="E47">
        <v>8</v>
      </c>
      <c r="F47">
        <v>1286</v>
      </c>
      <c r="G47">
        <v>216.1</v>
      </c>
      <c r="H47">
        <v>92.1</v>
      </c>
      <c r="I47">
        <v>223.6</v>
      </c>
      <c r="AR47" t="str">
        <f t="shared" si="40"/>
        <v/>
      </c>
      <c r="AS47" s="25" t="str">
        <f t="shared" si="41"/>
        <v/>
      </c>
      <c r="AT47" t="str">
        <f t="shared" si="42"/>
        <v/>
      </c>
      <c r="AU47" s="25" t="str">
        <f t="shared" si="43"/>
        <v/>
      </c>
      <c r="AV47" t="str">
        <f t="shared" si="44"/>
        <v/>
      </c>
      <c r="AW47" s="25" t="str">
        <f t="shared" si="43"/>
        <v/>
      </c>
      <c r="AX47" t="str">
        <f t="shared" si="45"/>
        <v/>
      </c>
      <c r="AY47" s="25" t="str">
        <f t="shared" si="3"/>
        <v/>
      </c>
      <c r="AZ47">
        <f t="shared" si="46"/>
        <v>216.1</v>
      </c>
      <c r="BA47" s="25">
        <f t="shared" si="4"/>
        <v>8</v>
      </c>
      <c r="BB47" t="str">
        <f t="shared" si="47"/>
        <v/>
      </c>
      <c r="BC47" s="25" t="str">
        <f t="shared" si="48"/>
        <v/>
      </c>
      <c r="BD47" t="str">
        <f t="shared" si="49"/>
        <v/>
      </c>
      <c r="BE47" s="25" t="str">
        <f t="shared" si="5"/>
        <v/>
      </c>
      <c r="BF47" t="str">
        <f t="shared" si="50"/>
        <v/>
      </c>
      <c r="BG47" s="25" t="str">
        <f t="shared" si="6"/>
        <v/>
      </c>
      <c r="BH47" t="str">
        <f t="shared" si="51"/>
        <v/>
      </c>
      <c r="BI47" s="25" t="str">
        <f t="shared" si="7"/>
        <v/>
      </c>
      <c r="BJ47" t="str">
        <f t="shared" si="52"/>
        <v/>
      </c>
      <c r="BK47" s="25" t="str">
        <f t="shared" si="8"/>
        <v/>
      </c>
      <c r="CV47" s="25" t="s">
        <v>129</v>
      </c>
      <c r="CW47">
        <f>IFERROR(SUM(DJ5:DJ32),0)</f>
        <v>0</v>
      </c>
      <c r="DK47" s="25" t="s">
        <v>129</v>
      </c>
      <c r="DL47">
        <f>IFERROR(SUM(DY5:DY32),0)</f>
        <v>0</v>
      </c>
      <c r="EA47" s="25" t="s">
        <v>129</v>
      </c>
      <c r="EB47">
        <f t="shared" si="78"/>
        <v>0</v>
      </c>
      <c r="EC47">
        <f t="shared" si="79"/>
        <v>0</v>
      </c>
      <c r="ED47" t="str">
        <f t="shared" si="80"/>
        <v/>
      </c>
    </row>
    <row r="48" spans="1:134">
      <c r="A48">
        <v>5</v>
      </c>
      <c r="B48">
        <v>8</v>
      </c>
      <c r="C48">
        <v>166.7</v>
      </c>
      <c r="D48">
        <v>8</v>
      </c>
      <c r="E48">
        <v>1</v>
      </c>
      <c r="F48">
        <v>1239</v>
      </c>
      <c r="G48">
        <v>84.5</v>
      </c>
      <c r="H48">
        <v>56.1</v>
      </c>
      <c r="I48">
        <v>167.1</v>
      </c>
      <c r="AR48" t="str">
        <f t="shared" si="40"/>
        <v/>
      </c>
      <c r="AS48" s="25" t="str">
        <f t="shared" si="41"/>
        <v/>
      </c>
      <c r="AT48" t="str">
        <f t="shared" si="42"/>
        <v/>
      </c>
      <c r="AU48" s="25" t="str">
        <f t="shared" si="43"/>
        <v/>
      </c>
      <c r="AV48" t="str">
        <f t="shared" si="44"/>
        <v/>
      </c>
      <c r="AW48" s="25" t="str">
        <f t="shared" si="43"/>
        <v/>
      </c>
      <c r="AX48" t="str">
        <f t="shared" si="45"/>
        <v/>
      </c>
      <c r="AY48" s="25" t="str">
        <f t="shared" si="3"/>
        <v/>
      </c>
      <c r="AZ48" t="str">
        <f t="shared" si="46"/>
        <v/>
      </c>
      <c r="BA48" s="25" t="str">
        <f t="shared" si="4"/>
        <v/>
      </c>
      <c r="BB48" t="str">
        <f t="shared" si="47"/>
        <v/>
      </c>
      <c r="BC48" s="25" t="str">
        <f t="shared" si="48"/>
        <v/>
      </c>
      <c r="BD48" t="str">
        <f t="shared" si="49"/>
        <v/>
      </c>
      <c r="BE48" s="25" t="str">
        <f t="shared" si="5"/>
        <v/>
      </c>
      <c r="BF48">
        <f t="shared" si="50"/>
        <v>84.5</v>
      </c>
      <c r="BG48" s="25">
        <f t="shared" si="6"/>
        <v>1</v>
      </c>
      <c r="BH48" t="str">
        <f t="shared" si="51"/>
        <v/>
      </c>
      <c r="BI48" s="25" t="str">
        <f t="shared" si="7"/>
        <v/>
      </c>
      <c r="BJ48" t="str">
        <f t="shared" si="52"/>
        <v/>
      </c>
      <c r="BK48" s="25" t="str">
        <f t="shared" si="8"/>
        <v/>
      </c>
    </row>
    <row r="49" spans="1:63">
      <c r="A49">
        <v>9</v>
      </c>
      <c r="B49">
        <v>13</v>
      </c>
      <c r="C49">
        <v>189.3</v>
      </c>
      <c r="D49">
        <v>7</v>
      </c>
      <c r="E49">
        <v>5</v>
      </c>
      <c r="F49">
        <v>1091</v>
      </c>
      <c r="G49">
        <v>133.9</v>
      </c>
      <c r="H49">
        <v>78.400000000000006</v>
      </c>
      <c r="I49">
        <v>200.2</v>
      </c>
      <c r="AR49" t="str">
        <f t="shared" si="40"/>
        <v/>
      </c>
      <c r="AS49" s="25" t="str">
        <f t="shared" si="41"/>
        <v/>
      </c>
      <c r="AT49" t="str">
        <f t="shared" si="42"/>
        <v/>
      </c>
      <c r="AU49" s="25" t="str">
        <f t="shared" si="43"/>
        <v/>
      </c>
      <c r="AV49" t="str">
        <f t="shared" si="44"/>
        <v/>
      </c>
      <c r="AW49" s="25" t="str">
        <f t="shared" si="43"/>
        <v/>
      </c>
      <c r="AX49" t="str">
        <f t="shared" si="45"/>
        <v/>
      </c>
      <c r="AY49" s="25" t="str">
        <f t="shared" si="3"/>
        <v/>
      </c>
      <c r="AZ49" t="str">
        <f t="shared" si="46"/>
        <v/>
      </c>
      <c r="BA49" s="25" t="str">
        <f t="shared" si="4"/>
        <v/>
      </c>
      <c r="BB49" t="str">
        <f t="shared" si="47"/>
        <v/>
      </c>
      <c r="BC49" s="25" t="str">
        <f t="shared" si="48"/>
        <v/>
      </c>
      <c r="BD49">
        <f t="shared" si="49"/>
        <v>133.9</v>
      </c>
      <c r="BE49" s="25">
        <f t="shared" si="5"/>
        <v>5</v>
      </c>
      <c r="BF49" t="str">
        <f t="shared" si="50"/>
        <v/>
      </c>
      <c r="BG49" s="25" t="str">
        <f t="shared" si="6"/>
        <v/>
      </c>
      <c r="BH49" t="str">
        <f t="shared" si="51"/>
        <v/>
      </c>
      <c r="BI49" s="25" t="str">
        <f t="shared" si="7"/>
        <v/>
      </c>
      <c r="BJ49" t="str">
        <f t="shared" si="52"/>
        <v/>
      </c>
      <c r="BK49" s="25" t="str">
        <f t="shared" si="8"/>
        <v/>
      </c>
    </row>
    <row r="50" spans="1:63">
      <c r="A50">
        <v>14</v>
      </c>
      <c r="B50">
        <v>11</v>
      </c>
      <c r="C50">
        <v>195.4</v>
      </c>
      <c r="D50">
        <v>2</v>
      </c>
      <c r="E50">
        <v>9</v>
      </c>
      <c r="F50">
        <v>1057</v>
      </c>
      <c r="G50">
        <v>260.2</v>
      </c>
      <c r="H50">
        <v>111.6</v>
      </c>
      <c r="I50">
        <v>156.6</v>
      </c>
      <c r="AR50" t="str">
        <f t="shared" ref="AR50:AR59" si="81">IF($D50=AR$4,$H50,"")</f>
        <v/>
      </c>
      <c r="AS50" s="25" t="str">
        <f t="shared" si="41"/>
        <v/>
      </c>
      <c r="AT50">
        <f t="shared" ref="AT50:AT59" si="82">IF($D50=AT$4,$H50,"")</f>
        <v>111.6</v>
      </c>
      <c r="AU50" s="25">
        <f t="shared" si="43"/>
        <v>9</v>
      </c>
      <c r="AV50" t="str">
        <f t="shared" ref="AV50:AV59" si="83">IF($D50=AV$4,$H50,"")</f>
        <v/>
      </c>
      <c r="AW50" s="25" t="str">
        <f t="shared" si="43"/>
        <v/>
      </c>
      <c r="AX50" t="str">
        <f t="shared" ref="AX50:AX59" si="84">IF($D50=AX$4,$H50,"")</f>
        <v/>
      </c>
      <c r="AY50" s="25" t="str">
        <f t="shared" si="3"/>
        <v/>
      </c>
      <c r="AZ50" t="str">
        <f t="shared" ref="AZ50:AZ59" si="85">IF($D50=AZ$4,$H50,"")</f>
        <v/>
      </c>
      <c r="BA50" s="25" t="str">
        <f t="shared" si="4"/>
        <v/>
      </c>
      <c r="BB50" t="str">
        <f t="shared" ref="BB50:BB59" si="86">IF($D50=BB$4,$H50,"")</f>
        <v/>
      </c>
      <c r="BC50" s="25" t="str">
        <f t="shared" si="48"/>
        <v/>
      </c>
      <c r="BD50" t="str">
        <f t="shared" ref="BD50:BD59" si="87">IF($D50=BD$4,$H50,"")</f>
        <v/>
      </c>
      <c r="BE50" s="25" t="str">
        <f t="shared" si="5"/>
        <v/>
      </c>
      <c r="BF50" t="str">
        <f t="shared" ref="BF50:BF59" si="88">IF($D50=BF$4,$H50,"")</f>
        <v/>
      </c>
      <c r="BG50" s="25" t="str">
        <f t="shared" si="6"/>
        <v/>
      </c>
      <c r="BH50" t="str">
        <f t="shared" ref="BH50:BH59" si="89">IF($D50=BH$4,$H50,"")</f>
        <v/>
      </c>
      <c r="BI50" s="25" t="str">
        <f t="shared" si="7"/>
        <v/>
      </c>
      <c r="BJ50" t="str">
        <f t="shared" ref="BJ50:BJ59" si="90">IF($D50=BJ$4,$H50,"")</f>
        <v/>
      </c>
      <c r="BK50" s="25" t="str">
        <f t="shared" si="8"/>
        <v/>
      </c>
    </row>
    <row r="51" spans="1:63">
      <c r="A51">
        <v>5</v>
      </c>
      <c r="B51">
        <v>14</v>
      </c>
      <c r="C51">
        <v>196.9</v>
      </c>
      <c r="D51">
        <v>8</v>
      </c>
      <c r="E51">
        <v>2</v>
      </c>
      <c r="F51">
        <v>1049</v>
      </c>
      <c r="G51">
        <v>124.4</v>
      </c>
      <c r="H51">
        <v>76.2</v>
      </c>
      <c r="I51">
        <v>147</v>
      </c>
      <c r="AR51" t="str">
        <f t="shared" si="81"/>
        <v/>
      </c>
      <c r="AS51" s="25" t="str">
        <f t="shared" si="41"/>
        <v/>
      </c>
      <c r="AT51" t="str">
        <f t="shared" si="82"/>
        <v/>
      </c>
      <c r="AU51" s="25" t="str">
        <f t="shared" si="43"/>
        <v/>
      </c>
      <c r="AV51" t="str">
        <f t="shared" si="83"/>
        <v/>
      </c>
      <c r="AW51" s="25" t="str">
        <f t="shared" si="43"/>
        <v/>
      </c>
      <c r="AX51" t="str">
        <f t="shared" si="84"/>
        <v/>
      </c>
      <c r="AY51" s="25" t="str">
        <f t="shared" si="3"/>
        <v/>
      </c>
      <c r="AZ51" t="str">
        <f t="shared" si="85"/>
        <v/>
      </c>
      <c r="BA51" s="25" t="str">
        <f t="shared" si="4"/>
        <v/>
      </c>
      <c r="BB51" t="str">
        <f t="shared" si="86"/>
        <v/>
      </c>
      <c r="BC51" s="25" t="str">
        <f t="shared" si="48"/>
        <v/>
      </c>
      <c r="BD51" t="str">
        <f t="shared" si="87"/>
        <v/>
      </c>
      <c r="BE51" s="25" t="str">
        <f t="shared" si="5"/>
        <v/>
      </c>
      <c r="BF51">
        <f t="shared" si="88"/>
        <v>76.2</v>
      </c>
      <c r="BG51" s="25">
        <f t="shared" si="6"/>
        <v>2</v>
      </c>
      <c r="BH51" t="str">
        <f t="shared" si="89"/>
        <v/>
      </c>
      <c r="BI51" s="25" t="str">
        <f t="shared" si="7"/>
        <v/>
      </c>
      <c r="BJ51" t="str">
        <f t="shared" si="90"/>
        <v/>
      </c>
      <c r="BK51" s="25" t="str">
        <f t="shared" si="8"/>
        <v/>
      </c>
    </row>
    <row r="52" spans="1:63">
      <c r="A52">
        <v>14</v>
      </c>
      <c r="B52">
        <v>12</v>
      </c>
      <c r="C52">
        <v>200.5</v>
      </c>
      <c r="D52">
        <v>2</v>
      </c>
      <c r="E52">
        <v>10</v>
      </c>
      <c r="F52">
        <v>1030</v>
      </c>
      <c r="G52">
        <v>409.9</v>
      </c>
      <c r="H52">
        <v>134.6</v>
      </c>
      <c r="I52">
        <v>154.80000000000001</v>
      </c>
      <c r="AR52" t="str">
        <f t="shared" si="81"/>
        <v/>
      </c>
      <c r="AS52" s="25" t="str">
        <f t="shared" si="41"/>
        <v/>
      </c>
      <c r="AT52">
        <f t="shared" si="82"/>
        <v>134.6</v>
      </c>
      <c r="AU52" s="25">
        <f t="shared" si="43"/>
        <v>10</v>
      </c>
      <c r="AV52" t="str">
        <f t="shared" si="83"/>
        <v/>
      </c>
      <c r="AW52" s="25" t="str">
        <f t="shared" si="43"/>
        <v/>
      </c>
      <c r="AX52" t="str">
        <f t="shared" si="84"/>
        <v/>
      </c>
      <c r="AY52" s="25" t="str">
        <f t="shared" si="3"/>
        <v/>
      </c>
      <c r="AZ52" t="str">
        <f t="shared" si="85"/>
        <v/>
      </c>
      <c r="BA52" s="25" t="str">
        <f t="shared" si="4"/>
        <v/>
      </c>
      <c r="BB52" t="str">
        <f t="shared" si="86"/>
        <v/>
      </c>
      <c r="BC52" s="25" t="str">
        <f t="shared" si="48"/>
        <v/>
      </c>
      <c r="BD52" t="str">
        <f t="shared" si="87"/>
        <v/>
      </c>
      <c r="BE52" s="25" t="str">
        <f t="shared" si="5"/>
        <v/>
      </c>
      <c r="BF52" t="str">
        <f t="shared" si="88"/>
        <v/>
      </c>
      <c r="BG52" s="25" t="str">
        <f t="shared" si="6"/>
        <v/>
      </c>
      <c r="BH52" t="str">
        <f t="shared" si="89"/>
        <v/>
      </c>
      <c r="BI52" s="25" t="str">
        <f t="shared" si="7"/>
        <v/>
      </c>
      <c r="BJ52" t="str">
        <f t="shared" si="90"/>
        <v/>
      </c>
      <c r="BK52" s="25" t="str">
        <f t="shared" si="8"/>
        <v/>
      </c>
    </row>
    <row r="53" spans="1:63">
      <c r="A53">
        <v>1</v>
      </c>
      <c r="B53">
        <v>11</v>
      </c>
      <c r="C53">
        <v>204.3</v>
      </c>
      <c r="D53">
        <v>3</v>
      </c>
      <c r="E53">
        <v>9</v>
      </c>
      <c r="F53">
        <v>1011</v>
      </c>
      <c r="G53">
        <v>379</v>
      </c>
      <c r="H53">
        <v>132.69999999999999</v>
      </c>
      <c r="I53">
        <v>252.3</v>
      </c>
      <c r="AR53" t="str">
        <f t="shared" si="81"/>
        <v/>
      </c>
      <c r="AS53" s="25" t="str">
        <f t="shared" si="41"/>
        <v/>
      </c>
      <c r="AT53" t="str">
        <f t="shared" si="82"/>
        <v/>
      </c>
      <c r="AU53" s="25" t="str">
        <f t="shared" si="43"/>
        <v/>
      </c>
      <c r="AV53">
        <f t="shared" si="83"/>
        <v>132.69999999999999</v>
      </c>
      <c r="AW53" s="25">
        <f t="shared" si="43"/>
        <v>9</v>
      </c>
      <c r="AX53" t="str">
        <f t="shared" si="84"/>
        <v/>
      </c>
      <c r="AY53" s="25" t="str">
        <f t="shared" si="3"/>
        <v/>
      </c>
      <c r="AZ53" t="str">
        <f t="shared" si="85"/>
        <v/>
      </c>
      <c r="BA53" s="25" t="str">
        <f t="shared" si="4"/>
        <v/>
      </c>
      <c r="BB53" t="str">
        <f t="shared" si="86"/>
        <v/>
      </c>
      <c r="BC53" s="25" t="str">
        <f t="shared" si="48"/>
        <v/>
      </c>
      <c r="BD53" t="str">
        <f t="shared" si="87"/>
        <v/>
      </c>
      <c r="BE53" s="25" t="str">
        <f t="shared" si="5"/>
        <v/>
      </c>
      <c r="BF53" t="str">
        <f t="shared" si="88"/>
        <v/>
      </c>
      <c r="BG53" s="25" t="str">
        <f t="shared" si="6"/>
        <v/>
      </c>
      <c r="BH53" t="str">
        <f t="shared" si="89"/>
        <v/>
      </c>
      <c r="BI53" s="25" t="str">
        <f t="shared" si="7"/>
        <v/>
      </c>
      <c r="BJ53" t="str">
        <f t="shared" si="90"/>
        <v/>
      </c>
      <c r="BK53" s="25" t="str">
        <f t="shared" si="8"/>
        <v/>
      </c>
    </row>
    <row r="54" spans="1:63">
      <c r="A54">
        <v>5</v>
      </c>
      <c r="B54">
        <v>1</v>
      </c>
      <c r="C54">
        <v>205.5</v>
      </c>
      <c r="D54">
        <v>8</v>
      </c>
      <c r="E54">
        <v>3</v>
      </c>
      <c r="F54">
        <v>1005</v>
      </c>
      <c r="G54">
        <v>120.9</v>
      </c>
      <c r="H54">
        <v>76.099999999999994</v>
      </c>
      <c r="I54">
        <v>210.7</v>
      </c>
      <c r="AR54" t="str">
        <f t="shared" si="81"/>
        <v/>
      </c>
      <c r="AS54" s="25" t="str">
        <f t="shared" si="41"/>
        <v/>
      </c>
      <c r="AT54" t="str">
        <f t="shared" si="82"/>
        <v/>
      </c>
      <c r="AU54" s="25" t="str">
        <f t="shared" si="43"/>
        <v/>
      </c>
      <c r="AV54" t="str">
        <f t="shared" si="83"/>
        <v/>
      </c>
      <c r="AW54" s="25" t="str">
        <f t="shared" si="43"/>
        <v/>
      </c>
      <c r="AX54" t="str">
        <f t="shared" si="84"/>
        <v/>
      </c>
      <c r="AY54" s="25" t="str">
        <f t="shared" si="3"/>
        <v/>
      </c>
      <c r="AZ54" t="str">
        <f t="shared" si="85"/>
        <v/>
      </c>
      <c r="BA54" s="25" t="str">
        <f t="shared" si="4"/>
        <v/>
      </c>
      <c r="BB54" t="str">
        <f t="shared" si="86"/>
        <v/>
      </c>
      <c r="BC54" s="25" t="str">
        <f t="shared" si="48"/>
        <v/>
      </c>
      <c r="BD54" t="str">
        <f t="shared" si="87"/>
        <v/>
      </c>
      <c r="BE54" s="25" t="str">
        <f t="shared" si="5"/>
        <v/>
      </c>
      <c r="BF54">
        <f t="shared" si="88"/>
        <v>76.099999999999994</v>
      </c>
      <c r="BG54" s="25">
        <f t="shared" si="6"/>
        <v>3</v>
      </c>
      <c r="BH54" t="str">
        <f t="shared" si="89"/>
        <v/>
      </c>
      <c r="BI54" s="25" t="str">
        <f t="shared" si="7"/>
        <v/>
      </c>
      <c r="BJ54" t="str">
        <f t="shared" si="90"/>
        <v/>
      </c>
      <c r="BK54" s="25" t="str">
        <f t="shared" si="8"/>
        <v/>
      </c>
    </row>
    <row r="55" spans="1:63">
      <c r="A55">
        <v>5</v>
      </c>
      <c r="B55">
        <v>2</v>
      </c>
      <c r="C55">
        <v>212.5</v>
      </c>
      <c r="D55">
        <v>8</v>
      </c>
      <c r="E55">
        <v>4</v>
      </c>
      <c r="F55">
        <v>972</v>
      </c>
      <c r="G55">
        <v>140.80000000000001</v>
      </c>
      <c r="H55">
        <v>84.7</v>
      </c>
      <c r="I55">
        <v>218.3</v>
      </c>
      <c r="AR55" t="str">
        <f t="shared" si="81"/>
        <v/>
      </c>
      <c r="AS55" s="25" t="str">
        <f t="shared" si="41"/>
        <v/>
      </c>
      <c r="AT55" t="str">
        <f t="shared" si="82"/>
        <v/>
      </c>
      <c r="AU55" s="25" t="str">
        <f t="shared" si="43"/>
        <v/>
      </c>
      <c r="AV55" t="str">
        <f t="shared" si="83"/>
        <v/>
      </c>
      <c r="AW55" s="25" t="str">
        <f t="shared" si="43"/>
        <v/>
      </c>
      <c r="AX55" t="str">
        <f t="shared" si="84"/>
        <v/>
      </c>
      <c r="AY55" s="25" t="str">
        <f t="shared" si="3"/>
        <v/>
      </c>
      <c r="AZ55" t="str">
        <f t="shared" si="85"/>
        <v/>
      </c>
      <c r="BA55" s="25" t="str">
        <f t="shared" si="4"/>
        <v/>
      </c>
      <c r="BB55" t="str">
        <f t="shared" si="86"/>
        <v/>
      </c>
      <c r="BC55" s="25" t="str">
        <f t="shared" si="48"/>
        <v/>
      </c>
      <c r="BD55" t="str">
        <f t="shared" si="87"/>
        <v/>
      </c>
      <c r="BE55" s="25" t="str">
        <f t="shared" si="5"/>
        <v/>
      </c>
      <c r="BF55">
        <f t="shared" si="88"/>
        <v>84.7</v>
      </c>
      <c r="BG55" s="25">
        <f t="shared" si="6"/>
        <v>4</v>
      </c>
      <c r="BH55" t="str">
        <f t="shared" si="89"/>
        <v/>
      </c>
      <c r="BI55" s="25" t="str">
        <f t="shared" si="7"/>
        <v/>
      </c>
      <c r="BJ55" t="str">
        <f t="shared" si="90"/>
        <v/>
      </c>
      <c r="BK55" s="25" t="str">
        <f t="shared" si="8"/>
        <v/>
      </c>
    </row>
    <row r="56" spans="1:63">
      <c r="A56">
        <v>5</v>
      </c>
      <c r="B56">
        <v>13</v>
      </c>
      <c r="C56">
        <v>216.1</v>
      </c>
      <c r="D56">
        <v>8</v>
      </c>
      <c r="E56">
        <v>5</v>
      </c>
      <c r="F56">
        <v>956</v>
      </c>
      <c r="G56">
        <v>160.6</v>
      </c>
      <c r="H56">
        <v>92.1</v>
      </c>
      <c r="I56">
        <v>300.3</v>
      </c>
      <c r="AR56" t="str">
        <f t="shared" si="81"/>
        <v/>
      </c>
      <c r="AS56" s="25" t="str">
        <f t="shared" si="41"/>
        <v/>
      </c>
      <c r="AT56" t="str">
        <f t="shared" si="82"/>
        <v/>
      </c>
      <c r="AU56" s="25" t="str">
        <f t="shared" si="43"/>
        <v/>
      </c>
      <c r="AV56" t="str">
        <f t="shared" si="83"/>
        <v/>
      </c>
      <c r="AW56" s="25" t="str">
        <f t="shared" si="43"/>
        <v/>
      </c>
      <c r="AX56" t="str">
        <f t="shared" si="84"/>
        <v/>
      </c>
      <c r="AY56" s="25" t="str">
        <f t="shared" si="3"/>
        <v/>
      </c>
      <c r="AZ56" t="str">
        <f t="shared" si="85"/>
        <v/>
      </c>
      <c r="BA56" s="25" t="str">
        <f t="shared" si="4"/>
        <v/>
      </c>
      <c r="BB56" t="str">
        <f t="shared" si="86"/>
        <v/>
      </c>
      <c r="BC56" s="25" t="str">
        <f t="shared" si="48"/>
        <v/>
      </c>
      <c r="BD56" t="str">
        <f t="shared" si="87"/>
        <v/>
      </c>
      <c r="BE56" s="25" t="str">
        <f t="shared" si="5"/>
        <v/>
      </c>
      <c r="BF56">
        <f t="shared" si="88"/>
        <v>92.1</v>
      </c>
      <c r="BG56" s="25">
        <f t="shared" si="6"/>
        <v>5</v>
      </c>
      <c r="BH56" t="str">
        <f t="shared" si="89"/>
        <v/>
      </c>
      <c r="BI56" s="25" t="str">
        <f t="shared" si="7"/>
        <v/>
      </c>
      <c r="BJ56" t="str">
        <f t="shared" si="90"/>
        <v/>
      </c>
      <c r="BK56" s="25" t="str">
        <f t="shared" si="8"/>
        <v/>
      </c>
    </row>
    <row r="57" spans="1:63">
      <c r="A57">
        <v>9</v>
      </c>
      <c r="B57">
        <v>1</v>
      </c>
      <c r="C57">
        <v>220.4</v>
      </c>
      <c r="D57">
        <v>7</v>
      </c>
      <c r="E57">
        <v>3</v>
      </c>
      <c r="F57">
        <v>937</v>
      </c>
      <c r="G57">
        <v>111.1</v>
      </c>
      <c r="H57">
        <v>73.900000000000006</v>
      </c>
      <c r="I57">
        <v>176.3</v>
      </c>
      <c r="AR57" t="str">
        <f t="shared" si="81"/>
        <v/>
      </c>
      <c r="AS57" s="25" t="str">
        <f t="shared" si="41"/>
        <v/>
      </c>
      <c r="AT57" t="str">
        <f t="shared" si="82"/>
        <v/>
      </c>
      <c r="AU57" s="25" t="str">
        <f t="shared" si="43"/>
        <v/>
      </c>
      <c r="AV57" t="str">
        <f t="shared" si="83"/>
        <v/>
      </c>
      <c r="AW57" s="25" t="str">
        <f t="shared" si="43"/>
        <v/>
      </c>
      <c r="AX57" t="str">
        <f t="shared" si="84"/>
        <v/>
      </c>
      <c r="AY57" s="25" t="str">
        <f t="shared" si="3"/>
        <v/>
      </c>
      <c r="AZ57" t="str">
        <f t="shared" si="85"/>
        <v/>
      </c>
      <c r="BA57" s="25" t="str">
        <f t="shared" si="4"/>
        <v/>
      </c>
      <c r="BB57" t="str">
        <f t="shared" si="86"/>
        <v/>
      </c>
      <c r="BC57" s="25" t="str">
        <f t="shared" si="48"/>
        <v/>
      </c>
      <c r="BD57">
        <f t="shared" si="87"/>
        <v>73.900000000000006</v>
      </c>
      <c r="BE57" s="25">
        <f t="shared" si="5"/>
        <v>3</v>
      </c>
      <c r="BF57" t="str">
        <f t="shared" si="88"/>
        <v/>
      </c>
      <c r="BG57" s="25" t="str">
        <f t="shared" si="6"/>
        <v/>
      </c>
      <c r="BH57" t="str">
        <f t="shared" si="89"/>
        <v/>
      </c>
      <c r="BI57" s="25" t="str">
        <f t="shared" si="7"/>
        <v/>
      </c>
      <c r="BJ57" t="str">
        <f t="shared" si="90"/>
        <v/>
      </c>
      <c r="BK57" s="25" t="str">
        <f t="shared" si="8"/>
        <v/>
      </c>
    </row>
    <row r="58" spans="1:63">
      <c r="A58">
        <v>9</v>
      </c>
      <c r="B58">
        <v>2</v>
      </c>
      <c r="C58">
        <v>226.7</v>
      </c>
      <c r="D58">
        <v>7</v>
      </c>
      <c r="E58">
        <v>4</v>
      </c>
      <c r="F58">
        <v>911</v>
      </c>
      <c r="G58">
        <v>142.5</v>
      </c>
      <c r="H58">
        <v>87.5</v>
      </c>
      <c r="I58">
        <v>191.1</v>
      </c>
      <c r="AR58" t="str">
        <f t="shared" si="81"/>
        <v/>
      </c>
      <c r="AS58" s="25" t="str">
        <f t="shared" si="41"/>
        <v/>
      </c>
      <c r="AT58" t="str">
        <f t="shared" si="82"/>
        <v/>
      </c>
      <c r="AU58" s="25" t="str">
        <f t="shared" si="43"/>
        <v/>
      </c>
      <c r="AV58" t="str">
        <f t="shared" si="83"/>
        <v/>
      </c>
      <c r="AW58" s="25" t="str">
        <f t="shared" si="43"/>
        <v/>
      </c>
      <c r="AX58" t="str">
        <f t="shared" si="84"/>
        <v/>
      </c>
      <c r="AY58" s="25" t="str">
        <f t="shared" si="3"/>
        <v/>
      </c>
      <c r="AZ58" t="str">
        <f t="shared" si="85"/>
        <v/>
      </c>
      <c r="BA58" s="25" t="str">
        <f t="shared" si="4"/>
        <v/>
      </c>
      <c r="BB58" t="str">
        <f t="shared" si="86"/>
        <v/>
      </c>
      <c r="BC58" s="25" t="str">
        <f t="shared" si="48"/>
        <v/>
      </c>
      <c r="BD58">
        <f t="shared" si="87"/>
        <v>87.5</v>
      </c>
      <c r="BE58" s="25">
        <f t="shared" si="5"/>
        <v>4</v>
      </c>
      <c r="BF58" t="str">
        <f t="shared" si="88"/>
        <v/>
      </c>
      <c r="BG58" s="25" t="str">
        <f t="shared" si="6"/>
        <v/>
      </c>
      <c r="BH58" t="str">
        <f t="shared" si="89"/>
        <v/>
      </c>
      <c r="BI58" s="25" t="str">
        <f t="shared" si="7"/>
        <v/>
      </c>
      <c r="BJ58" t="str">
        <f t="shared" si="90"/>
        <v/>
      </c>
      <c r="BK58" s="25" t="str">
        <f t="shared" si="8"/>
        <v/>
      </c>
    </row>
    <row r="59" spans="1:63">
      <c r="A59">
        <v>11</v>
      </c>
      <c r="B59">
        <v>8</v>
      </c>
      <c r="C59">
        <v>242.4</v>
      </c>
      <c r="D59">
        <v>9</v>
      </c>
      <c r="E59">
        <v>1</v>
      </c>
      <c r="F59">
        <v>852</v>
      </c>
      <c r="G59">
        <v>118.9</v>
      </c>
      <c r="H59">
        <v>79.8</v>
      </c>
      <c r="I59">
        <v>238.7</v>
      </c>
      <c r="AR59" t="str">
        <f t="shared" si="81"/>
        <v/>
      </c>
      <c r="AS59" s="25" t="str">
        <f t="shared" si="41"/>
        <v/>
      </c>
      <c r="AT59" t="str">
        <f t="shared" si="82"/>
        <v/>
      </c>
      <c r="AU59" s="25" t="str">
        <f t="shared" si="43"/>
        <v/>
      </c>
      <c r="AV59" t="str">
        <f t="shared" si="83"/>
        <v/>
      </c>
      <c r="AW59" s="25" t="str">
        <f t="shared" si="43"/>
        <v/>
      </c>
      <c r="AX59" t="str">
        <f t="shared" si="84"/>
        <v/>
      </c>
      <c r="AY59" s="25" t="str">
        <f t="shared" si="3"/>
        <v/>
      </c>
      <c r="AZ59" t="str">
        <f t="shared" si="85"/>
        <v/>
      </c>
      <c r="BA59" s="25" t="str">
        <f t="shared" si="4"/>
        <v/>
      </c>
      <c r="BB59" t="str">
        <f t="shared" si="86"/>
        <v/>
      </c>
      <c r="BC59" s="25" t="str">
        <f t="shared" si="48"/>
        <v/>
      </c>
      <c r="BD59" t="str">
        <f t="shared" si="87"/>
        <v/>
      </c>
      <c r="BE59" s="25" t="str">
        <f t="shared" si="5"/>
        <v/>
      </c>
      <c r="BF59" t="str">
        <f t="shared" si="88"/>
        <v/>
      </c>
      <c r="BG59" s="25" t="str">
        <f t="shared" si="6"/>
        <v/>
      </c>
      <c r="BH59">
        <f t="shared" si="89"/>
        <v>79.8</v>
      </c>
      <c r="BI59" s="25">
        <f t="shared" si="7"/>
        <v>1</v>
      </c>
      <c r="BJ59" t="str">
        <f t="shared" si="90"/>
        <v/>
      </c>
      <c r="BK59" s="25" t="str">
        <f t="shared" si="8"/>
        <v/>
      </c>
    </row>
    <row r="60" spans="1:63">
      <c r="A60">
        <v>8</v>
      </c>
      <c r="B60">
        <v>12</v>
      </c>
      <c r="C60">
        <v>246.8</v>
      </c>
      <c r="D60">
        <v>1</v>
      </c>
      <c r="E60">
        <v>10</v>
      </c>
      <c r="F60">
        <v>837</v>
      </c>
      <c r="G60">
        <v>550.9</v>
      </c>
      <c r="H60">
        <v>170.4</v>
      </c>
      <c r="I60">
        <v>213.5</v>
      </c>
      <c r="AR60">
        <f t="shared" si="40"/>
        <v>550.9</v>
      </c>
      <c r="AS60" s="25">
        <f t="shared" si="41"/>
        <v>10</v>
      </c>
      <c r="AT60" t="str">
        <f t="shared" si="42"/>
        <v/>
      </c>
      <c r="AU60" s="25" t="str">
        <f t="shared" si="43"/>
        <v/>
      </c>
      <c r="AV60" t="str">
        <f t="shared" si="44"/>
        <v/>
      </c>
      <c r="AW60" s="25" t="str">
        <f t="shared" si="43"/>
        <v/>
      </c>
      <c r="AX60" t="str">
        <f t="shared" si="45"/>
        <v/>
      </c>
      <c r="AY60" s="25" t="str">
        <f t="shared" si="3"/>
        <v/>
      </c>
      <c r="AZ60" t="str">
        <f t="shared" si="46"/>
        <v/>
      </c>
      <c r="BA60" s="25" t="str">
        <f t="shared" si="4"/>
        <v/>
      </c>
      <c r="BB60" t="str">
        <f t="shared" si="47"/>
        <v/>
      </c>
      <c r="BC60" s="25" t="str">
        <f t="shared" si="48"/>
        <v/>
      </c>
      <c r="BD60" t="str">
        <f t="shared" si="49"/>
        <v/>
      </c>
      <c r="BE60" s="25" t="str">
        <f t="shared" si="5"/>
        <v/>
      </c>
      <c r="BF60" t="str">
        <f t="shared" si="50"/>
        <v/>
      </c>
      <c r="BG60" s="25" t="str">
        <f t="shared" si="6"/>
        <v/>
      </c>
      <c r="BH60" t="str">
        <f t="shared" si="51"/>
        <v/>
      </c>
      <c r="BI60" s="25" t="str">
        <f t="shared" si="7"/>
        <v/>
      </c>
      <c r="BJ60" t="str">
        <f t="shared" si="52"/>
        <v/>
      </c>
      <c r="BK60" s="25" t="str">
        <f t="shared" si="8"/>
        <v/>
      </c>
    </row>
    <row r="61" spans="1:63">
      <c r="A61">
        <v>11</v>
      </c>
      <c r="B61">
        <v>14</v>
      </c>
      <c r="C61">
        <v>260.2</v>
      </c>
      <c r="D61">
        <v>9</v>
      </c>
      <c r="E61">
        <v>2</v>
      </c>
      <c r="F61">
        <v>794</v>
      </c>
      <c r="G61">
        <v>195.4</v>
      </c>
      <c r="H61">
        <v>111.6</v>
      </c>
      <c r="I61">
        <v>261</v>
      </c>
      <c r="AR61" t="str">
        <f t="shared" si="40"/>
        <v/>
      </c>
      <c r="AS61" s="25" t="str">
        <f t="shared" si="41"/>
        <v/>
      </c>
      <c r="AT61" t="str">
        <f t="shared" si="42"/>
        <v/>
      </c>
      <c r="AU61" s="25" t="str">
        <f t="shared" si="43"/>
        <v/>
      </c>
      <c r="AV61" t="str">
        <f t="shared" si="44"/>
        <v/>
      </c>
      <c r="AW61" s="25" t="str">
        <f t="shared" si="43"/>
        <v/>
      </c>
      <c r="AX61" t="str">
        <f t="shared" si="45"/>
        <v/>
      </c>
      <c r="AY61" s="25" t="str">
        <f t="shared" si="3"/>
        <v/>
      </c>
      <c r="AZ61" t="str">
        <f t="shared" si="46"/>
        <v/>
      </c>
      <c r="BA61" s="25" t="str">
        <f t="shared" si="4"/>
        <v/>
      </c>
      <c r="BB61" t="str">
        <f t="shared" si="47"/>
        <v/>
      </c>
      <c r="BC61" s="25" t="str">
        <f t="shared" si="48"/>
        <v/>
      </c>
      <c r="BD61" t="str">
        <f t="shared" si="49"/>
        <v/>
      </c>
      <c r="BE61" s="25" t="str">
        <f t="shared" si="5"/>
        <v/>
      </c>
      <c r="BF61" t="str">
        <f t="shared" si="50"/>
        <v/>
      </c>
      <c r="BG61" s="25" t="str">
        <f t="shared" si="6"/>
        <v/>
      </c>
      <c r="BH61">
        <f t="shared" si="51"/>
        <v>195.4</v>
      </c>
      <c r="BI61" s="25">
        <f t="shared" si="7"/>
        <v>2</v>
      </c>
      <c r="BJ61" t="str">
        <f t="shared" si="52"/>
        <v/>
      </c>
      <c r="BK61" s="25" t="str">
        <f t="shared" si="8"/>
        <v/>
      </c>
    </row>
    <row r="62" spans="1:63">
      <c r="A62">
        <v>15</v>
      </c>
      <c r="B62">
        <v>9</v>
      </c>
      <c r="C62">
        <v>272.89999999999998</v>
      </c>
      <c r="D62">
        <v>6</v>
      </c>
      <c r="E62">
        <v>7</v>
      </c>
      <c r="F62">
        <v>757</v>
      </c>
      <c r="G62">
        <v>366.3</v>
      </c>
      <c r="H62">
        <v>156.4</v>
      </c>
      <c r="I62">
        <v>291.39999999999998</v>
      </c>
      <c r="AR62" t="str">
        <f t="shared" si="40"/>
        <v/>
      </c>
      <c r="AS62" s="25" t="str">
        <f t="shared" si="41"/>
        <v/>
      </c>
      <c r="AT62" t="str">
        <f t="shared" si="42"/>
        <v/>
      </c>
      <c r="AU62" s="25" t="str">
        <f t="shared" si="43"/>
        <v/>
      </c>
      <c r="AV62" t="str">
        <f t="shared" si="44"/>
        <v/>
      </c>
      <c r="AW62" s="25" t="str">
        <f t="shared" si="43"/>
        <v/>
      </c>
      <c r="AX62" t="str">
        <f t="shared" si="45"/>
        <v/>
      </c>
      <c r="AY62" s="25" t="str">
        <f t="shared" si="3"/>
        <v/>
      </c>
      <c r="AZ62" t="str">
        <f t="shared" si="46"/>
        <v/>
      </c>
      <c r="BA62" s="25" t="str">
        <f t="shared" si="4"/>
        <v/>
      </c>
      <c r="BB62">
        <f t="shared" si="47"/>
        <v>366.3</v>
      </c>
      <c r="BC62" s="25">
        <f t="shared" si="48"/>
        <v>7</v>
      </c>
      <c r="BD62" t="str">
        <f t="shared" si="49"/>
        <v/>
      </c>
      <c r="BE62" s="25" t="str">
        <f t="shared" si="5"/>
        <v/>
      </c>
      <c r="BF62" t="str">
        <f t="shared" si="50"/>
        <v/>
      </c>
      <c r="BG62" s="25" t="str">
        <f t="shared" si="6"/>
        <v/>
      </c>
      <c r="BH62" t="str">
        <f t="shared" si="51"/>
        <v/>
      </c>
      <c r="BI62" s="25" t="str">
        <f t="shared" si="7"/>
        <v/>
      </c>
      <c r="BJ62" t="str">
        <f t="shared" si="52"/>
        <v/>
      </c>
      <c r="BK62" s="25" t="str">
        <f t="shared" si="8"/>
        <v/>
      </c>
    </row>
    <row r="63" spans="1:63">
      <c r="A63">
        <v>2</v>
      </c>
      <c r="B63">
        <v>11</v>
      </c>
      <c r="C63">
        <v>274.7</v>
      </c>
      <c r="D63">
        <v>4</v>
      </c>
      <c r="E63">
        <v>9</v>
      </c>
      <c r="F63">
        <v>752</v>
      </c>
      <c r="G63">
        <v>337</v>
      </c>
      <c r="H63">
        <v>151.30000000000001</v>
      </c>
      <c r="I63">
        <v>283.89999999999998</v>
      </c>
      <c r="AR63" t="str">
        <f t="shared" si="40"/>
        <v/>
      </c>
      <c r="AS63" s="25" t="str">
        <f t="shared" si="41"/>
        <v/>
      </c>
      <c r="AT63" t="str">
        <f t="shared" si="42"/>
        <v/>
      </c>
      <c r="AU63" s="25" t="str">
        <f t="shared" si="43"/>
        <v/>
      </c>
      <c r="AV63" t="str">
        <f t="shared" si="44"/>
        <v/>
      </c>
      <c r="AW63" s="25" t="str">
        <f t="shared" si="43"/>
        <v/>
      </c>
      <c r="AX63">
        <f t="shared" si="45"/>
        <v>337</v>
      </c>
      <c r="AY63" s="25">
        <f t="shared" si="3"/>
        <v>9</v>
      </c>
      <c r="AZ63" t="str">
        <f t="shared" si="46"/>
        <v/>
      </c>
      <c r="BA63" s="25" t="str">
        <f t="shared" si="4"/>
        <v/>
      </c>
      <c r="BB63" t="str">
        <f t="shared" si="47"/>
        <v/>
      </c>
      <c r="BC63" s="25" t="str">
        <f t="shared" si="48"/>
        <v/>
      </c>
      <c r="BD63" t="str">
        <f t="shared" si="49"/>
        <v/>
      </c>
      <c r="BE63" s="25" t="str">
        <f t="shared" si="5"/>
        <v/>
      </c>
      <c r="BF63" t="str">
        <f t="shared" si="50"/>
        <v/>
      </c>
      <c r="BG63" s="25" t="str">
        <f t="shared" si="6"/>
        <v/>
      </c>
      <c r="BH63" t="str">
        <f t="shared" si="51"/>
        <v/>
      </c>
      <c r="BI63" s="25" t="str">
        <f t="shared" si="7"/>
        <v/>
      </c>
      <c r="BJ63" t="str">
        <f t="shared" si="52"/>
        <v/>
      </c>
      <c r="BK63" s="25" t="str">
        <f t="shared" si="8"/>
        <v/>
      </c>
    </row>
    <row r="64" spans="1:63">
      <c r="A64">
        <v>15</v>
      </c>
      <c r="B64">
        <v>5</v>
      </c>
      <c r="C64">
        <v>307.89999999999998</v>
      </c>
      <c r="D64">
        <v>6</v>
      </c>
      <c r="E64">
        <v>8</v>
      </c>
      <c r="F64">
        <v>671</v>
      </c>
      <c r="G64">
        <v>426.8</v>
      </c>
      <c r="H64">
        <v>178.9</v>
      </c>
      <c r="I64">
        <v>359.9</v>
      </c>
      <c r="AR64" t="str">
        <f t="shared" si="40"/>
        <v/>
      </c>
      <c r="AS64" s="25" t="str">
        <f t="shared" si="41"/>
        <v/>
      </c>
      <c r="AT64" t="str">
        <f t="shared" si="42"/>
        <v/>
      </c>
      <c r="AU64" s="25" t="str">
        <f t="shared" si="43"/>
        <v/>
      </c>
      <c r="AV64" t="str">
        <f t="shared" si="44"/>
        <v/>
      </c>
      <c r="AW64" s="25" t="str">
        <f t="shared" si="43"/>
        <v/>
      </c>
      <c r="AX64" t="str">
        <f t="shared" si="45"/>
        <v/>
      </c>
      <c r="AY64" s="25" t="str">
        <f t="shared" si="3"/>
        <v/>
      </c>
      <c r="AZ64" t="str">
        <f t="shared" si="46"/>
        <v/>
      </c>
      <c r="BA64" s="25" t="str">
        <f t="shared" si="4"/>
        <v/>
      </c>
      <c r="BB64">
        <f t="shared" si="47"/>
        <v>426.8</v>
      </c>
      <c r="BC64" s="25">
        <f t="shared" si="48"/>
        <v>8</v>
      </c>
      <c r="BD64" t="str">
        <f t="shared" si="49"/>
        <v/>
      </c>
      <c r="BE64" s="25" t="str">
        <f t="shared" si="5"/>
        <v/>
      </c>
      <c r="BF64" t="str">
        <f t="shared" si="50"/>
        <v/>
      </c>
      <c r="BG64" s="25" t="str">
        <f t="shared" si="6"/>
        <v/>
      </c>
      <c r="BH64" t="str">
        <f t="shared" si="51"/>
        <v/>
      </c>
      <c r="BI64" s="25" t="str">
        <f t="shared" si="7"/>
        <v/>
      </c>
      <c r="BJ64" t="str">
        <f t="shared" si="52"/>
        <v/>
      </c>
      <c r="BK64" s="25" t="str">
        <f t="shared" si="8"/>
        <v/>
      </c>
    </row>
    <row r="65" spans="1:63">
      <c r="A65">
        <v>13</v>
      </c>
      <c r="B65">
        <v>11</v>
      </c>
      <c r="C65">
        <v>312.5</v>
      </c>
      <c r="D65">
        <v>5</v>
      </c>
      <c r="E65">
        <v>9</v>
      </c>
      <c r="F65">
        <v>661</v>
      </c>
      <c r="G65">
        <v>465.3</v>
      </c>
      <c r="H65">
        <v>186.9</v>
      </c>
      <c r="I65">
        <v>359.7</v>
      </c>
      <c r="AR65" t="str">
        <f t="shared" si="40"/>
        <v/>
      </c>
      <c r="AS65" s="25" t="str">
        <f t="shared" si="41"/>
        <v/>
      </c>
      <c r="AT65" t="str">
        <f t="shared" si="42"/>
        <v/>
      </c>
      <c r="AU65" s="25" t="str">
        <f t="shared" si="43"/>
        <v/>
      </c>
      <c r="AV65" t="str">
        <f t="shared" si="44"/>
        <v/>
      </c>
      <c r="AW65" s="25" t="str">
        <f t="shared" si="43"/>
        <v/>
      </c>
      <c r="AX65" t="str">
        <f t="shared" si="45"/>
        <v/>
      </c>
      <c r="AY65" s="25" t="str">
        <f t="shared" si="3"/>
        <v/>
      </c>
      <c r="AZ65">
        <f t="shared" si="46"/>
        <v>465.3</v>
      </c>
      <c r="BA65" s="25">
        <f t="shared" si="4"/>
        <v>9</v>
      </c>
      <c r="BB65" t="str">
        <f t="shared" si="47"/>
        <v/>
      </c>
      <c r="BC65" s="25" t="str">
        <f t="shared" si="48"/>
        <v/>
      </c>
      <c r="BD65" t="str">
        <f t="shared" si="49"/>
        <v/>
      </c>
      <c r="BE65" s="25" t="str">
        <f t="shared" si="5"/>
        <v/>
      </c>
      <c r="BF65" t="str">
        <f t="shared" si="50"/>
        <v/>
      </c>
      <c r="BG65" s="25" t="str">
        <f t="shared" si="6"/>
        <v/>
      </c>
      <c r="BH65" t="str">
        <f t="shared" si="51"/>
        <v/>
      </c>
      <c r="BI65" s="25" t="str">
        <f t="shared" si="7"/>
        <v/>
      </c>
      <c r="BJ65" t="str">
        <f t="shared" si="52"/>
        <v/>
      </c>
      <c r="BK65" s="25" t="str">
        <f t="shared" si="8"/>
        <v/>
      </c>
    </row>
    <row r="66" spans="1:63">
      <c r="A66">
        <v>11</v>
      </c>
      <c r="B66">
        <v>2</v>
      </c>
      <c r="C66">
        <v>337</v>
      </c>
      <c r="D66">
        <v>9</v>
      </c>
      <c r="E66">
        <v>4</v>
      </c>
      <c r="F66">
        <v>613</v>
      </c>
      <c r="G66">
        <v>274.7</v>
      </c>
      <c r="H66">
        <v>151.30000000000001</v>
      </c>
      <c r="I66">
        <v>316.2</v>
      </c>
      <c r="AR66" t="str">
        <f t="shared" si="40"/>
        <v/>
      </c>
      <c r="AS66" s="25" t="str">
        <f t="shared" si="41"/>
        <v/>
      </c>
      <c r="AT66" t="str">
        <f t="shared" si="42"/>
        <v/>
      </c>
      <c r="AU66" s="25" t="str">
        <f t="shared" si="43"/>
        <v/>
      </c>
      <c r="AV66" t="str">
        <f t="shared" si="44"/>
        <v/>
      </c>
      <c r="AW66" s="25" t="str">
        <f t="shared" si="43"/>
        <v/>
      </c>
      <c r="AX66" t="str">
        <f t="shared" si="45"/>
        <v/>
      </c>
      <c r="AY66" s="25" t="str">
        <f t="shared" si="3"/>
        <v/>
      </c>
      <c r="AZ66" t="str">
        <f t="shared" si="46"/>
        <v/>
      </c>
      <c r="BA66" s="25" t="str">
        <f t="shared" si="4"/>
        <v/>
      </c>
      <c r="BB66" t="str">
        <f t="shared" si="47"/>
        <v/>
      </c>
      <c r="BC66" s="25" t="str">
        <f t="shared" si="48"/>
        <v/>
      </c>
      <c r="BD66" t="str">
        <f t="shared" si="49"/>
        <v/>
      </c>
      <c r="BE66" s="25" t="str">
        <f t="shared" si="5"/>
        <v/>
      </c>
      <c r="BF66" t="str">
        <f t="shared" si="50"/>
        <v/>
      </c>
      <c r="BG66" s="25" t="str">
        <f t="shared" si="6"/>
        <v/>
      </c>
      <c r="BH66">
        <f t="shared" si="51"/>
        <v>274.7</v>
      </c>
      <c r="BI66" s="25">
        <f t="shared" si="7"/>
        <v>4</v>
      </c>
      <c r="BJ66" t="str">
        <f t="shared" si="52"/>
        <v/>
      </c>
      <c r="BK66" s="25" t="str">
        <f t="shared" si="8"/>
        <v/>
      </c>
    </row>
    <row r="67" spans="1:63">
      <c r="A67">
        <v>8</v>
      </c>
      <c r="B67">
        <v>16</v>
      </c>
      <c r="C67">
        <v>348.9</v>
      </c>
      <c r="D67">
        <v>1</v>
      </c>
      <c r="E67">
        <v>11</v>
      </c>
      <c r="F67">
        <v>592</v>
      </c>
      <c r="G67">
        <v>1017.7</v>
      </c>
      <c r="H67">
        <v>259.8</v>
      </c>
      <c r="I67">
        <v>373.7</v>
      </c>
      <c r="AR67">
        <f t="shared" si="40"/>
        <v>1017.7</v>
      </c>
      <c r="AS67" s="25">
        <f t="shared" si="41"/>
        <v>11</v>
      </c>
      <c r="AT67" t="str">
        <f t="shared" si="42"/>
        <v/>
      </c>
      <c r="AU67" s="25" t="str">
        <f t="shared" si="43"/>
        <v/>
      </c>
      <c r="AV67" t="str">
        <f t="shared" si="44"/>
        <v/>
      </c>
      <c r="AW67" s="25" t="str">
        <f t="shared" si="43"/>
        <v/>
      </c>
      <c r="AX67" t="str">
        <f t="shared" si="45"/>
        <v/>
      </c>
      <c r="AY67" s="25" t="str">
        <f t="shared" si="3"/>
        <v/>
      </c>
      <c r="AZ67" t="str">
        <f t="shared" si="46"/>
        <v/>
      </c>
      <c r="BA67" s="25" t="str">
        <f t="shared" si="4"/>
        <v/>
      </c>
      <c r="BB67" t="str">
        <f t="shared" si="47"/>
        <v/>
      </c>
      <c r="BC67" s="25" t="str">
        <f t="shared" si="48"/>
        <v/>
      </c>
      <c r="BD67" t="str">
        <f t="shared" si="49"/>
        <v/>
      </c>
      <c r="BE67" s="25" t="str">
        <f t="shared" si="5"/>
        <v/>
      </c>
      <c r="BF67" t="str">
        <f t="shared" si="50"/>
        <v/>
      </c>
      <c r="BG67" s="25" t="str">
        <f t="shared" si="6"/>
        <v/>
      </c>
      <c r="BH67" t="str">
        <f t="shared" si="51"/>
        <v/>
      </c>
      <c r="BI67" s="25" t="str">
        <f t="shared" si="7"/>
        <v/>
      </c>
      <c r="BJ67" t="str">
        <f t="shared" si="52"/>
        <v/>
      </c>
      <c r="BK67" s="25" t="str">
        <f t="shared" si="8"/>
        <v/>
      </c>
    </row>
    <row r="68" spans="1:63">
      <c r="A68">
        <v>2</v>
      </c>
      <c r="B68">
        <v>12</v>
      </c>
      <c r="C68">
        <v>358</v>
      </c>
      <c r="D68">
        <v>4</v>
      </c>
      <c r="E68">
        <v>10</v>
      </c>
      <c r="F68">
        <v>577</v>
      </c>
      <c r="G68">
        <v>613</v>
      </c>
      <c r="H68">
        <v>226</v>
      </c>
      <c r="I68">
        <v>340.7</v>
      </c>
      <c r="AR68" t="str">
        <f t="shared" si="40"/>
        <v/>
      </c>
      <c r="AS68" s="25" t="str">
        <f t="shared" si="41"/>
        <v/>
      </c>
      <c r="AT68" t="str">
        <f t="shared" si="42"/>
        <v/>
      </c>
      <c r="AU68" s="25" t="str">
        <f t="shared" si="43"/>
        <v/>
      </c>
      <c r="AV68" t="str">
        <f t="shared" si="44"/>
        <v/>
      </c>
      <c r="AW68" s="25" t="str">
        <f t="shared" si="43"/>
        <v/>
      </c>
      <c r="AX68">
        <f t="shared" si="45"/>
        <v>613</v>
      </c>
      <c r="AY68" s="25">
        <f t="shared" si="3"/>
        <v>10</v>
      </c>
      <c r="AZ68" t="str">
        <f t="shared" si="46"/>
        <v/>
      </c>
      <c r="BA68" s="25" t="str">
        <f t="shared" si="4"/>
        <v/>
      </c>
      <c r="BB68" t="str">
        <f t="shared" si="47"/>
        <v/>
      </c>
      <c r="BC68" s="25" t="str">
        <f t="shared" si="48"/>
        <v/>
      </c>
      <c r="BD68" t="str">
        <f t="shared" si="49"/>
        <v/>
      </c>
      <c r="BE68" s="25" t="str">
        <f t="shared" si="5"/>
        <v/>
      </c>
      <c r="BF68" t="str">
        <f t="shared" si="50"/>
        <v/>
      </c>
      <c r="BG68" s="25" t="str">
        <f t="shared" si="6"/>
        <v/>
      </c>
      <c r="BH68" t="str">
        <f t="shared" si="51"/>
        <v/>
      </c>
      <c r="BI68" s="25" t="str">
        <f t="shared" si="7"/>
        <v/>
      </c>
      <c r="BJ68" t="str">
        <f t="shared" si="52"/>
        <v/>
      </c>
      <c r="BK68" s="25" t="str">
        <f t="shared" si="8"/>
        <v/>
      </c>
    </row>
    <row r="69" spans="1:63">
      <c r="A69">
        <v>9</v>
      </c>
      <c r="B69">
        <v>15</v>
      </c>
      <c r="C69">
        <v>366.3</v>
      </c>
      <c r="D69">
        <v>7</v>
      </c>
      <c r="E69">
        <v>6</v>
      </c>
      <c r="F69">
        <v>564</v>
      </c>
      <c r="G69">
        <v>272.89999999999998</v>
      </c>
      <c r="H69">
        <v>156.4</v>
      </c>
      <c r="I69">
        <v>372.2</v>
      </c>
      <c r="AR69" t="str">
        <f t="shared" si="40"/>
        <v/>
      </c>
      <c r="AS69" s="25" t="str">
        <f t="shared" si="41"/>
        <v/>
      </c>
      <c r="AT69" t="str">
        <f t="shared" si="42"/>
        <v/>
      </c>
      <c r="AU69" s="25" t="str">
        <f t="shared" si="43"/>
        <v/>
      </c>
      <c r="AV69" t="str">
        <f t="shared" si="44"/>
        <v/>
      </c>
      <c r="AW69" s="25" t="str">
        <f t="shared" si="43"/>
        <v/>
      </c>
      <c r="AX69" t="str">
        <f t="shared" si="45"/>
        <v/>
      </c>
      <c r="AY69" s="25" t="str">
        <f t="shared" ref="AY69:AY132" si="91">IFERROR(IF(AX69="","",$E69),"")</f>
        <v/>
      </c>
      <c r="AZ69" t="str">
        <f t="shared" si="46"/>
        <v/>
      </c>
      <c r="BA69" s="25" t="str">
        <f t="shared" ref="BA69:BA132" si="92">IFERROR(IF(AZ69="","",$E69),"")</f>
        <v/>
      </c>
      <c r="BB69" t="str">
        <f t="shared" si="47"/>
        <v/>
      </c>
      <c r="BC69" s="25" t="str">
        <f t="shared" ref="BC69:BC132" si="93">IFERROR(IF(BB69="","",$E69),"")</f>
        <v/>
      </c>
      <c r="BD69">
        <f t="shared" si="49"/>
        <v>272.89999999999998</v>
      </c>
      <c r="BE69" s="25">
        <f t="shared" ref="BE69:BE132" si="94">IFERROR(IF(BD69="","",$E69),"")</f>
        <v>6</v>
      </c>
      <c r="BF69" t="str">
        <f t="shared" si="50"/>
        <v/>
      </c>
      <c r="BG69" s="25" t="str">
        <f t="shared" ref="BG69:BG132" si="95">IFERROR(IF(BF69="","",$E69),"")</f>
        <v/>
      </c>
      <c r="BH69" t="str">
        <f t="shared" si="51"/>
        <v/>
      </c>
      <c r="BI69" s="25" t="str">
        <f t="shared" ref="BI69:BI132" si="96">IFERROR(IF(BH69="","",$E69),"")</f>
        <v/>
      </c>
      <c r="BJ69" t="str">
        <f t="shared" si="52"/>
        <v/>
      </c>
      <c r="BK69" s="25" t="str">
        <f t="shared" ref="BK69:BK100" si="97">IFERROR(IF(BJ69="","",$E69),"")</f>
        <v/>
      </c>
    </row>
    <row r="70" spans="1:63">
      <c r="A70">
        <v>11</v>
      </c>
      <c r="B70">
        <v>1</v>
      </c>
      <c r="C70">
        <v>379</v>
      </c>
      <c r="D70">
        <v>9</v>
      </c>
      <c r="E70">
        <v>3</v>
      </c>
      <c r="F70">
        <v>545</v>
      </c>
      <c r="G70">
        <v>204.3</v>
      </c>
      <c r="H70">
        <v>132.69999999999999</v>
      </c>
      <c r="I70">
        <v>342.5</v>
      </c>
      <c r="AR70" t="str">
        <f t="shared" ref="AR70:AR133" si="98">IF($D70=AR$4,$G70,"")</f>
        <v/>
      </c>
      <c r="AS70" s="25" t="str">
        <f t="shared" ref="AS70:AS133" si="99">IFERROR(IF(AR70="","",E70),"")</f>
        <v/>
      </c>
      <c r="AT70" t="str">
        <f t="shared" ref="AT70:AT133" si="100">IF($D70=AT$4,$G70,"")</f>
        <v/>
      </c>
      <c r="AU70" s="25" t="str">
        <f t="shared" ref="AU70:AW100" si="101">IFERROR(IF(AT70="","",$E70),"")</f>
        <v/>
      </c>
      <c r="AV70" t="str">
        <f t="shared" ref="AV70:AV133" si="102">IF($D70=AV$4,$G70,"")</f>
        <v/>
      </c>
      <c r="AW70" s="25" t="str">
        <f t="shared" si="101"/>
        <v/>
      </c>
      <c r="AX70" t="str">
        <f t="shared" ref="AX70:AX133" si="103">IF($D70=AX$4,$G70,"")</f>
        <v/>
      </c>
      <c r="AY70" s="25" t="str">
        <f t="shared" si="91"/>
        <v/>
      </c>
      <c r="AZ70" t="str">
        <f t="shared" ref="AZ70:AZ133" si="104">IF($D70=AZ$4,$G70,"")</f>
        <v/>
      </c>
      <c r="BA70" s="25" t="str">
        <f t="shared" si="92"/>
        <v/>
      </c>
      <c r="BB70" t="str">
        <f t="shared" ref="BB70:BB133" si="105">IF($D70=BB$4,$G70,"")</f>
        <v/>
      </c>
      <c r="BC70" s="25" t="str">
        <f t="shared" si="93"/>
        <v/>
      </c>
      <c r="BD70" t="str">
        <f t="shared" ref="BD70:BD133" si="106">IF($D70=BD$4,$G70,"")</f>
        <v/>
      </c>
      <c r="BE70" s="25" t="str">
        <f t="shared" si="94"/>
        <v/>
      </c>
      <c r="BF70" t="str">
        <f t="shared" ref="BF70:BF133" si="107">IF($D70=BF$4,$G70,"")</f>
        <v/>
      </c>
      <c r="BG70" s="25" t="str">
        <f t="shared" si="95"/>
        <v/>
      </c>
      <c r="BH70">
        <f t="shared" ref="BH70:BH133" si="108">IF($D70=BH$4,$G70,"")</f>
        <v>204.3</v>
      </c>
      <c r="BI70" s="25">
        <f t="shared" si="96"/>
        <v>3</v>
      </c>
      <c r="BJ70" t="str">
        <f t="shared" ref="BJ70:BJ133" si="109">IF($D70=BJ$4,$G70,"")</f>
        <v/>
      </c>
      <c r="BK70" s="25" t="str">
        <f t="shared" si="97"/>
        <v/>
      </c>
    </row>
    <row r="71" spans="1:63">
      <c r="A71">
        <v>1</v>
      </c>
      <c r="B71">
        <v>12</v>
      </c>
      <c r="C71">
        <v>388.3</v>
      </c>
      <c r="D71">
        <v>3</v>
      </c>
      <c r="E71">
        <v>10</v>
      </c>
      <c r="F71">
        <v>532</v>
      </c>
      <c r="G71">
        <v>722.4</v>
      </c>
      <c r="H71">
        <v>252.6</v>
      </c>
      <c r="I71">
        <v>321.5</v>
      </c>
      <c r="AR71" t="str">
        <f t="shared" si="98"/>
        <v/>
      </c>
      <c r="AS71" s="25" t="str">
        <f t="shared" si="99"/>
        <v/>
      </c>
      <c r="AT71" t="str">
        <f t="shared" si="100"/>
        <v/>
      </c>
      <c r="AU71" s="25" t="str">
        <f t="shared" si="101"/>
        <v/>
      </c>
      <c r="AV71">
        <f t="shared" si="102"/>
        <v>722.4</v>
      </c>
      <c r="AW71" s="25">
        <f t="shared" si="101"/>
        <v>10</v>
      </c>
      <c r="AX71" t="str">
        <f t="shared" si="103"/>
        <v/>
      </c>
      <c r="AY71" s="25" t="str">
        <f t="shared" si="91"/>
        <v/>
      </c>
      <c r="AZ71" t="str">
        <f t="shared" si="104"/>
        <v/>
      </c>
      <c r="BA71" s="25" t="str">
        <f t="shared" si="92"/>
        <v/>
      </c>
      <c r="BB71" t="str">
        <f t="shared" si="105"/>
        <v/>
      </c>
      <c r="BC71" s="25" t="str">
        <f t="shared" si="93"/>
        <v/>
      </c>
      <c r="BD71" t="str">
        <f t="shared" si="106"/>
        <v/>
      </c>
      <c r="BE71" s="25" t="str">
        <f t="shared" si="94"/>
        <v/>
      </c>
      <c r="BF71" t="str">
        <f t="shared" si="107"/>
        <v/>
      </c>
      <c r="BG71" s="25" t="str">
        <f t="shared" si="95"/>
        <v/>
      </c>
      <c r="BH71" t="str">
        <f t="shared" si="108"/>
        <v/>
      </c>
      <c r="BI71" s="25" t="str">
        <f t="shared" si="96"/>
        <v/>
      </c>
      <c r="BJ71" t="str">
        <f t="shared" si="109"/>
        <v/>
      </c>
      <c r="BK71" s="25" t="str">
        <f t="shared" si="97"/>
        <v/>
      </c>
    </row>
    <row r="72" spans="1:63">
      <c r="A72">
        <v>14</v>
      </c>
      <c r="B72">
        <v>16</v>
      </c>
      <c r="C72">
        <v>408.3</v>
      </c>
      <c r="D72">
        <v>2</v>
      </c>
      <c r="E72">
        <v>11</v>
      </c>
      <c r="F72">
        <v>506</v>
      </c>
      <c r="G72">
        <v>1002.9</v>
      </c>
      <c r="H72">
        <v>290.2</v>
      </c>
      <c r="I72">
        <v>354.7</v>
      </c>
      <c r="AR72" t="str">
        <f t="shared" si="98"/>
        <v/>
      </c>
      <c r="AS72" s="25" t="str">
        <f t="shared" si="99"/>
        <v/>
      </c>
      <c r="AT72">
        <f t="shared" si="100"/>
        <v>1002.9</v>
      </c>
      <c r="AU72" s="25">
        <f t="shared" si="101"/>
        <v>11</v>
      </c>
      <c r="AV72" t="str">
        <f t="shared" si="102"/>
        <v/>
      </c>
      <c r="AW72" s="25" t="str">
        <f t="shared" si="101"/>
        <v/>
      </c>
      <c r="AX72" t="str">
        <f t="shared" si="103"/>
        <v/>
      </c>
      <c r="AY72" s="25" t="str">
        <f t="shared" si="91"/>
        <v/>
      </c>
      <c r="AZ72" t="str">
        <f t="shared" si="104"/>
        <v/>
      </c>
      <c r="BA72" s="25" t="str">
        <f t="shared" si="92"/>
        <v/>
      </c>
      <c r="BB72" t="str">
        <f t="shared" si="105"/>
        <v/>
      </c>
      <c r="BC72" s="25" t="str">
        <f t="shared" si="93"/>
        <v/>
      </c>
      <c r="BD72" t="str">
        <f t="shared" si="106"/>
        <v/>
      </c>
      <c r="BE72" s="25" t="str">
        <f t="shared" si="94"/>
        <v/>
      </c>
      <c r="BF72" t="str">
        <f t="shared" si="107"/>
        <v/>
      </c>
      <c r="BG72" s="25" t="str">
        <f t="shared" si="95"/>
        <v/>
      </c>
      <c r="BH72" t="str">
        <f t="shared" si="108"/>
        <v/>
      </c>
      <c r="BI72" s="25" t="str">
        <f t="shared" si="96"/>
        <v/>
      </c>
      <c r="BJ72" t="str">
        <f t="shared" si="109"/>
        <v/>
      </c>
      <c r="BK72" s="25" t="str">
        <f t="shared" si="97"/>
        <v/>
      </c>
    </row>
    <row r="73" spans="1:63">
      <c r="A73">
        <v>12</v>
      </c>
      <c r="B73">
        <v>14</v>
      </c>
      <c r="C73">
        <v>409.9</v>
      </c>
      <c r="D73">
        <v>10</v>
      </c>
      <c r="E73">
        <v>2</v>
      </c>
      <c r="F73">
        <v>504</v>
      </c>
      <c r="G73">
        <v>200.5</v>
      </c>
      <c r="H73">
        <v>134.6</v>
      </c>
      <c r="I73">
        <v>299.60000000000002</v>
      </c>
      <c r="AR73" t="str">
        <f t="shared" si="98"/>
        <v/>
      </c>
      <c r="AS73" s="25" t="str">
        <f t="shared" si="99"/>
        <v/>
      </c>
      <c r="AT73" t="str">
        <f t="shared" si="100"/>
        <v/>
      </c>
      <c r="AU73" s="25" t="str">
        <f t="shared" si="101"/>
        <v/>
      </c>
      <c r="AV73" t="str">
        <f t="shared" si="102"/>
        <v/>
      </c>
      <c r="AW73" s="25" t="str">
        <f t="shared" si="101"/>
        <v/>
      </c>
      <c r="AX73" t="str">
        <f t="shared" si="103"/>
        <v/>
      </c>
      <c r="AY73" s="25" t="str">
        <f t="shared" si="91"/>
        <v/>
      </c>
      <c r="AZ73" t="str">
        <f t="shared" si="104"/>
        <v/>
      </c>
      <c r="BA73" s="25" t="str">
        <f t="shared" si="92"/>
        <v/>
      </c>
      <c r="BB73" t="str">
        <f t="shared" si="105"/>
        <v/>
      </c>
      <c r="BC73" s="25" t="str">
        <f t="shared" si="93"/>
        <v/>
      </c>
      <c r="BD73" t="str">
        <f t="shared" si="106"/>
        <v/>
      </c>
      <c r="BE73" s="25" t="str">
        <f t="shared" si="94"/>
        <v/>
      </c>
      <c r="BF73" t="str">
        <f t="shared" si="107"/>
        <v/>
      </c>
      <c r="BG73" s="25" t="str">
        <f t="shared" si="95"/>
        <v/>
      </c>
      <c r="BH73" t="str">
        <f t="shared" si="108"/>
        <v/>
      </c>
      <c r="BI73" s="25" t="str">
        <f t="shared" si="96"/>
        <v/>
      </c>
      <c r="BJ73">
        <f t="shared" si="109"/>
        <v>200.5</v>
      </c>
      <c r="BK73" s="25">
        <f t="shared" si="97"/>
        <v>2</v>
      </c>
    </row>
    <row r="74" spans="1:63">
      <c r="A74">
        <v>5</v>
      </c>
      <c r="B74">
        <v>15</v>
      </c>
      <c r="C74">
        <v>426.8</v>
      </c>
      <c r="D74">
        <v>8</v>
      </c>
      <c r="E74">
        <v>6</v>
      </c>
      <c r="F74">
        <v>484</v>
      </c>
      <c r="G74">
        <v>307.89999999999998</v>
      </c>
      <c r="H74">
        <v>178.9</v>
      </c>
      <c r="I74">
        <v>422.5</v>
      </c>
      <c r="AR74" t="str">
        <f t="shared" si="98"/>
        <v/>
      </c>
      <c r="AS74" s="25" t="str">
        <f t="shared" si="99"/>
        <v/>
      </c>
      <c r="AT74" t="str">
        <f t="shared" si="100"/>
        <v/>
      </c>
      <c r="AU74" s="25" t="str">
        <f t="shared" si="101"/>
        <v/>
      </c>
      <c r="AV74" t="str">
        <f t="shared" si="102"/>
        <v/>
      </c>
      <c r="AW74" s="25" t="str">
        <f t="shared" si="101"/>
        <v/>
      </c>
      <c r="AX74" t="str">
        <f t="shared" si="103"/>
        <v/>
      </c>
      <c r="AY74" s="25" t="str">
        <f t="shared" si="91"/>
        <v/>
      </c>
      <c r="AZ74" t="str">
        <f t="shared" si="104"/>
        <v/>
      </c>
      <c r="BA74" s="25" t="str">
        <f t="shared" si="92"/>
        <v/>
      </c>
      <c r="BB74" t="str">
        <f t="shared" si="105"/>
        <v/>
      </c>
      <c r="BC74" s="25" t="str">
        <f t="shared" si="93"/>
        <v/>
      </c>
      <c r="BD74" t="str">
        <f t="shared" si="106"/>
        <v/>
      </c>
      <c r="BE74" s="25" t="str">
        <f t="shared" si="94"/>
        <v/>
      </c>
      <c r="BF74">
        <f t="shared" si="107"/>
        <v>307.89999999999998</v>
      </c>
      <c r="BG74" s="25">
        <f t="shared" si="95"/>
        <v>6</v>
      </c>
      <c r="BH74" t="str">
        <f t="shared" si="108"/>
        <v/>
      </c>
      <c r="BI74" s="25" t="str">
        <f t="shared" si="96"/>
        <v/>
      </c>
      <c r="BJ74" t="str">
        <f t="shared" si="109"/>
        <v/>
      </c>
      <c r="BK74" s="25" t="str">
        <f t="shared" si="97"/>
        <v/>
      </c>
    </row>
    <row r="75" spans="1:63">
      <c r="A75">
        <v>11</v>
      </c>
      <c r="B75">
        <v>13</v>
      </c>
      <c r="C75">
        <v>465.3</v>
      </c>
      <c r="D75">
        <v>9</v>
      </c>
      <c r="E75">
        <v>5</v>
      </c>
      <c r="F75">
        <v>444</v>
      </c>
      <c r="G75">
        <v>312.5</v>
      </c>
      <c r="H75">
        <v>186.9</v>
      </c>
      <c r="I75">
        <v>433.8</v>
      </c>
      <c r="AR75" t="str">
        <f t="shared" si="98"/>
        <v/>
      </c>
      <c r="AS75" s="25" t="str">
        <f t="shared" si="99"/>
        <v/>
      </c>
      <c r="AT75" t="str">
        <f t="shared" si="100"/>
        <v/>
      </c>
      <c r="AU75" s="25" t="str">
        <f t="shared" si="101"/>
        <v/>
      </c>
      <c r="AV75" t="str">
        <f t="shared" si="102"/>
        <v/>
      </c>
      <c r="AW75" s="25" t="str">
        <f t="shared" si="101"/>
        <v/>
      </c>
      <c r="AX75" t="str">
        <f t="shared" si="103"/>
        <v/>
      </c>
      <c r="AY75" s="25" t="str">
        <f t="shared" si="91"/>
        <v/>
      </c>
      <c r="AZ75" t="str">
        <f t="shared" si="104"/>
        <v/>
      </c>
      <c r="BA75" s="25" t="str">
        <f t="shared" si="92"/>
        <v/>
      </c>
      <c r="BB75" t="str">
        <f t="shared" si="105"/>
        <v/>
      </c>
      <c r="BC75" s="25" t="str">
        <f t="shared" si="93"/>
        <v/>
      </c>
      <c r="BD75" t="str">
        <f t="shared" si="106"/>
        <v/>
      </c>
      <c r="BE75" s="25" t="str">
        <f t="shared" si="94"/>
        <v/>
      </c>
      <c r="BF75" t="str">
        <f t="shared" si="107"/>
        <v/>
      </c>
      <c r="BG75" s="25" t="str">
        <f t="shared" si="95"/>
        <v/>
      </c>
      <c r="BH75">
        <f t="shared" si="108"/>
        <v>312.5</v>
      </c>
      <c r="BI75" s="25">
        <f t="shared" si="96"/>
        <v>5</v>
      </c>
      <c r="BJ75" t="str">
        <f t="shared" si="109"/>
        <v/>
      </c>
      <c r="BK75" s="25" t="str">
        <f t="shared" si="97"/>
        <v/>
      </c>
    </row>
    <row r="76" spans="1:63">
      <c r="A76">
        <v>12</v>
      </c>
      <c r="B76">
        <v>8</v>
      </c>
      <c r="C76">
        <v>550.9</v>
      </c>
      <c r="D76">
        <v>10</v>
      </c>
      <c r="E76">
        <v>1</v>
      </c>
      <c r="F76">
        <v>375</v>
      </c>
      <c r="G76">
        <v>246.8</v>
      </c>
      <c r="H76">
        <v>170.4</v>
      </c>
      <c r="I76">
        <v>529.70000000000005</v>
      </c>
      <c r="AR76" t="str">
        <f t="shared" si="98"/>
        <v/>
      </c>
      <c r="AS76" s="25" t="str">
        <f t="shared" si="99"/>
        <v/>
      </c>
      <c r="AT76" t="str">
        <f t="shared" si="100"/>
        <v/>
      </c>
      <c r="AU76" s="25" t="str">
        <f t="shared" si="101"/>
        <v/>
      </c>
      <c r="AV76" t="str">
        <f t="shared" si="102"/>
        <v/>
      </c>
      <c r="AW76" s="25" t="str">
        <f t="shared" si="101"/>
        <v/>
      </c>
      <c r="AX76" t="str">
        <f t="shared" si="103"/>
        <v/>
      </c>
      <c r="AY76" s="25" t="str">
        <f t="shared" si="91"/>
        <v/>
      </c>
      <c r="AZ76" t="str">
        <f t="shared" si="104"/>
        <v/>
      </c>
      <c r="BA76" s="25" t="str">
        <f t="shared" si="92"/>
        <v/>
      </c>
      <c r="BB76" t="str">
        <f t="shared" si="105"/>
        <v/>
      </c>
      <c r="BC76" s="25" t="str">
        <f t="shared" si="93"/>
        <v/>
      </c>
      <c r="BD76" t="str">
        <f t="shared" si="106"/>
        <v/>
      </c>
      <c r="BE76" s="25" t="str">
        <f t="shared" si="94"/>
        <v/>
      </c>
      <c r="BF76" t="str">
        <f t="shared" si="107"/>
        <v/>
      </c>
      <c r="BG76" s="25" t="str">
        <f t="shared" si="95"/>
        <v/>
      </c>
      <c r="BH76" t="str">
        <f t="shared" si="108"/>
        <v/>
      </c>
      <c r="BI76" s="25" t="str">
        <f t="shared" si="96"/>
        <v/>
      </c>
      <c r="BJ76">
        <f t="shared" si="109"/>
        <v>246.8</v>
      </c>
      <c r="BK76" s="25">
        <f t="shared" si="97"/>
        <v>1</v>
      </c>
    </row>
    <row r="77" spans="1:63">
      <c r="A77">
        <v>15</v>
      </c>
      <c r="B77">
        <v>11</v>
      </c>
      <c r="C77">
        <v>550.9</v>
      </c>
      <c r="D77">
        <v>6</v>
      </c>
      <c r="E77">
        <v>9</v>
      </c>
      <c r="F77">
        <v>375</v>
      </c>
      <c r="G77">
        <v>697.9</v>
      </c>
      <c r="H77">
        <v>307.89999999999998</v>
      </c>
      <c r="I77">
        <v>551.20000000000005</v>
      </c>
      <c r="AR77" t="str">
        <f t="shared" si="98"/>
        <v/>
      </c>
      <c r="AS77" s="25" t="str">
        <f t="shared" si="99"/>
        <v/>
      </c>
      <c r="AT77" t="str">
        <f t="shared" si="100"/>
        <v/>
      </c>
      <c r="AU77" s="25" t="str">
        <f t="shared" si="101"/>
        <v/>
      </c>
      <c r="AV77" t="str">
        <f t="shared" si="102"/>
        <v/>
      </c>
      <c r="AW77" s="25" t="str">
        <f t="shared" si="101"/>
        <v/>
      </c>
      <c r="AX77" t="str">
        <f t="shared" si="103"/>
        <v/>
      </c>
      <c r="AY77" s="25" t="str">
        <f t="shared" si="91"/>
        <v/>
      </c>
      <c r="AZ77" t="str">
        <f t="shared" si="104"/>
        <v/>
      </c>
      <c r="BA77" s="25" t="str">
        <f t="shared" si="92"/>
        <v/>
      </c>
      <c r="BB77">
        <f t="shared" si="105"/>
        <v>697.9</v>
      </c>
      <c r="BC77" s="25">
        <f t="shared" si="93"/>
        <v>9</v>
      </c>
      <c r="BD77" t="str">
        <f t="shared" si="106"/>
        <v/>
      </c>
      <c r="BE77" s="25" t="str">
        <f t="shared" si="94"/>
        <v/>
      </c>
      <c r="BF77" t="str">
        <f t="shared" si="107"/>
        <v/>
      </c>
      <c r="BG77" s="25" t="str">
        <f t="shared" si="95"/>
        <v/>
      </c>
      <c r="BH77" t="str">
        <f t="shared" si="108"/>
        <v/>
      </c>
      <c r="BI77" s="25" t="str">
        <f t="shared" si="96"/>
        <v/>
      </c>
      <c r="BJ77" t="str">
        <f t="shared" si="109"/>
        <v/>
      </c>
      <c r="BK77" s="25" t="str">
        <f t="shared" si="97"/>
        <v/>
      </c>
    </row>
    <row r="78" spans="1:63">
      <c r="A78">
        <v>1</v>
      </c>
      <c r="B78">
        <v>16</v>
      </c>
      <c r="C78">
        <v>573.9</v>
      </c>
      <c r="D78">
        <v>3</v>
      </c>
      <c r="E78">
        <v>11</v>
      </c>
      <c r="F78">
        <v>360</v>
      </c>
      <c r="G78">
        <v>1167.2</v>
      </c>
      <c r="H78">
        <v>384.7</v>
      </c>
      <c r="I78">
        <v>623</v>
      </c>
      <c r="AR78" t="str">
        <f t="shared" si="98"/>
        <v/>
      </c>
      <c r="AS78" s="25" t="str">
        <f t="shared" si="99"/>
        <v/>
      </c>
      <c r="AT78" t="str">
        <f t="shared" si="100"/>
        <v/>
      </c>
      <c r="AU78" s="25" t="str">
        <f t="shared" si="101"/>
        <v/>
      </c>
      <c r="AV78">
        <f t="shared" si="102"/>
        <v>1167.2</v>
      </c>
      <c r="AW78" s="25">
        <f t="shared" si="101"/>
        <v>11</v>
      </c>
      <c r="AX78" t="str">
        <f t="shared" si="103"/>
        <v/>
      </c>
      <c r="AY78" s="25" t="str">
        <f t="shared" si="91"/>
        <v/>
      </c>
      <c r="AZ78" t="str">
        <f t="shared" si="104"/>
        <v/>
      </c>
      <c r="BA78" s="25" t="str">
        <f t="shared" si="92"/>
        <v/>
      </c>
      <c r="BB78" t="str">
        <f t="shared" si="105"/>
        <v/>
      </c>
      <c r="BC78" s="25" t="str">
        <f t="shared" si="93"/>
        <v/>
      </c>
      <c r="BD78" t="str">
        <f t="shared" si="106"/>
        <v/>
      </c>
      <c r="BE78" s="25" t="str">
        <f t="shared" si="94"/>
        <v/>
      </c>
      <c r="BF78" t="str">
        <f t="shared" si="107"/>
        <v/>
      </c>
      <c r="BG78" s="25" t="str">
        <f t="shared" si="95"/>
        <v/>
      </c>
      <c r="BH78" t="str">
        <f t="shared" si="108"/>
        <v/>
      </c>
      <c r="BI78" s="25" t="str">
        <f t="shared" si="96"/>
        <v/>
      </c>
      <c r="BJ78" t="str">
        <f t="shared" si="109"/>
        <v/>
      </c>
      <c r="BK78" s="25" t="str">
        <f t="shared" si="97"/>
        <v/>
      </c>
    </row>
    <row r="79" spans="1:63">
      <c r="A79">
        <v>13</v>
      </c>
      <c r="B79">
        <v>12</v>
      </c>
      <c r="C79">
        <v>609.4</v>
      </c>
      <c r="D79">
        <v>5</v>
      </c>
      <c r="E79">
        <v>10</v>
      </c>
      <c r="F79">
        <v>339</v>
      </c>
      <c r="G79">
        <v>850.2</v>
      </c>
      <c r="H79">
        <v>355</v>
      </c>
      <c r="I79">
        <v>503.3</v>
      </c>
      <c r="AR79" t="str">
        <f t="shared" si="98"/>
        <v/>
      </c>
      <c r="AS79" s="25" t="str">
        <f t="shared" si="99"/>
        <v/>
      </c>
      <c r="AT79" t="str">
        <f t="shared" si="100"/>
        <v/>
      </c>
      <c r="AU79" s="25" t="str">
        <f t="shared" si="101"/>
        <v/>
      </c>
      <c r="AV79" t="str">
        <f t="shared" si="102"/>
        <v/>
      </c>
      <c r="AW79" s="25" t="str">
        <f t="shared" si="101"/>
        <v/>
      </c>
      <c r="AX79" t="str">
        <f t="shared" si="103"/>
        <v/>
      </c>
      <c r="AY79" s="25" t="str">
        <f t="shared" si="91"/>
        <v/>
      </c>
      <c r="AZ79">
        <f t="shared" si="104"/>
        <v>850.2</v>
      </c>
      <c r="BA79" s="25">
        <f t="shared" si="92"/>
        <v>10</v>
      </c>
      <c r="BB79" t="str">
        <f t="shared" si="105"/>
        <v/>
      </c>
      <c r="BC79" s="25" t="str">
        <f t="shared" si="93"/>
        <v/>
      </c>
      <c r="BD79" t="str">
        <f t="shared" si="106"/>
        <v/>
      </c>
      <c r="BE79" s="25" t="str">
        <f t="shared" si="94"/>
        <v/>
      </c>
      <c r="BF79" t="str">
        <f t="shared" si="107"/>
        <v/>
      </c>
      <c r="BG79" s="25" t="str">
        <f t="shared" si="95"/>
        <v/>
      </c>
      <c r="BH79" t="str">
        <f t="shared" si="108"/>
        <v/>
      </c>
      <c r="BI79" s="25" t="str">
        <f t="shared" si="96"/>
        <v/>
      </c>
      <c r="BJ79" t="str">
        <f t="shared" si="109"/>
        <v/>
      </c>
      <c r="BK79" s="25" t="str">
        <f t="shared" si="97"/>
        <v/>
      </c>
    </row>
    <row r="80" spans="1:63">
      <c r="A80">
        <v>12</v>
      </c>
      <c r="B80">
        <v>2</v>
      </c>
      <c r="C80">
        <v>613</v>
      </c>
      <c r="D80">
        <v>10</v>
      </c>
      <c r="E80">
        <v>4</v>
      </c>
      <c r="F80">
        <v>337</v>
      </c>
      <c r="G80">
        <v>358</v>
      </c>
      <c r="H80">
        <v>226</v>
      </c>
      <c r="I80">
        <v>570.20000000000005</v>
      </c>
      <c r="AR80" t="str">
        <f t="shared" si="98"/>
        <v/>
      </c>
      <c r="AS80" s="25" t="str">
        <f t="shared" si="99"/>
        <v/>
      </c>
      <c r="AT80" t="str">
        <f t="shared" si="100"/>
        <v/>
      </c>
      <c r="AU80" s="25" t="str">
        <f t="shared" si="101"/>
        <v/>
      </c>
      <c r="AV80" t="str">
        <f t="shared" si="102"/>
        <v/>
      </c>
      <c r="AW80" s="25" t="str">
        <f t="shared" si="101"/>
        <v/>
      </c>
      <c r="AX80" t="str">
        <f t="shared" si="103"/>
        <v/>
      </c>
      <c r="AY80" s="25" t="str">
        <f t="shared" si="91"/>
        <v/>
      </c>
      <c r="AZ80" t="str">
        <f t="shared" si="104"/>
        <v/>
      </c>
      <c r="BA80" s="25" t="str">
        <f t="shared" si="92"/>
        <v/>
      </c>
      <c r="BB80" t="str">
        <f t="shared" si="105"/>
        <v/>
      </c>
      <c r="BC80" s="25" t="str">
        <f t="shared" si="93"/>
        <v/>
      </c>
      <c r="BD80" t="str">
        <f t="shared" si="106"/>
        <v/>
      </c>
      <c r="BE80" s="25" t="str">
        <f t="shared" si="94"/>
        <v/>
      </c>
      <c r="BF80" t="str">
        <f t="shared" si="107"/>
        <v/>
      </c>
      <c r="BG80" s="25" t="str">
        <f t="shared" si="95"/>
        <v/>
      </c>
      <c r="BH80" t="str">
        <f t="shared" si="108"/>
        <v/>
      </c>
      <c r="BI80" s="25" t="str">
        <f t="shared" si="96"/>
        <v/>
      </c>
      <c r="BJ80">
        <f t="shared" si="109"/>
        <v>358</v>
      </c>
      <c r="BK80" s="25">
        <f t="shared" si="97"/>
        <v>4</v>
      </c>
    </row>
    <row r="81" spans="1:63">
      <c r="A81">
        <v>2</v>
      </c>
      <c r="B81">
        <v>16</v>
      </c>
      <c r="C81">
        <v>622.29999999999995</v>
      </c>
      <c r="D81">
        <v>4</v>
      </c>
      <c r="E81">
        <v>11</v>
      </c>
      <c r="F81">
        <v>332</v>
      </c>
      <c r="G81">
        <v>1194.2</v>
      </c>
      <c r="H81">
        <v>409.1</v>
      </c>
      <c r="I81">
        <v>658.1</v>
      </c>
      <c r="AR81" t="str">
        <f t="shared" si="98"/>
        <v/>
      </c>
      <c r="AS81" s="25" t="str">
        <f t="shared" si="99"/>
        <v/>
      </c>
      <c r="AT81" t="str">
        <f t="shared" si="100"/>
        <v/>
      </c>
      <c r="AU81" s="25" t="str">
        <f t="shared" si="101"/>
        <v/>
      </c>
      <c r="AV81" t="str">
        <f t="shared" si="102"/>
        <v/>
      </c>
      <c r="AW81" s="25" t="str">
        <f t="shared" si="101"/>
        <v/>
      </c>
      <c r="AX81">
        <f t="shared" si="103"/>
        <v>1194.2</v>
      </c>
      <c r="AY81" s="25">
        <f t="shared" si="91"/>
        <v>11</v>
      </c>
      <c r="AZ81" t="str">
        <f t="shared" si="104"/>
        <v/>
      </c>
      <c r="BA81" s="25" t="str">
        <f t="shared" si="92"/>
        <v/>
      </c>
      <c r="BB81" t="str">
        <f t="shared" si="105"/>
        <v/>
      </c>
      <c r="BC81" s="25" t="str">
        <f t="shared" si="93"/>
        <v/>
      </c>
      <c r="BD81" t="str">
        <f t="shared" si="106"/>
        <v/>
      </c>
      <c r="BE81" s="25" t="str">
        <f t="shared" si="94"/>
        <v/>
      </c>
      <c r="BF81" t="str">
        <f t="shared" si="107"/>
        <v/>
      </c>
      <c r="BG81" s="25" t="str">
        <f t="shared" si="95"/>
        <v/>
      </c>
      <c r="BH81" t="str">
        <f t="shared" si="108"/>
        <v/>
      </c>
      <c r="BI81" s="25" t="str">
        <f t="shared" si="96"/>
        <v/>
      </c>
      <c r="BJ81" t="str">
        <f t="shared" si="109"/>
        <v/>
      </c>
      <c r="BK81" s="25" t="str">
        <f t="shared" si="97"/>
        <v/>
      </c>
    </row>
    <row r="82" spans="1:63">
      <c r="A82">
        <v>8</v>
      </c>
      <c r="B82">
        <v>4</v>
      </c>
      <c r="C82">
        <v>657.9</v>
      </c>
      <c r="D82">
        <v>1</v>
      </c>
      <c r="E82">
        <v>14</v>
      </c>
      <c r="F82">
        <v>314</v>
      </c>
      <c r="G82">
        <v>1589.2</v>
      </c>
      <c r="H82">
        <v>465.3</v>
      </c>
      <c r="I82">
        <v>968.2</v>
      </c>
      <c r="AR82">
        <f t="shared" si="98"/>
        <v>1589.2</v>
      </c>
      <c r="AS82" s="25">
        <f t="shared" si="99"/>
        <v>14</v>
      </c>
      <c r="AT82" t="str">
        <f t="shared" si="100"/>
        <v/>
      </c>
      <c r="AU82" s="25" t="str">
        <f t="shared" si="101"/>
        <v/>
      </c>
      <c r="AV82" t="str">
        <f t="shared" si="102"/>
        <v/>
      </c>
      <c r="AW82" s="25" t="str">
        <f t="shared" si="101"/>
        <v/>
      </c>
      <c r="AX82" t="str">
        <f t="shared" si="103"/>
        <v/>
      </c>
      <c r="AY82" s="25" t="str">
        <f t="shared" si="91"/>
        <v/>
      </c>
      <c r="AZ82" t="str">
        <f t="shared" si="104"/>
        <v/>
      </c>
      <c r="BA82" s="25" t="str">
        <f t="shared" si="92"/>
        <v/>
      </c>
      <c r="BB82" t="str">
        <f t="shared" si="105"/>
        <v/>
      </c>
      <c r="BC82" s="25" t="str">
        <f t="shared" si="93"/>
        <v/>
      </c>
      <c r="BD82" t="str">
        <f t="shared" si="106"/>
        <v/>
      </c>
      <c r="BE82" s="25" t="str">
        <f t="shared" si="94"/>
        <v/>
      </c>
      <c r="BF82" t="str">
        <f t="shared" si="107"/>
        <v/>
      </c>
      <c r="BG82" s="25" t="str">
        <f t="shared" si="95"/>
        <v/>
      </c>
      <c r="BH82" t="str">
        <f t="shared" si="108"/>
        <v/>
      </c>
      <c r="BI82" s="25" t="str">
        <f t="shared" si="96"/>
        <v/>
      </c>
      <c r="BJ82" t="str">
        <f t="shared" si="109"/>
        <v/>
      </c>
      <c r="BK82" s="25" t="str">
        <f t="shared" si="97"/>
        <v/>
      </c>
    </row>
    <row r="83" spans="1:63">
      <c r="A83">
        <v>9</v>
      </c>
      <c r="B83">
        <v>5</v>
      </c>
      <c r="C83">
        <v>675.1</v>
      </c>
      <c r="D83">
        <v>7</v>
      </c>
      <c r="E83">
        <v>8</v>
      </c>
      <c r="F83">
        <v>306</v>
      </c>
      <c r="G83">
        <v>735.2</v>
      </c>
      <c r="H83">
        <v>351.9</v>
      </c>
      <c r="I83">
        <v>616.4</v>
      </c>
      <c r="AR83" t="str">
        <f t="shared" si="98"/>
        <v/>
      </c>
      <c r="AS83" s="25" t="str">
        <f t="shared" si="99"/>
        <v/>
      </c>
      <c r="AT83" t="str">
        <f t="shared" si="100"/>
        <v/>
      </c>
      <c r="AU83" s="25" t="str">
        <f t="shared" si="101"/>
        <v/>
      </c>
      <c r="AV83" t="str">
        <f t="shared" si="102"/>
        <v/>
      </c>
      <c r="AW83" s="25" t="str">
        <f t="shared" si="101"/>
        <v/>
      </c>
      <c r="AX83" t="str">
        <f t="shared" si="103"/>
        <v/>
      </c>
      <c r="AY83" s="25" t="str">
        <f t="shared" si="91"/>
        <v/>
      </c>
      <c r="AZ83" t="str">
        <f t="shared" si="104"/>
        <v/>
      </c>
      <c r="BA83" s="25" t="str">
        <f t="shared" si="92"/>
        <v/>
      </c>
      <c r="BB83" t="str">
        <f t="shared" si="105"/>
        <v/>
      </c>
      <c r="BC83" s="25" t="str">
        <f t="shared" si="93"/>
        <v/>
      </c>
      <c r="BD83">
        <f t="shared" si="106"/>
        <v>735.2</v>
      </c>
      <c r="BE83" s="25">
        <f t="shared" si="94"/>
        <v>8</v>
      </c>
      <c r="BF83" t="str">
        <f t="shared" si="107"/>
        <v/>
      </c>
      <c r="BG83" s="25" t="str">
        <f t="shared" si="95"/>
        <v/>
      </c>
      <c r="BH83" t="str">
        <f t="shared" si="108"/>
        <v/>
      </c>
      <c r="BI83" s="25" t="str">
        <f t="shared" si="96"/>
        <v/>
      </c>
      <c r="BJ83" t="str">
        <f t="shared" si="109"/>
        <v/>
      </c>
      <c r="BK83" s="25" t="str">
        <f t="shared" si="97"/>
        <v/>
      </c>
    </row>
    <row r="84" spans="1:63">
      <c r="A84">
        <v>11</v>
      </c>
      <c r="B84">
        <v>15</v>
      </c>
      <c r="C84">
        <v>697.9</v>
      </c>
      <c r="D84">
        <v>9</v>
      </c>
      <c r="E84">
        <v>6</v>
      </c>
      <c r="F84">
        <v>296</v>
      </c>
      <c r="G84">
        <v>550.9</v>
      </c>
      <c r="H84">
        <v>307.89999999999998</v>
      </c>
      <c r="I84">
        <v>732.9</v>
      </c>
      <c r="AR84" t="str">
        <f t="shared" si="98"/>
        <v/>
      </c>
      <c r="AS84" s="25" t="str">
        <f t="shared" si="99"/>
        <v/>
      </c>
      <c r="AT84" t="str">
        <f t="shared" si="100"/>
        <v/>
      </c>
      <c r="AU84" s="25" t="str">
        <f t="shared" si="101"/>
        <v/>
      </c>
      <c r="AV84" t="str">
        <f t="shared" si="102"/>
        <v/>
      </c>
      <c r="AW84" s="25" t="str">
        <f t="shared" si="101"/>
        <v/>
      </c>
      <c r="AX84" t="str">
        <f t="shared" si="103"/>
        <v/>
      </c>
      <c r="AY84" s="25" t="str">
        <f t="shared" si="91"/>
        <v/>
      </c>
      <c r="AZ84" t="str">
        <f t="shared" si="104"/>
        <v/>
      </c>
      <c r="BA84" s="25" t="str">
        <f t="shared" si="92"/>
        <v/>
      </c>
      <c r="BB84" t="str">
        <f t="shared" si="105"/>
        <v/>
      </c>
      <c r="BC84" s="25" t="str">
        <f t="shared" si="93"/>
        <v/>
      </c>
      <c r="BD84" t="str">
        <f t="shared" si="106"/>
        <v/>
      </c>
      <c r="BE84" s="25" t="str">
        <f t="shared" si="94"/>
        <v/>
      </c>
      <c r="BF84" t="str">
        <f t="shared" si="107"/>
        <v/>
      </c>
      <c r="BG84" s="25" t="str">
        <f t="shared" si="95"/>
        <v/>
      </c>
      <c r="BH84">
        <f t="shared" si="108"/>
        <v>550.9</v>
      </c>
      <c r="BI84" s="25">
        <f t="shared" si="96"/>
        <v>6</v>
      </c>
      <c r="BJ84" t="str">
        <f t="shared" si="109"/>
        <v/>
      </c>
      <c r="BK84" s="25" t="str">
        <f t="shared" si="97"/>
        <v/>
      </c>
    </row>
    <row r="85" spans="1:63">
      <c r="A85">
        <v>12</v>
      </c>
      <c r="B85">
        <v>1</v>
      </c>
      <c r="C85">
        <v>722.4</v>
      </c>
      <c r="D85">
        <v>10</v>
      </c>
      <c r="E85">
        <v>3</v>
      </c>
      <c r="F85">
        <v>286</v>
      </c>
      <c r="G85">
        <v>388.3</v>
      </c>
      <c r="H85">
        <v>252.6</v>
      </c>
      <c r="I85">
        <v>644.70000000000005</v>
      </c>
      <c r="AR85" t="str">
        <f t="shared" si="98"/>
        <v/>
      </c>
      <c r="AS85" s="25" t="str">
        <f t="shared" si="99"/>
        <v/>
      </c>
      <c r="AT85" t="str">
        <f t="shared" si="100"/>
        <v/>
      </c>
      <c r="AU85" s="25" t="str">
        <f t="shared" si="101"/>
        <v/>
      </c>
      <c r="AV85" t="str">
        <f t="shared" si="102"/>
        <v/>
      </c>
      <c r="AW85" s="25" t="str">
        <f t="shared" si="101"/>
        <v/>
      </c>
      <c r="AX85" t="str">
        <f t="shared" si="103"/>
        <v/>
      </c>
      <c r="AY85" s="25" t="str">
        <f t="shared" si="91"/>
        <v/>
      </c>
      <c r="AZ85" t="str">
        <f t="shared" si="104"/>
        <v/>
      </c>
      <c r="BA85" s="25" t="str">
        <f t="shared" si="92"/>
        <v/>
      </c>
      <c r="BB85" t="str">
        <f t="shared" si="105"/>
        <v/>
      </c>
      <c r="BC85" s="25" t="str">
        <f t="shared" si="93"/>
        <v/>
      </c>
      <c r="BD85" t="str">
        <f t="shared" si="106"/>
        <v/>
      </c>
      <c r="BE85" s="25" t="str">
        <f t="shared" si="94"/>
        <v/>
      </c>
      <c r="BF85" t="str">
        <f t="shared" si="107"/>
        <v/>
      </c>
      <c r="BG85" s="25" t="str">
        <f t="shared" si="95"/>
        <v/>
      </c>
      <c r="BH85" t="str">
        <f t="shared" si="108"/>
        <v/>
      </c>
      <c r="BI85" s="25" t="str">
        <f t="shared" si="96"/>
        <v/>
      </c>
      <c r="BJ85">
        <f t="shared" si="109"/>
        <v>388.3</v>
      </c>
      <c r="BK85" s="25">
        <f t="shared" si="97"/>
        <v>3</v>
      </c>
    </row>
    <row r="86" spans="1:63">
      <c r="A86">
        <v>13</v>
      </c>
      <c r="B86">
        <v>16</v>
      </c>
      <c r="C86">
        <v>730</v>
      </c>
      <c r="D86">
        <v>5</v>
      </c>
      <c r="E86">
        <v>11</v>
      </c>
      <c r="F86">
        <v>283</v>
      </c>
      <c r="G86">
        <v>1299.4000000000001</v>
      </c>
      <c r="H86">
        <v>467.4</v>
      </c>
      <c r="I86">
        <v>793.4</v>
      </c>
      <c r="AR86" t="str">
        <f t="shared" si="98"/>
        <v/>
      </c>
      <c r="AS86" s="25" t="str">
        <f t="shared" si="99"/>
        <v/>
      </c>
      <c r="AT86" t="str">
        <f t="shared" si="100"/>
        <v/>
      </c>
      <c r="AU86" s="25" t="str">
        <f t="shared" si="101"/>
        <v/>
      </c>
      <c r="AV86" t="str">
        <f t="shared" si="102"/>
        <v/>
      </c>
      <c r="AW86" s="25" t="str">
        <f t="shared" si="101"/>
        <v/>
      </c>
      <c r="AX86" t="str">
        <f t="shared" si="103"/>
        <v/>
      </c>
      <c r="AY86" s="25" t="str">
        <f t="shared" si="91"/>
        <v/>
      </c>
      <c r="AZ86">
        <f t="shared" si="104"/>
        <v>1299.4000000000001</v>
      </c>
      <c r="BA86" s="25">
        <f t="shared" si="92"/>
        <v>11</v>
      </c>
      <c r="BB86" t="str">
        <f t="shared" si="105"/>
        <v/>
      </c>
      <c r="BC86" s="25" t="str">
        <f t="shared" si="93"/>
        <v/>
      </c>
      <c r="BD86" t="str">
        <f t="shared" si="106"/>
        <v/>
      </c>
      <c r="BE86" s="25" t="str">
        <f t="shared" si="94"/>
        <v/>
      </c>
      <c r="BF86" t="str">
        <f t="shared" si="107"/>
        <v/>
      </c>
      <c r="BG86" s="25" t="str">
        <f t="shared" si="95"/>
        <v/>
      </c>
      <c r="BH86" t="str">
        <f t="shared" si="108"/>
        <v/>
      </c>
      <c r="BI86" s="25" t="str">
        <f t="shared" si="96"/>
        <v/>
      </c>
      <c r="BJ86" t="str">
        <f t="shared" si="109"/>
        <v/>
      </c>
      <c r="BK86" s="25" t="str">
        <f t="shared" si="97"/>
        <v/>
      </c>
    </row>
    <row r="87" spans="1:63">
      <c r="A87">
        <v>5</v>
      </c>
      <c r="B87">
        <v>9</v>
      </c>
      <c r="C87">
        <v>735.2</v>
      </c>
      <c r="D87">
        <v>8</v>
      </c>
      <c r="E87">
        <v>7</v>
      </c>
      <c r="F87">
        <v>281</v>
      </c>
      <c r="G87">
        <v>675.1</v>
      </c>
      <c r="H87">
        <v>351.9</v>
      </c>
      <c r="I87">
        <v>631.29999999999995</v>
      </c>
      <c r="AR87" t="str">
        <f t="shared" si="98"/>
        <v/>
      </c>
      <c r="AS87" s="25" t="str">
        <f t="shared" si="99"/>
        <v/>
      </c>
      <c r="AT87" t="str">
        <f t="shared" si="100"/>
        <v/>
      </c>
      <c r="AU87" s="25" t="str">
        <f t="shared" si="101"/>
        <v/>
      </c>
      <c r="AV87" t="str">
        <f t="shared" si="102"/>
        <v/>
      </c>
      <c r="AW87" s="25" t="str">
        <f t="shared" si="101"/>
        <v/>
      </c>
      <c r="AX87" t="str">
        <f t="shared" si="103"/>
        <v/>
      </c>
      <c r="AY87" s="25" t="str">
        <f t="shared" si="91"/>
        <v/>
      </c>
      <c r="AZ87" t="str">
        <f t="shared" si="104"/>
        <v/>
      </c>
      <c r="BA87" s="25" t="str">
        <f t="shared" si="92"/>
        <v/>
      </c>
      <c r="BB87" t="str">
        <f t="shared" si="105"/>
        <v/>
      </c>
      <c r="BC87" s="25" t="str">
        <f t="shared" si="93"/>
        <v/>
      </c>
      <c r="BD87" t="str">
        <f t="shared" si="106"/>
        <v/>
      </c>
      <c r="BE87" s="25" t="str">
        <f t="shared" si="94"/>
        <v/>
      </c>
      <c r="BF87">
        <f t="shared" si="107"/>
        <v>675.1</v>
      </c>
      <c r="BG87" s="25">
        <f t="shared" si="95"/>
        <v>7</v>
      </c>
      <c r="BH87" t="str">
        <f t="shared" si="108"/>
        <v/>
      </c>
      <c r="BI87" s="25" t="str">
        <f t="shared" si="96"/>
        <v/>
      </c>
      <c r="BJ87" t="str">
        <f t="shared" si="109"/>
        <v/>
      </c>
      <c r="BK87" s="25" t="str">
        <f t="shared" si="97"/>
        <v/>
      </c>
    </row>
    <row r="88" spans="1:63">
      <c r="A88">
        <v>8</v>
      </c>
      <c r="B88">
        <v>6</v>
      </c>
      <c r="C88">
        <v>735.2</v>
      </c>
      <c r="D88">
        <v>1</v>
      </c>
      <c r="E88">
        <v>13</v>
      </c>
      <c r="F88">
        <v>281</v>
      </c>
      <c r="G88">
        <v>1299.4000000000001</v>
      </c>
      <c r="H88">
        <v>469.5</v>
      </c>
      <c r="I88">
        <v>922.4</v>
      </c>
      <c r="AR88">
        <f t="shared" si="98"/>
        <v>1299.4000000000001</v>
      </c>
      <c r="AS88" s="25">
        <f t="shared" si="99"/>
        <v>13</v>
      </c>
      <c r="AT88" t="str">
        <f t="shared" si="100"/>
        <v/>
      </c>
      <c r="AU88" s="25" t="str">
        <f t="shared" si="101"/>
        <v/>
      </c>
      <c r="AV88" t="str">
        <f t="shared" si="102"/>
        <v/>
      </c>
      <c r="AW88" s="25" t="str">
        <f t="shared" si="101"/>
        <v/>
      </c>
      <c r="AX88" t="str">
        <f t="shared" si="103"/>
        <v/>
      </c>
      <c r="AY88" s="25" t="str">
        <f t="shared" si="91"/>
        <v/>
      </c>
      <c r="AZ88" t="str">
        <f t="shared" si="104"/>
        <v/>
      </c>
      <c r="BA88" s="25" t="str">
        <f t="shared" si="92"/>
        <v/>
      </c>
      <c r="BB88" t="str">
        <f t="shared" si="105"/>
        <v/>
      </c>
      <c r="BC88" s="25" t="str">
        <f t="shared" si="93"/>
        <v/>
      </c>
      <c r="BD88" t="str">
        <f t="shared" si="106"/>
        <v/>
      </c>
      <c r="BE88" s="25" t="str">
        <f t="shared" si="94"/>
        <v/>
      </c>
      <c r="BF88" t="str">
        <f t="shared" si="107"/>
        <v/>
      </c>
      <c r="BG88" s="25" t="str">
        <f t="shared" si="95"/>
        <v/>
      </c>
      <c r="BH88" t="str">
        <f t="shared" si="108"/>
        <v/>
      </c>
      <c r="BI88" s="25" t="str">
        <f t="shared" si="96"/>
        <v/>
      </c>
      <c r="BJ88" t="str">
        <f t="shared" si="109"/>
        <v/>
      </c>
      <c r="BK88" s="25" t="str">
        <f t="shared" si="97"/>
        <v/>
      </c>
    </row>
    <row r="89" spans="1:63">
      <c r="A89">
        <v>8</v>
      </c>
      <c r="B89">
        <v>7</v>
      </c>
      <c r="C89">
        <v>807</v>
      </c>
      <c r="D89">
        <v>1</v>
      </c>
      <c r="E89">
        <v>12</v>
      </c>
      <c r="F89">
        <v>256</v>
      </c>
      <c r="G89">
        <v>1828.3</v>
      </c>
      <c r="H89">
        <v>559.9</v>
      </c>
      <c r="I89">
        <v>916.8</v>
      </c>
      <c r="AR89">
        <f t="shared" si="98"/>
        <v>1828.3</v>
      </c>
      <c r="AS89" s="25">
        <f t="shared" si="99"/>
        <v>12</v>
      </c>
      <c r="AT89" t="str">
        <f t="shared" si="100"/>
        <v/>
      </c>
      <c r="AU89" s="25" t="str">
        <f t="shared" si="101"/>
        <v/>
      </c>
      <c r="AV89" t="str">
        <f t="shared" si="102"/>
        <v/>
      </c>
      <c r="AW89" s="25" t="str">
        <f t="shared" si="101"/>
        <v/>
      </c>
      <c r="AX89" t="str">
        <f t="shared" si="103"/>
        <v/>
      </c>
      <c r="AY89" s="25" t="str">
        <f t="shared" si="91"/>
        <v/>
      </c>
      <c r="AZ89" t="str">
        <f t="shared" si="104"/>
        <v/>
      </c>
      <c r="BA89" s="25" t="str">
        <f t="shared" si="92"/>
        <v/>
      </c>
      <c r="BB89" t="str">
        <f t="shared" si="105"/>
        <v/>
      </c>
      <c r="BC89" s="25" t="str">
        <f t="shared" si="93"/>
        <v/>
      </c>
      <c r="BD89" t="str">
        <f t="shared" si="106"/>
        <v/>
      </c>
      <c r="BE89" s="25" t="str">
        <f t="shared" si="94"/>
        <v/>
      </c>
      <c r="BF89" t="str">
        <f t="shared" si="107"/>
        <v/>
      </c>
      <c r="BG89" s="25" t="str">
        <f t="shared" si="95"/>
        <v/>
      </c>
      <c r="BH89" t="str">
        <f t="shared" si="108"/>
        <v/>
      </c>
      <c r="BI89" s="25" t="str">
        <f t="shared" si="96"/>
        <v/>
      </c>
      <c r="BJ89" t="str">
        <f t="shared" si="109"/>
        <v/>
      </c>
      <c r="BK89" s="25" t="str">
        <f t="shared" si="97"/>
        <v/>
      </c>
    </row>
    <row r="90" spans="1:63">
      <c r="A90">
        <v>5</v>
      </c>
      <c r="B90">
        <v>11</v>
      </c>
      <c r="C90">
        <v>819.8</v>
      </c>
      <c r="D90">
        <v>8</v>
      </c>
      <c r="E90">
        <v>9</v>
      </c>
      <c r="F90">
        <v>252</v>
      </c>
      <c r="G90">
        <v>930.6</v>
      </c>
      <c r="H90">
        <v>435.8</v>
      </c>
      <c r="I90">
        <v>854</v>
      </c>
      <c r="AR90" t="str">
        <f t="shared" si="98"/>
        <v/>
      </c>
      <c r="AS90" s="25" t="str">
        <f t="shared" si="99"/>
        <v/>
      </c>
      <c r="AT90" t="str">
        <f t="shared" si="100"/>
        <v/>
      </c>
      <c r="AU90" s="25" t="str">
        <f t="shared" si="101"/>
        <v/>
      </c>
      <c r="AV90" t="str">
        <f t="shared" si="102"/>
        <v/>
      </c>
      <c r="AW90" s="25" t="str">
        <f t="shared" si="101"/>
        <v/>
      </c>
      <c r="AX90" t="str">
        <f t="shared" si="103"/>
        <v/>
      </c>
      <c r="AY90" s="25" t="str">
        <f t="shared" si="91"/>
        <v/>
      </c>
      <c r="AZ90" t="str">
        <f t="shared" si="104"/>
        <v/>
      </c>
      <c r="BA90" s="25" t="str">
        <f t="shared" si="92"/>
        <v/>
      </c>
      <c r="BB90" t="str">
        <f t="shared" si="105"/>
        <v/>
      </c>
      <c r="BC90" s="25" t="str">
        <f t="shared" si="93"/>
        <v/>
      </c>
      <c r="BD90" t="str">
        <f t="shared" si="106"/>
        <v/>
      </c>
      <c r="BE90" s="25" t="str">
        <f t="shared" si="94"/>
        <v/>
      </c>
      <c r="BF90">
        <f t="shared" si="107"/>
        <v>930.6</v>
      </c>
      <c r="BG90" s="25">
        <f t="shared" si="95"/>
        <v>9</v>
      </c>
      <c r="BH90" t="str">
        <f t="shared" si="108"/>
        <v/>
      </c>
      <c r="BI90" s="25" t="str">
        <f t="shared" si="96"/>
        <v/>
      </c>
      <c r="BJ90" t="str">
        <f t="shared" si="109"/>
        <v/>
      </c>
      <c r="BK90" s="25" t="str">
        <f t="shared" si="97"/>
        <v/>
      </c>
    </row>
    <row r="91" spans="1:63">
      <c r="A91">
        <v>15</v>
      </c>
      <c r="B91">
        <v>12</v>
      </c>
      <c r="C91">
        <v>843.2</v>
      </c>
      <c r="D91">
        <v>6</v>
      </c>
      <c r="E91">
        <v>10</v>
      </c>
      <c r="F91">
        <v>245</v>
      </c>
      <c r="G91">
        <v>1679.7</v>
      </c>
      <c r="H91">
        <v>561.4</v>
      </c>
      <c r="I91">
        <v>857.8</v>
      </c>
      <c r="AR91" t="str">
        <f t="shared" si="98"/>
        <v/>
      </c>
      <c r="AS91" s="25" t="str">
        <f t="shared" si="99"/>
        <v/>
      </c>
      <c r="AT91" t="str">
        <f t="shared" si="100"/>
        <v/>
      </c>
      <c r="AU91" s="25" t="str">
        <f t="shared" si="101"/>
        <v/>
      </c>
      <c r="AV91" t="str">
        <f t="shared" si="102"/>
        <v/>
      </c>
      <c r="AW91" s="25" t="str">
        <f t="shared" si="101"/>
        <v/>
      </c>
      <c r="AX91" t="str">
        <f t="shared" si="103"/>
        <v/>
      </c>
      <c r="AY91" s="25" t="str">
        <f t="shared" si="91"/>
        <v/>
      </c>
      <c r="AZ91" t="str">
        <f t="shared" si="104"/>
        <v/>
      </c>
      <c r="BA91" s="25" t="str">
        <f t="shared" si="92"/>
        <v/>
      </c>
      <c r="BB91">
        <f t="shared" si="105"/>
        <v>1679.7</v>
      </c>
      <c r="BC91" s="25">
        <f t="shared" si="93"/>
        <v>10</v>
      </c>
      <c r="BD91" t="str">
        <f t="shared" si="106"/>
        <v/>
      </c>
      <c r="BE91" s="25" t="str">
        <f t="shared" si="94"/>
        <v/>
      </c>
      <c r="BF91" t="str">
        <f t="shared" si="107"/>
        <v/>
      </c>
      <c r="BG91" s="25" t="str">
        <f t="shared" si="95"/>
        <v/>
      </c>
      <c r="BH91" t="str">
        <f t="shared" si="108"/>
        <v/>
      </c>
      <c r="BI91" s="25" t="str">
        <f t="shared" si="96"/>
        <v/>
      </c>
      <c r="BJ91" t="str">
        <f t="shared" si="109"/>
        <v/>
      </c>
      <c r="BK91" s="25" t="str">
        <f t="shared" si="97"/>
        <v/>
      </c>
    </row>
    <row r="92" spans="1:63">
      <c r="A92">
        <v>12</v>
      </c>
      <c r="B92">
        <v>13</v>
      </c>
      <c r="C92">
        <v>850.2</v>
      </c>
      <c r="D92">
        <v>10</v>
      </c>
      <c r="E92">
        <v>5</v>
      </c>
      <c r="F92">
        <v>243</v>
      </c>
      <c r="G92">
        <v>609.4</v>
      </c>
      <c r="H92">
        <v>355</v>
      </c>
      <c r="I92">
        <v>819.9</v>
      </c>
      <c r="AR92" t="str">
        <f t="shared" si="98"/>
        <v/>
      </c>
      <c r="AS92" s="25" t="str">
        <f t="shared" si="99"/>
        <v/>
      </c>
      <c r="AT92" t="str">
        <f t="shared" si="100"/>
        <v/>
      </c>
      <c r="AU92" s="25" t="str">
        <f t="shared" si="101"/>
        <v/>
      </c>
      <c r="AV92" t="str">
        <f t="shared" si="102"/>
        <v/>
      </c>
      <c r="AW92" s="25" t="str">
        <f t="shared" si="101"/>
        <v/>
      </c>
      <c r="AX92" t="str">
        <f t="shared" si="103"/>
        <v/>
      </c>
      <c r="AY92" s="25" t="str">
        <f t="shared" si="91"/>
        <v/>
      </c>
      <c r="AZ92" t="str">
        <f t="shared" si="104"/>
        <v/>
      </c>
      <c r="BA92" s="25" t="str">
        <f t="shared" si="92"/>
        <v/>
      </c>
      <c r="BB92" t="str">
        <f t="shared" si="105"/>
        <v/>
      </c>
      <c r="BC92" s="25" t="str">
        <f t="shared" si="93"/>
        <v/>
      </c>
      <c r="BD92" t="str">
        <f t="shared" si="106"/>
        <v/>
      </c>
      <c r="BE92" s="25" t="str">
        <f t="shared" si="94"/>
        <v/>
      </c>
      <c r="BF92" t="str">
        <f t="shared" si="107"/>
        <v/>
      </c>
      <c r="BG92" s="25" t="str">
        <f t="shared" si="95"/>
        <v/>
      </c>
      <c r="BH92" t="str">
        <f t="shared" si="108"/>
        <v/>
      </c>
      <c r="BI92" s="25" t="str">
        <f t="shared" si="96"/>
        <v/>
      </c>
      <c r="BJ92">
        <f t="shared" si="109"/>
        <v>609.4</v>
      </c>
      <c r="BK92" s="25">
        <f t="shared" si="97"/>
        <v>5</v>
      </c>
    </row>
    <row r="93" spans="1:63">
      <c r="A93">
        <v>8</v>
      </c>
      <c r="B93">
        <v>10</v>
      </c>
      <c r="C93">
        <v>910.1</v>
      </c>
      <c r="D93">
        <v>1</v>
      </c>
      <c r="E93">
        <v>15</v>
      </c>
      <c r="F93">
        <v>227</v>
      </c>
      <c r="G93">
        <v>1844.7</v>
      </c>
      <c r="H93">
        <v>609.4</v>
      </c>
      <c r="I93">
        <v>1233.9000000000001</v>
      </c>
      <c r="AR93">
        <f t="shared" si="98"/>
        <v>1844.7</v>
      </c>
      <c r="AS93" s="25">
        <f t="shared" si="99"/>
        <v>15</v>
      </c>
      <c r="AT93" t="str">
        <f t="shared" si="100"/>
        <v/>
      </c>
      <c r="AU93" s="25" t="str">
        <f t="shared" si="101"/>
        <v/>
      </c>
      <c r="AV93" t="str">
        <f t="shared" si="102"/>
        <v/>
      </c>
      <c r="AW93" s="25" t="str">
        <f t="shared" si="101"/>
        <v/>
      </c>
      <c r="AX93" t="str">
        <f t="shared" si="103"/>
        <v/>
      </c>
      <c r="AY93" s="25" t="str">
        <f t="shared" si="91"/>
        <v/>
      </c>
      <c r="AZ93" t="str">
        <f t="shared" si="104"/>
        <v/>
      </c>
      <c r="BA93" s="25" t="str">
        <f t="shared" si="92"/>
        <v/>
      </c>
      <c r="BB93" t="str">
        <f t="shared" si="105"/>
        <v/>
      </c>
      <c r="BC93" s="25" t="str">
        <f t="shared" si="93"/>
        <v/>
      </c>
      <c r="BD93" t="str">
        <f t="shared" si="106"/>
        <v/>
      </c>
      <c r="BE93" s="25" t="str">
        <f t="shared" si="94"/>
        <v/>
      </c>
      <c r="BF93" t="str">
        <f t="shared" si="107"/>
        <v/>
      </c>
      <c r="BG93" s="25" t="str">
        <f t="shared" si="95"/>
        <v/>
      </c>
      <c r="BH93" t="str">
        <f t="shared" si="108"/>
        <v/>
      </c>
      <c r="BI93" s="25" t="str">
        <f t="shared" si="96"/>
        <v/>
      </c>
      <c r="BJ93" t="str">
        <f t="shared" si="109"/>
        <v/>
      </c>
      <c r="BK93" s="25" t="str">
        <f t="shared" si="97"/>
        <v/>
      </c>
    </row>
    <row r="94" spans="1:63">
      <c r="A94">
        <v>15</v>
      </c>
      <c r="B94">
        <v>16</v>
      </c>
      <c r="C94">
        <v>910.1</v>
      </c>
      <c r="D94">
        <v>6</v>
      </c>
      <c r="E94">
        <v>11</v>
      </c>
      <c r="F94">
        <v>227</v>
      </c>
      <c r="G94">
        <v>1652.8</v>
      </c>
      <c r="H94">
        <v>586.9</v>
      </c>
      <c r="I94">
        <v>1048.4000000000001</v>
      </c>
      <c r="AR94" t="str">
        <f t="shared" si="98"/>
        <v/>
      </c>
      <c r="AS94" s="25" t="str">
        <f t="shared" si="99"/>
        <v/>
      </c>
      <c r="AT94" t="str">
        <f t="shared" si="100"/>
        <v/>
      </c>
      <c r="AU94" s="25" t="str">
        <f t="shared" si="101"/>
        <v/>
      </c>
      <c r="AV94" t="str">
        <f t="shared" si="102"/>
        <v/>
      </c>
      <c r="AW94" s="25" t="str">
        <f t="shared" si="101"/>
        <v/>
      </c>
      <c r="AX94" t="str">
        <f t="shared" si="103"/>
        <v/>
      </c>
      <c r="AY94" s="25" t="str">
        <f t="shared" si="91"/>
        <v/>
      </c>
      <c r="AZ94" t="str">
        <f t="shared" si="104"/>
        <v/>
      </c>
      <c r="BA94" s="25" t="str">
        <f t="shared" si="92"/>
        <v/>
      </c>
      <c r="BB94">
        <f t="shared" si="105"/>
        <v>1652.8</v>
      </c>
      <c r="BC94" s="25">
        <f t="shared" si="93"/>
        <v>11</v>
      </c>
      <c r="BD94" t="str">
        <f t="shared" si="106"/>
        <v/>
      </c>
      <c r="BE94" s="25" t="str">
        <f t="shared" si="94"/>
        <v/>
      </c>
      <c r="BF94" t="str">
        <f t="shared" si="107"/>
        <v/>
      </c>
      <c r="BG94" s="25" t="str">
        <f t="shared" si="95"/>
        <v/>
      </c>
      <c r="BH94" t="str">
        <f t="shared" si="108"/>
        <v/>
      </c>
      <c r="BI94" s="25" t="str">
        <f t="shared" si="96"/>
        <v/>
      </c>
      <c r="BJ94" t="str">
        <f t="shared" si="109"/>
        <v/>
      </c>
      <c r="BK94" s="25" t="str">
        <f t="shared" si="97"/>
        <v/>
      </c>
    </row>
    <row r="95" spans="1:63">
      <c r="A95">
        <v>11</v>
      </c>
      <c r="B95">
        <v>5</v>
      </c>
      <c r="C95">
        <v>930.6</v>
      </c>
      <c r="D95">
        <v>9</v>
      </c>
      <c r="E95">
        <v>8</v>
      </c>
      <c r="F95">
        <v>222</v>
      </c>
      <c r="G95">
        <v>819.8</v>
      </c>
      <c r="H95">
        <v>435.8</v>
      </c>
      <c r="I95">
        <v>1025.7</v>
      </c>
      <c r="AR95" t="str">
        <f t="shared" si="98"/>
        <v/>
      </c>
      <c r="AS95" s="25" t="str">
        <f t="shared" si="99"/>
        <v/>
      </c>
      <c r="AT95" t="str">
        <f t="shared" si="100"/>
        <v/>
      </c>
      <c r="AU95" s="25" t="str">
        <f t="shared" si="101"/>
        <v/>
      </c>
      <c r="AV95" t="str">
        <f t="shared" si="102"/>
        <v/>
      </c>
      <c r="AW95" s="25" t="str">
        <f t="shared" si="101"/>
        <v/>
      </c>
      <c r="AX95" t="str">
        <f t="shared" si="103"/>
        <v/>
      </c>
      <c r="AY95" s="25" t="str">
        <f t="shared" si="91"/>
        <v/>
      </c>
      <c r="AZ95" t="str">
        <f t="shared" si="104"/>
        <v/>
      </c>
      <c r="BA95" s="25" t="str">
        <f t="shared" si="92"/>
        <v/>
      </c>
      <c r="BB95" t="str">
        <f t="shared" si="105"/>
        <v/>
      </c>
      <c r="BC95" s="25" t="str">
        <f t="shared" si="93"/>
        <v/>
      </c>
      <c r="BD95" t="str">
        <f t="shared" si="106"/>
        <v/>
      </c>
      <c r="BE95" s="25" t="str">
        <f t="shared" si="94"/>
        <v/>
      </c>
      <c r="BF95" t="str">
        <f t="shared" si="107"/>
        <v/>
      </c>
      <c r="BG95" s="25" t="str">
        <f t="shared" si="95"/>
        <v/>
      </c>
      <c r="BH95">
        <f t="shared" si="108"/>
        <v>819.8</v>
      </c>
      <c r="BI95" s="25">
        <f t="shared" si="96"/>
        <v>8</v>
      </c>
      <c r="BJ95" t="str">
        <f t="shared" si="109"/>
        <v/>
      </c>
      <c r="BK95" s="25" t="str">
        <f t="shared" si="97"/>
        <v/>
      </c>
    </row>
    <row r="96" spans="1:63">
      <c r="A96">
        <v>1</v>
      </c>
      <c r="B96">
        <v>4</v>
      </c>
      <c r="C96">
        <v>979.1</v>
      </c>
      <c r="D96">
        <v>3</v>
      </c>
      <c r="E96">
        <v>14</v>
      </c>
      <c r="F96">
        <v>211</v>
      </c>
      <c r="G96">
        <v>1913</v>
      </c>
      <c r="H96">
        <v>647.6</v>
      </c>
      <c r="I96">
        <v>1191.3</v>
      </c>
      <c r="AR96" t="str">
        <f t="shared" si="98"/>
        <v/>
      </c>
      <c r="AS96" s="25" t="str">
        <f t="shared" si="99"/>
        <v/>
      </c>
      <c r="AT96" t="str">
        <f t="shared" si="100"/>
        <v/>
      </c>
      <c r="AU96" s="25" t="str">
        <f t="shared" si="101"/>
        <v/>
      </c>
      <c r="AV96">
        <f t="shared" si="102"/>
        <v>1913</v>
      </c>
      <c r="AW96" s="25">
        <f t="shared" si="101"/>
        <v>14</v>
      </c>
      <c r="AX96" t="str">
        <f t="shared" si="103"/>
        <v/>
      </c>
      <c r="AY96" s="25" t="str">
        <f t="shared" si="91"/>
        <v/>
      </c>
      <c r="AZ96" t="str">
        <f t="shared" si="104"/>
        <v/>
      </c>
      <c r="BA96" s="25" t="str">
        <f t="shared" si="92"/>
        <v/>
      </c>
      <c r="BB96" t="str">
        <f t="shared" si="105"/>
        <v/>
      </c>
      <c r="BC96" s="25" t="str">
        <f t="shared" si="93"/>
        <v/>
      </c>
      <c r="BD96" t="str">
        <f t="shared" si="106"/>
        <v/>
      </c>
      <c r="BE96" s="25" t="str">
        <f t="shared" si="94"/>
        <v/>
      </c>
      <c r="BF96" t="str">
        <f t="shared" si="107"/>
        <v/>
      </c>
      <c r="BG96" s="25" t="str">
        <f t="shared" si="95"/>
        <v/>
      </c>
      <c r="BH96" t="str">
        <f t="shared" si="108"/>
        <v/>
      </c>
      <c r="BI96" s="25" t="str">
        <f t="shared" si="96"/>
        <v/>
      </c>
      <c r="BJ96" t="str">
        <f t="shared" si="109"/>
        <v/>
      </c>
      <c r="BK96" s="25" t="str">
        <f t="shared" si="97"/>
        <v/>
      </c>
    </row>
    <row r="97" spans="1:63">
      <c r="A97">
        <v>14</v>
      </c>
      <c r="B97">
        <v>6</v>
      </c>
      <c r="C97">
        <v>979.1</v>
      </c>
      <c r="D97">
        <v>2</v>
      </c>
      <c r="E97">
        <v>13</v>
      </c>
      <c r="F97">
        <v>211</v>
      </c>
      <c r="G97">
        <v>1565.2</v>
      </c>
      <c r="H97">
        <v>602.29999999999995</v>
      </c>
      <c r="I97">
        <v>1005.4</v>
      </c>
      <c r="AR97" t="str">
        <f t="shared" si="98"/>
        <v/>
      </c>
      <c r="AS97" s="25" t="str">
        <f t="shared" si="99"/>
        <v/>
      </c>
      <c r="AT97">
        <f t="shared" si="100"/>
        <v>1565.2</v>
      </c>
      <c r="AU97" s="25">
        <f t="shared" si="101"/>
        <v>13</v>
      </c>
      <c r="AV97" t="str">
        <f t="shared" si="102"/>
        <v/>
      </c>
      <c r="AW97" s="25" t="str">
        <f t="shared" si="101"/>
        <v/>
      </c>
      <c r="AX97" t="str">
        <f t="shared" si="103"/>
        <v/>
      </c>
      <c r="AY97" s="25" t="str">
        <f t="shared" si="91"/>
        <v/>
      </c>
      <c r="AZ97" t="str">
        <f t="shared" si="104"/>
        <v/>
      </c>
      <c r="BA97" s="25" t="str">
        <f t="shared" si="92"/>
        <v/>
      </c>
      <c r="BB97" t="str">
        <f t="shared" si="105"/>
        <v/>
      </c>
      <c r="BC97" s="25" t="str">
        <f t="shared" si="93"/>
        <v/>
      </c>
      <c r="BD97" t="str">
        <f t="shared" si="106"/>
        <v/>
      </c>
      <c r="BE97" s="25" t="str">
        <f t="shared" si="94"/>
        <v/>
      </c>
      <c r="BF97" t="str">
        <f t="shared" si="107"/>
        <v/>
      </c>
      <c r="BG97" s="25" t="str">
        <f t="shared" si="95"/>
        <v/>
      </c>
      <c r="BH97" t="str">
        <f t="shared" si="108"/>
        <v/>
      </c>
      <c r="BI97" s="25" t="str">
        <f t="shared" si="96"/>
        <v/>
      </c>
      <c r="BJ97" t="str">
        <f t="shared" si="109"/>
        <v/>
      </c>
      <c r="BK97" s="25" t="str">
        <f t="shared" si="97"/>
        <v/>
      </c>
    </row>
    <row r="98" spans="1:63">
      <c r="A98">
        <v>1</v>
      </c>
      <c r="B98">
        <v>6</v>
      </c>
      <c r="C98">
        <v>993.3</v>
      </c>
      <c r="D98">
        <v>3</v>
      </c>
      <c r="E98">
        <v>13</v>
      </c>
      <c r="F98">
        <v>208</v>
      </c>
      <c r="G98">
        <v>1967.6</v>
      </c>
      <c r="H98">
        <v>660.1</v>
      </c>
      <c r="I98">
        <v>1333.4</v>
      </c>
      <c r="AR98" t="str">
        <f t="shared" si="98"/>
        <v/>
      </c>
      <c r="AS98" s="25" t="str">
        <f t="shared" si="99"/>
        <v/>
      </c>
      <c r="AT98" t="str">
        <f t="shared" si="100"/>
        <v/>
      </c>
      <c r="AU98" s="25" t="str">
        <f t="shared" si="101"/>
        <v/>
      </c>
      <c r="AV98">
        <f t="shared" si="102"/>
        <v>1967.6</v>
      </c>
      <c r="AW98" s="25">
        <f t="shared" si="101"/>
        <v>13</v>
      </c>
      <c r="AX98" t="str">
        <f t="shared" si="103"/>
        <v/>
      </c>
      <c r="AY98" s="25" t="str">
        <f t="shared" si="91"/>
        <v/>
      </c>
      <c r="AZ98" t="str">
        <f t="shared" si="104"/>
        <v/>
      </c>
      <c r="BA98" s="25" t="str">
        <f t="shared" si="92"/>
        <v/>
      </c>
      <c r="BB98" t="str">
        <f t="shared" si="105"/>
        <v/>
      </c>
      <c r="BC98" s="25" t="str">
        <f t="shared" si="93"/>
        <v/>
      </c>
      <c r="BD98" t="str">
        <f t="shared" si="106"/>
        <v/>
      </c>
      <c r="BE98" s="25" t="str">
        <f t="shared" si="94"/>
        <v/>
      </c>
      <c r="BF98" t="str">
        <f t="shared" si="107"/>
        <v/>
      </c>
      <c r="BG98" s="25" t="str">
        <f t="shared" si="95"/>
        <v/>
      </c>
      <c r="BH98" t="str">
        <f t="shared" si="108"/>
        <v/>
      </c>
      <c r="BI98" s="25" t="str">
        <f t="shared" si="96"/>
        <v/>
      </c>
      <c r="BJ98" t="str">
        <f t="shared" si="109"/>
        <v/>
      </c>
      <c r="BK98" s="25" t="str">
        <f t="shared" si="97"/>
        <v/>
      </c>
    </row>
    <row r="99" spans="1:63">
      <c r="A99">
        <v>16</v>
      </c>
      <c r="B99">
        <v>14</v>
      </c>
      <c r="C99">
        <v>1002.9</v>
      </c>
      <c r="D99">
        <v>11</v>
      </c>
      <c r="E99">
        <v>2</v>
      </c>
      <c r="F99">
        <v>206</v>
      </c>
      <c r="G99">
        <v>408.3</v>
      </c>
      <c r="H99">
        <v>290.2</v>
      </c>
      <c r="I99">
        <v>848.3</v>
      </c>
      <c r="AR99" t="str">
        <f t="shared" si="98"/>
        <v/>
      </c>
      <c r="AS99" s="25" t="str">
        <f t="shared" si="99"/>
        <v/>
      </c>
      <c r="AT99" t="str">
        <f t="shared" si="100"/>
        <v/>
      </c>
      <c r="AU99" s="25" t="str">
        <f t="shared" si="101"/>
        <v/>
      </c>
      <c r="AV99" t="str">
        <f t="shared" si="102"/>
        <v/>
      </c>
      <c r="AW99" s="25" t="str">
        <f t="shared" si="101"/>
        <v/>
      </c>
      <c r="AX99" t="str">
        <f t="shared" si="103"/>
        <v/>
      </c>
      <c r="AY99" s="25" t="str">
        <f t="shared" si="91"/>
        <v/>
      </c>
      <c r="AZ99" t="str">
        <f t="shared" si="104"/>
        <v/>
      </c>
      <c r="BA99" s="25" t="str">
        <f t="shared" si="92"/>
        <v/>
      </c>
      <c r="BB99" t="str">
        <f t="shared" si="105"/>
        <v/>
      </c>
      <c r="BC99" s="25" t="str">
        <f t="shared" si="93"/>
        <v/>
      </c>
      <c r="BD99" t="str">
        <f t="shared" si="106"/>
        <v/>
      </c>
      <c r="BE99" s="25" t="str">
        <f t="shared" si="94"/>
        <v/>
      </c>
      <c r="BF99" t="str">
        <f t="shared" si="107"/>
        <v/>
      </c>
      <c r="BG99" s="25" t="str">
        <f t="shared" si="95"/>
        <v/>
      </c>
      <c r="BH99" t="str">
        <f t="shared" si="108"/>
        <v/>
      </c>
      <c r="BI99" s="25" t="str">
        <f t="shared" si="96"/>
        <v/>
      </c>
      <c r="BJ99" t="str">
        <f t="shared" si="109"/>
        <v/>
      </c>
      <c r="BK99" s="25" t="str">
        <f t="shared" si="97"/>
        <v/>
      </c>
    </row>
    <row r="100" spans="1:63">
      <c r="A100">
        <v>16</v>
      </c>
      <c r="B100">
        <v>8</v>
      </c>
      <c r="C100">
        <v>1017.7</v>
      </c>
      <c r="D100">
        <v>11</v>
      </c>
      <c r="E100">
        <v>1</v>
      </c>
      <c r="F100">
        <v>203</v>
      </c>
      <c r="G100">
        <v>348.9</v>
      </c>
      <c r="H100">
        <v>259.8</v>
      </c>
      <c r="I100">
        <v>889</v>
      </c>
      <c r="AR100" t="str">
        <f t="shared" si="98"/>
        <v/>
      </c>
      <c r="AS100" s="25" t="str">
        <f t="shared" si="99"/>
        <v/>
      </c>
      <c r="AT100" t="str">
        <f t="shared" si="100"/>
        <v/>
      </c>
      <c r="AU100" s="25" t="str">
        <f t="shared" si="101"/>
        <v/>
      </c>
      <c r="AV100" t="str">
        <f t="shared" si="102"/>
        <v/>
      </c>
      <c r="AW100" s="25" t="str">
        <f t="shared" si="101"/>
        <v/>
      </c>
      <c r="AX100" t="str">
        <f t="shared" si="103"/>
        <v/>
      </c>
      <c r="AY100" s="25" t="str">
        <f t="shared" si="91"/>
        <v/>
      </c>
      <c r="AZ100" t="str">
        <f t="shared" si="104"/>
        <v/>
      </c>
      <c r="BA100" s="25" t="str">
        <f t="shared" si="92"/>
        <v/>
      </c>
      <c r="BB100" t="str">
        <f t="shared" si="105"/>
        <v/>
      </c>
      <c r="BC100" s="25" t="str">
        <f t="shared" si="93"/>
        <v/>
      </c>
      <c r="BD100" t="str">
        <f t="shared" si="106"/>
        <v/>
      </c>
      <c r="BE100" s="25" t="str">
        <f t="shared" si="94"/>
        <v/>
      </c>
      <c r="BF100" t="str">
        <f t="shared" si="107"/>
        <v/>
      </c>
      <c r="BG100" s="25" t="str">
        <f t="shared" si="95"/>
        <v/>
      </c>
      <c r="BH100" t="str">
        <f t="shared" si="108"/>
        <v/>
      </c>
      <c r="BI100" s="25" t="str">
        <f t="shared" si="96"/>
        <v/>
      </c>
      <c r="BJ100" t="str">
        <f t="shared" si="109"/>
        <v/>
      </c>
      <c r="BK100" s="25" t="str">
        <f t="shared" si="97"/>
        <v/>
      </c>
    </row>
    <row r="101" spans="1:63">
      <c r="A101">
        <v>8</v>
      </c>
      <c r="B101">
        <v>3</v>
      </c>
      <c r="C101">
        <v>1048.7</v>
      </c>
      <c r="D101">
        <v>1</v>
      </c>
      <c r="E101">
        <v>16</v>
      </c>
      <c r="F101">
        <v>197</v>
      </c>
      <c r="G101">
        <v>2005.9</v>
      </c>
      <c r="H101">
        <v>688.7</v>
      </c>
      <c r="I101">
        <v>1554.3</v>
      </c>
      <c r="AR101">
        <f t="shared" si="98"/>
        <v>2005.9</v>
      </c>
      <c r="AS101" s="25">
        <f t="shared" si="99"/>
        <v>16</v>
      </c>
      <c r="AT101" t="str">
        <f t="shared" si="100"/>
        <v/>
      </c>
      <c r="AU101" s="25" t="str">
        <f t="shared" ref="AU101:AU150" si="110">IFERROR(IF(AT101="","",$E101),"")</f>
        <v/>
      </c>
      <c r="AV101" t="str">
        <f t="shared" si="102"/>
        <v/>
      </c>
      <c r="AW101" s="25" t="str">
        <f t="shared" ref="AW101:AW150" si="111">IFERROR(IF(AV101="","",$E101),"")</f>
        <v/>
      </c>
      <c r="AX101" t="str">
        <f t="shared" si="103"/>
        <v/>
      </c>
      <c r="AY101" s="25" t="str">
        <f t="shared" si="91"/>
        <v/>
      </c>
      <c r="AZ101" t="str">
        <f t="shared" si="104"/>
        <v/>
      </c>
      <c r="BA101" s="25" t="str">
        <f t="shared" si="92"/>
        <v/>
      </c>
      <c r="BB101" t="str">
        <f t="shared" si="105"/>
        <v/>
      </c>
      <c r="BC101" s="25" t="str">
        <f t="shared" si="93"/>
        <v/>
      </c>
      <c r="BD101" t="str">
        <f t="shared" si="106"/>
        <v/>
      </c>
      <c r="BE101" s="25" t="str">
        <f t="shared" si="94"/>
        <v/>
      </c>
      <c r="BF101" t="str">
        <f t="shared" si="107"/>
        <v/>
      </c>
      <c r="BG101" s="25" t="str">
        <f t="shared" si="95"/>
        <v/>
      </c>
      <c r="BH101" t="str">
        <f t="shared" si="108"/>
        <v/>
      </c>
      <c r="BI101" s="25" t="str">
        <f t="shared" si="96"/>
        <v/>
      </c>
      <c r="BJ101" t="str">
        <f t="shared" si="109"/>
        <v/>
      </c>
    </row>
    <row r="102" spans="1:63">
      <c r="A102">
        <v>2</v>
      </c>
      <c r="B102">
        <v>6</v>
      </c>
      <c r="C102">
        <v>1160.7</v>
      </c>
      <c r="D102">
        <v>4</v>
      </c>
      <c r="E102">
        <v>13</v>
      </c>
      <c r="F102">
        <v>178</v>
      </c>
      <c r="G102">
        <v>1967.6</v>
      </c>
      <c r="H102">
        <v>730</v>
      </c>
      <c r="I102">
        <v>1262.5999999999999</v>
      </c>
      <c r="AR102" t="str">
        <f t="shared" si="98"/>
        <v/>
      </c>
      <c r="AS102" s="25" t="str">
        <f t="shared" si="99"/>
        <v/>
      </c>
      <c r="AT102" t="str">
        <f t="shared" si="100"/>
        <v/>
      </c>
      <c r="AU102" s="25" t="str">
        <f t="shared" si="110"/>
        <v/>
      </c>
      <c r="AV102" t="str">
        <f t="shared" si="102"/>
        <v/>
      </c>
      <c r="AW102" s="25" t="str">
        <f t="shared" si="111"/>
        <v/>
      </c>
      <c r="AX102">
        <f t="shared" si="103"/>
        <v>1967.6</v>
      </c>
      <c r="AY102" s="25">
        <f t="shared" si="91"/>
        <v>13</v>
      </c>
      <c r="AZ102" t="str">
        <f t="shared" si="104"/>
        <v/>
      </c>
      <c r="BA102" s="25" t="str">
        <f t="shared" si="92"/>
        <v/>
      </c>
      <c r="BB102" t="str">
        <f t="shared" si="105"/>
        <v/>
      </c>
      <c r="BC102" s="25" t="str">
        <f t="shared" si="93"/>
        <v/>
      </c>
      <c r="BD102" t="str">
        <f t="shared" si="106"/>
        <v/>
      </c>
      <c r="BE102" s="25" t="str">
        <f t="shared" si="94"/>
        <v/>
      </c>
      <c r="BF102" t="str">
        <f t="shared" si="107"/>
        <v/>
      </c>
      <c r="BG102" s="25" t="str">
        <f t="shared" si="95"/>
        <v/>
      </c>
      <c r="BH102" t="str">
        <f t="shared" si="108"/>
        <v/>
      </c>
      <c r="BI102" s="25" t="str">
        <f t="shared" si="96"/>
        <v/>
      </c>
      <c r="BJ102" t="str">
        <f t="shared" si="109"/>
        <v/>
      </c>
    </row>
    <row r="103" spans="1:63">
      <c r="A103">
        <v>16</v>
      </c>
      <c r="B103">
        <v>1</v>
      </c>
      <c r="C103">
        <v>1167.2</v>
      </c>
      <c r="D103">
        <v>11</v>
      </c>
      <c r="E103">
        <v>3</v>
      </c>
      <c r="F103">
        <v>177</v>
      </c>
      <c r="G103">
        <v>573.9</v>
      </c>
      <c r="H103">
        <v>384.7</v>
      </c>
      <c r="I103">
        <v>1301.5</v>
      </c>
      <c r="AR103" t="str">
        <f t="shared" si="98"/>
        <v/>
      </c>
      <c r="AS103" s="25" t="str">
        <f t="shared" si="99"/>
        <v/>
      </c>
      <c r="AT103" t="str">
        <f t="shared" si="100"/>
        <v/>
      </c>
      <c r="AU103" s="25" t="str">
        <f t="shared" si="110"/>
        <v/>
      </c>
      <c r="AV103" t="str">
        <f t="shared" si="102"/>
        <v/>
      </c>
      <c r="AW103" s="25" t="str">
        <f t="shared" si="111"/>
        <v/>
      </c>
      <c r="AX103" t="str">
        <f t="shared" si="103"/>
        <v/>
      </c>
      <c r="AY103" s="25" t="str">
        <f t="shared" si="91"/>
        <v/>
      </c>
      <c r="AZ103" t="str">
        <f t="shared" si="104"/>
        <v/>
      </c>
      <c r="BA103" s="25" t="str">
        <f t="shared" si="92"/>
        <v/>
      </c>
      <c r="BB103" t="str">
        <f t="shared" si="105"/>
        <v/>
      </c>
      <c r="BC103" s="25" t="str">
        <f t="shared" si="93"/>
        <v/>
      </c>
      <c r="BD103" t="str">
        <f t="shared" si="106"/>
        <v/>
      </c>
      <c r="BE103" s="25" t="str">
        <f t="shared" si="94"/>
        <v/>
      </c>
      <c r="BF103" t="str">
        <f t="shared" si="107"/>
        <v/>
      </c>
      <c r="BG103" s="25" t="str">
        <f t="shared" si="95"/>
        <v/>
      </c>
      <c r="BH103" t="str">
        <f t="shared" si="108"/>
        <v/>
      </c>
      <c r="BI103" s="25" t="str">
        <f t="shared" si="96"/>
        <v/>
      </c>
      <c r="BJ103" t="str">
        <f t="shared" si="109"/>
        <v/>
      </c>
    </row>
    <row r="104" spans="1:63">
      <c r="A104">
        <v>11</v>
      </c>
      <c r="B104">
        <v>9</v>
      </c>
      <c r="C104">
        <v>1173.9000000000001</v>
      </c>
      <c r="D104">
        <v>9</v>
      </c>
      <c r="E104">
        <v>7</v>
      </c>
      <c r="F104">
        <v>176</v>
      </c>
      <c r="G104">
        <v>1215.3</v>
      </c>
      <c r="H104">
        <v>597.1</v>
      </c>
      <c r="I104">
        <v>1052.7</v>
      </c>
      <c r="AR104" t="str">
        <f t="shared" si="98"/>
        <v/>
      </c>
      <c r="AS104" s="25" t="str">
        <f t="shared" si="99"/>
        <v/>
      </c>
      <c r="AT104" t="str">
        <f t="shared" si="100"/>
        <v/>
      </c>
      <c r="AU104" s="25" t="str">
        <f t="shared" si="110"/>
        <v/>
      </c>
      <c r="AV104" t="str">
        <f t="shared" si="102"/>
        <v/>
      </c>
      <c r="AW104" s="25" t="str">
        <f t="shared" si="111"/>
        <v/>
      </c>
      <c r="AX104" t="str">
        <f t="shared" si="103"/>
        <v/>
      </c>
      <c r="AY104" s="25" t="str">
        <f t="shared" si="91"/>
        <v/>
      </c>
      <c r="AZ104" t="str">
        <f t="shared" si="104"/>
        <v/>
      </c>
      <c r="BA104" s="25" t="str">
        <f t="shared" si="92"/>
        <v/>
      </c>
      <c r="BB104" t="str">
        <f t="shared" si="105"/>
        <v/>
      </c>
      <c r="BC104" s="25" t="str">
        <f t="shared" si="93"/>
        <v/>
      </c>
      <c r="BD104" t="str">
        <f t="shared" si="106"/>
        <v/>
      </c>
      <c r="BE104" s="25" t="str">
        <f t="shared" si="94"/>
        <v/>
      </c>
      <c r="BF104" t="str">
        <f t="shared" si="107"/>
        <v/>
      </c>
      <c r="BG104" s="25" t="str">
        <f t="shared" si="95"/>
        <v/>
      </c>
      <c r="BH104">
        <f t="shared" si="108"/>
        <v>1215.3</v>
      </c>
      <c r="BI104" s="25">
        <f t="shared" si="96"/>
        <v>7</v>
      </c>
      <c r="BJ104" t="str">
        <f t="shared" si="109"/>
        <v/>
      </c>
    </row>
    <row r="105" spans="1:63">
      <c r="A105">
        <v>14</v>
      </c>
      <c r="B105">
        <v>7</v>
      </c>
      <c r="C105">
        <v>1194.2</v>
      </c>
      <c r="D105">
        <v>2</v>
      </c>
      <c r="E105">
        <v>12</v>
      </c>
      <c r="F105">
        <v>173</v>
      </c>
      <c r="G105">
        <v>1812.3</v>
      </c>
      <c r="H105">
        <v>719.9</v>
      </c>
      <c r="I105">
        <v>1002.7</v>
      </c>
      <c r="AR105" t="str">
        <f t="shared" si="98"/>
        <v/>
      </c>
      <c r="AS105" s="25" t="str">
        <f t="shared" si="99"/>
        <v/>
      </c>
      <c r="AT105">
        <f t="shared" si="100"/>
        <v>1812.3</v>
      </c>
      <c r="AU105" s="25">
        <f t="shared" si="110"/>
        <v>12</v>
      </c>
      <c r="AV105" t="str">
        <f t="shared" si="102"/>
        <v/>
      </c>
      <c r="AW105" s="25" t="str">
        <f t="shared" si="111"/>
        <v/>
      </c>
      <c r="AX105" t="str">
        <f t="shared" si="103"/>
        <v/>
      </c>
      <c r="AY105" s="25" t="str">
        <f t="shared" si="91"/>
        <v/>
      </c>
      <c r="AZ105" t="str">
        <f t="shared" si="104"/>
        <v/>
      </c>
      <c r="BA105" s="25" t="str">
        <f t="shared" si="92"/>
        <v/>
      </c>
      <c r="BB105" t="str">
        <f t="shared" si="105"/>
        <v/>
      </c>
      <c r="BC105" s="25" t="str">
        <f t="shared" si="93"/>
        <v/>
      </c>
      <c r="BD105" t="str">
        <f t="shared" si="106"/>
        <v/>
      </c>
      <c r="BE105" s="25" t="str">
        <f t="shared" si="94"/>
        <v/>
      </c>
      <c r="BF105" t="str">
        <f t="shared" si="107"/>
        <v/>
      </c>
      <c r="BG105" s="25" t="str">
        <f t="shared" si="95"/>
        <v/>
      </c>
      <c r="BH105" t="str">
        <f t="shared" si="108"/>
        <v/>
      </c>
      <c r="BI105" s="25" t="str">
        <f t="shared" si="96"/>
        <v/>
      </c>
      <c r="BJ105" t="str">
        <f t="shared" si="109"/>
        <v/>
      </c>
    </row>
    <row r="106" spans="1:63">
      <c r="A106">
        <v>16</v>
      </c>
      <c r="B106">
        <v>2</v>
      </c>
      <c r="C106">
        <v>1194.2</v>
      </c>
      <c r="D106">
        <v>11</v>
      </c>
      <c r="E106">
        <v>4</v>
      </c>
      <c r="F106">
        <v>173</v>
      </c>
      <c r="G106">
        <v>622.29999999999995</v>
      </c>
      <c r="H106">
        <v>409.1</v>
      </c>
      <c r="I106">
        <v>1051.2</v>
      </c>
      <c r="AR106" t="str">
        <f t="shared" si="98"/>
        <v/>
      </c>
      <c r="AS106" s="25" t="str">
        <f t="shared" si="99"/>
        <v/>
      </c>
      <c r="AT106" t="str">
        <f t="shared" si="100"/>
        <v/>
      </c>
      <c r="AU106" s="25" t="str">
        <f t="shared" si="110"/>
        <v/>
      </c>
      <c r="AV106" t="str">
        <f t="shared" si="102"/>
        <v/>
      </c>
      <c r="AW106" s="25" t="str">
        <f t="shared" si="111"/>
        <v/>
      </c>
      <c r="AX106" t="str">
        <f t="shared" si="103"/>
        <v/>
      </c>
      <c r="AY106" s="25" t="str">
        <f t="shared" si="91"/>
        <v/>
      </c>
      <c r="AZ106" t="str">
        <f t="shared" si="104"/>
        <v/>
      </c>
      <c r="BA106" s="25" t="str">
        <f t="shared" si="92"/>
        <v/>
      </c>
      <c r="BB106" t="str">
        <f t="shared" si="105"/>
        <v/>
      </c>
      <c r="BC106" s="25" t="str">
        <f t="shared" si="93"/>
        <v/>
      </c>
      <c r="BD106" t="str">
        <f t="shared" si="106"/>
        <v/>
      </c>
      <c r="BE106" s="25" t="str">
        <f t="shared" si="94"/>
        <v/>
      </c>
      <c r="BF106" t="str">
        <f t="shared" si="107"/>
        <v/>
      </c>
      <c r="BG106" s="25" t="str">
        <f t="shared" si="95"/>
        <v/>
      </c>
      <c r="BH106" t="str">
        <f t="shared" si="108"/>
        <v/>
      </c>
      <c r="BI106" s="25" t="str">
        <f t="shared" si="96"/>
        <v/>
      </c>
      <c r="BJ106" t="str">
        <f t="shared" si="109"/>
        <v/>
      </c>
    </row>
    <row r="107" spans="1:63">
      <c r="A107">
        <v>9</v>
      </c>
      <c r="B107">
        <v>11</v>
      </c>
      <c r="C107">
        <v>1215.3</v>
      </c>
      <c r="D107">
        <v>7</v>
      </c>
      <c r="E107">
        <v>9</v>
      </c>
      <c r="F107">
        <v>170</v>
      </c>
      <c r="G107">
        <v>1173.9000000000001</v>
      </c>
      <c r="H107">
        <v>597.1</v>
      </c>
      <c r="I107">
        <v>1067.5</v>
      </c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R107" t="str">
        <f t="shared" si="98"/>
        <v/>
      </c>
      <c r="AS107" s="25" t="str">
        <f t="shared" si="99"/>
        <v/>
      </c>
      <c r="AT107" t="str">
        <f t="shared" si="100"/>
        <v/>
      </c>
      <c r="AU107" s="25" t="str">
        <f t="shared" si="110"/>
        <v/>
      </c>
      <c r="AV107" t="str">
        <f t="shared" si="102"/>
        <v/>
      </c>
      <c r="AW107" s="25" t="str">
        <f t="shared" si="111"/>
        <v/>
      </c>
      <c r="AX107" t="str">
        <f t="shared" si="103"/>
        <v/>
      </c>
      <c r="AY107" s="25" t="str">
        <f t="shared" si="91"/>
        <v/>
      </c>
      <c r="AZ107" t="str">
        <f t="shared" si="104"/>
        <v/>
      </c>
      <c r="BA107" s="25" t="str">
        <f t="shared" si="92"/>
        <v/>
      </c>
      <c r="BB107" t="str">
        <f t="shared" si="105"/>
        <v/>
      </c>
      <c r="BC107" s="25" t="str">
        <f t="shared" si="93"/>
        <v/>
      </c>
      <c r="BD107">
        <f t="shared" si="106"/>
        <v>1173.9000000000001</v>
      </c>
      <c r="BE107" s="25">
        <f t="shared" si="94"/>
        <v>9</v>
      </c>
      <c r="BF107" t="str">
        <f t="shared" si="107"/>
        <v/>
      </c>
      <c r="BG107" s="25" t="str">
        <f t="shared" si="95"/>
        <v/>
      </c>
      <c r="BH107" t="str">
        <f t="shared" si="108"/>
        <v/>
      </c>
      <c r="BI107" s="25" t="str">
        <f t="shared" si="96"/>
        <v/>
      </c>
      <c r="BJ107" t="str">
        <f t="shared" si="109"/>
        <v/>
      </c>
    </row>
    <row r="108" spans="1:63">
      <c r="A108">
        <v>13</v>
      </c>
      <c r="B108">
        <v>7</v>
      </c>
      <c r="C108">
        <v>1222.5</v>
      </c>
      <c r="D108">
        <v>5</v>
      </c>
      <c r="E108">
        <v>12</v>
      </c>
      <c r="F108">
        <v>169</v>
      </c>
      <c r="G108">
        <v>1577.1</v>
      </c>
      <c r="H108">
        <v>688.7</v>
      </c>
      <c r="I108">
        <v>1663.1</v>
      </c>
      <c r="AR108" t="str">
        <f t="shared" si="98"/>
        <v/>
      </c>
      <c r="AS108" s="25" t="str">
        <f t="shared" si="99"/>
        <v/>
      </c>
      <c r="AT108" t="str">
        <f t="shared" si="100"/>
        <v/>
      </c>
      <c r="AU108" s="25" t="str">
        <f t="shared" si="110"/>
        <v/>
      </c>
      <c r="AV108" t="str">
        <f t="shared" si="102"/>
        <v/>
      </c>
      <c r="AW108" s="25" t="str">
        <f t="shared" si="111"/>
        <v/>
      </c>
      <c r="AX108" t="str">
        <f t="shared" si="103"/>
        <v/>
      </c>
      <c r="AY108" s="25" t="str">
        <f t="shared" si="91"/>
        <v/>
      </c>
      <c r="AZ108">
        <f t="shared" si="104"/>
        <v>1577.1</v>
      </c>
      <c r="BA108" s="25">
        <f t="shared" si="92"/>
        <v>12</v>
      </c>
      <c r="BB108" t="str">
        <f t="shared" si="105"/>
        <v/>
      </c>
      <c r="BC108" s="25" t="str">
        <f t="shared" si="93"/>
        <v/>
      </c>
      <c r="BD108" t="str">
        <f t="shared" si="106"/>
        <v/>
      </c>
      <c r="BE108" s="25" t="str">
        <f t="shared" si="94"/>
        <v/>
      </c>
      <c r="BF108" t="str">
        <f t="shared" si="107"/>
        <v/>
      </c>
      <c r="BG108" s="25" t="str">
        <f t="shared" si="95"/>
        <v/>
      </c>
      <c r="BH108" t="str">
        <f t="shared" si="108"/>
        <v/>
      </c>
      <c r="BI108" s="25" t="str">
        <f t="shared" si="96"/>
        <v/>
      </c>
      <c r="BJ108" t="str">
        <f t="shared" si="109"/>
        <v/>
      </c>
    </row>
    <row r="109" spans="1:63">
      <c r="A109">
        <v>2</v>
      </c>
      <c r="B109">
        <v>4</v>
      </c>
      <c r="C109">
        <v>1244.5999999999999</v>
      </c>
      <c r="D109">
        <v>4</v>
      </c>
      <c r="E109">
        <v>14</v>
      </c>
      <c r="F109">
        <v>166</v>
      </c>
      <c r="G109">
        <v>1967.6</v>
      </c>
      <c r="H109">
        <v>762.4</v>
      </c>
      <c r="I109">
        <v>1371.9</v>
      </c>
      <c r="AR109" t="str">
        <f t="shared" si="98"/>
        <v/>
      </c>
      <c r="AS109" s="25" t="str">
        <f t="shared" si="99"/>
        <v/>
      </c>
      <c r="AT109" t="str">
        <f t="shared" si="100"/>
        <v/>
      </c>
      <c r="AU109" s="25" t="str">
        <f t="shared" si="110"/>
        <v/>
      </c>
      <c r="AV109" t="str">
        <f t="shared" si="102"/>
        <v/>
      </c>
      <c r="AW109" s="25" t="str">
        <f t="shared" si="111"/>
        <v/>
      </c>
      <c r="AX109">
        <f t="shared" si="103"/>
        <v>1967.6</v>
      </c>
      <c r="AY109" s="25">
        <f t="shared" si="91"/>
        <v>14</v>
      </c>
      <c r="AZ109" t="str">
        <f t="shared" si="104"/>
        <v/>
      </c>
      <c r="BA109" s="25" t="str">
        <f t="shared" si="92"/>
        <v/>
      </c>
      <c r="BB109" t="str">
        <f t="shared" si="105"/>
        <v/>
      </c>
      <c r="BC109" s="25" t="str">
        <f t="shared" si="93"/>
        <v/>
      </c>
      <c r="BD109" t="str">
        <f t="shared" si="106"/>
        <v/>
      </c>
      <c r="BE109" s="25" t="str">
        <f t="shared" si="94"/>
        <v/>
      </c>
      <c r="BF109" t="str">
        <f t="shared" si="107"/>
        <v/>
      </c>
      <c r="BG109" s="25" t="str">
        <f t="shared" si="95"/>
        <v/>
      </c>
      <c r="BH109" t="str">
        <f t="shared" si="108"/>
        <v/>
      </c>
      <c r="BI109" s="25" t="str">
        <f t="shared" si="96"/>
        <v/>
      </c>
      <c r="BJ109" t="str">
        <f t="shared" si="109"/>
        <v/>
      </c>
    </row>
    <row r="110" spans="1:63">
      <c r="A110">
        <v>13</v>
      </c>
      <c r="B110">
        <v>4</v>
      </c>
      <c r="C110">
        <v>1252.0999999999999</v>
      </c>
      <c r="D110">
        <v>5</v>
      </c>
      <c r="E110">
        <v>14</v>
      </c>
      <c r="F110">
        <v>165</v>
      </c>
      <c r="G110">
        <v>1986.6</v>
      </c>
      <c r="H110">
        <v>768</v>
      </c>
      <c r="I110">
        <v>2147.1</v>
      </c>
      <c r="AR110" t="str">
        <f t="shared" si="98"/>
        <v/>
      </c>
      <c r="AS110" s="25" t="str">
        <f t="shared" si="99"/>
        <v/>
      </c>
      <c r="AT110" t="str">
        <f t="shared" si="100"/>
        <v/>
      </c>
      <c r="AU110" s="25" t="str">
        <f t="shared" si="110"/>
        <v/>
      </c>
      <c r="AV110" t="str">
        <f t="shared" si="102"/>
        <v/>
      </c>
      <c r="AW110" s="25" t="str">
        <f t="shared" si="111"/>
        <v/>
      </c>
      <c r="AX110" t="str">
        <f t="shared" si="103"/>
        <v/>
      </c>
      <c r="AY110" s="25" t="str">
        <f t="shared" si="91"/>
        <v/>
      </c>
      <c r="AZ110">
        <f t="shared" si="104"/>
        <v>1986.6</v>
      </c>
      <c r="BA110" s="25">
        <f t="shared" si="92"/>
        <v>14</v>
      </c>
      <c r="BB110" t="str">
        <f t="shared" si="105"/>
        <v/>
      </c>
      <c r="BC110" s="25" t="str">
        <f t="shared" si="93"/>
        <v/>
      </c>
      <c r="BD110" t="str">
        <f t="shared" si="106"/>
        <v/>
      </c>
      <c r="BE110" s="25" t="str">
        <f t="shared" si="94"/>
        <v/>
      </c>
      <c r="BF110" t="str">
        <f t="shared" si="107"/>
        <v/>
      </c>
      <c r="BG110" s="25" t="str">
        <f t="shared" si="95"/>
        <v/>
      </c>
      <c r="BH110" t="str">
        <f t="shared" si="108"/>
        <v/>
      </c>
      <c r="BI110" s="25" t="str">
        <f t="shared" si="96"/>
        <v/>
      </c>
      <c r="BJ110" t="str">
        <f t="shared" si="109"/>
        <v/>
      </c>
    </row>
    <row r="111" spans="1:63">
      <c r="A111">
        <v>1</v>
      </c>
      <c r="B111">
        <v>7</v>
      </c>
      <c r="C111">
        <v>1299.4000000000001</v>
      </c>
      <c r="D111">
        <v>3</v>
      </c>
      <c r="E111">
        <v>12</v>
      </c>
      <c r="F111">
        <v>159</v>
      </c>
      <c r="G111">
        <v>2582.5</v>
      </c>
      <c r="H111">
        <v>864.4</v>
      </c>
      <c r="I111">
        <v>1362.1</v>
      </c>
      <c r="AR111" t="str">
        <f t="shared" si="98"/>
        <v/>
      </c>
      <c r="AS111" s="25" t="str">
        <f t="shared" si="99"/>
        <v/>
      </c>
      <c r="AT111" t="str">
        <f t="shared" si="100"/>
        <v/>
      </c>
      <c r="AU111" s="25" t="str">
        <f t="shared" si="110"/>
        <v/>
      </c>
      <c r="AV111">
        <f t="shared" si="102"/>
        <v>2582.5</v>
      </c>
      <c r="AW111" s="25">
        <f t="shared" si="111"/>
        <v>12</v>
      </c>
      <c r="AX111" t="str">
        <f t="shared" si="103"/>
        <v/>
      </c>
      <c r="AY111" s="25" t="str">
        <f t="shared" si="91"/>
        <v/>
      </c>
      <c r="AZ111" t="str">
        <f t="shared" si="104"/>
        <v/>
      </c>
      <c r="BA111" s="25" t="str">
        <f t="shared" si="92"/>
        <v/>
      </c>
      <c r="BB111" t="str">
        <f t="shared" si="105"/>
        <v/>
      </c>
      <c r="BC111" s="25" t="str">
        <f t="shared" si="93"/>
        <v/>
      </c>
      <c r="BD111" t="str">
        <f t="shared" si="106"/>
        <v/>
      </c>
      <c r="BE111" s="25" t="str">
        <f t="shared" si="94"/>
        <v/>
      </c>
      <c r="BF111" t="str">
        <f t="shared" si="107"/>
        <v/>
      </c>
      <c r="BG111" s="25" t="str">
        <f t="shared" si="95"/>
        <v/>
      </c>
      <c r="BH111" t="str">
        <f t="shared" si="108"/>
        <v/>
      </c>
      <c r="BI111" s="25" t="str">
        <f t="shared" si="96"/>
        <v/>
      </c>
      <c r="BJ111" t="str">
        <f t="shared" si="109"/>
        <v/>
      </c>
    </row>
    <row r="112" spans="1:63">
      <c r="A112">
        <v>6</v>
      </c>
      <c r="B112">
        <v>8</v>
      </c>
      <c r="C112">
        <v>1299.4000000000001</v>
      </c>
      <c r="D112">
        <v>13</v>
      </c>
      <c r="E112">
        <v>1</v>
      </c>
      <c r="F112">
        <v>159</v>
      </c>
      <c r="G112">
        <v>735.2</v>
      </c>
      <c r="H112">
        <v>469.5</v>
      </c>
      <c r="I112">
        <v>1610.3</v>
      </c>
      <c r="AR112" t="str">
        <f t="shared" si="98"/>
        <v/>
      </c>
      <c r="AS112" s="25" t="str">
        <f t="shared" si="99"/>
        <v/>
      </c>
      <c r="AT112" t="str">
        <f t="shared" si="100"/>
        <v/>
      </c>
      <c r="AU112" s="25" t="str">
        <f t="shared" si="110"/>
        <v/>
      </c>
      <c r="AV112" t="str">
        <f t="shared" si="102"/>
        <v/>
      </c>
      <c r="AW112" s="25" t="str">
        <f t="shared" si="111"/>
        <v/>
      </c>
      <c r="AX112" t="str">
        <f t="shared" si="103"/>
        <v/>
      </c>
      <c r="AY112" s="25" t="str">
        <f t="shared" si="91"/>
        <v/>
      </c>
      <c r="AZ112" t="str">
        <f t="shared" si="104"/>
        <v/>
      </c>
      <c r="BA112" s="25" t="str">
        <f t="shared" si="92"/>
        <v/>
      </c>
      <c r="BB112" t="str">
        <f t="shared" si="105"/>
        <v/>
      </c>
      <c r="BC112" s="25" t="str">
        <f t="shared" si="93"/>
        <v/>
      </c>
      <c r="BD112" t="str">
        <f t="shared" si="106"/>
        <v/>
      </c>
      <c r="BE112" s="25" t="str">
        <f t="shared" si="94"/>
        <v/>
      </c>
      <c r="BF112" t="str">
        <f t="shared" si="107"/>
        <v/>
      </c>
      <c r="BG112" s="25" t="str">
        <f t="shared" si="95"/>
        <v/>
      </c>
      <c r="BH112" t="str">
        <f t="shared" si="108"/>
        <v/>
      </c>
      <c r="BI112" s="25" t="str">
        <f t="shared" si="96"/>
        <v/>
      </c>
      <c r="BJ112" t="str">
        <f t="shared" si="109"/>
        <v/>
      </c>
    </row>
    <row r="113" spans="1:62">
      <c r="A113">
        <v>16</v>
      </c>
      <c r="B113">
        <v>13</v>
      </c>
      <c r="C113">
        <v>1299.4000000000001</v>
      </c>
      <c r="D113">
        <v>11</v>
      </c>
      <c r="E113">
        <v>5</v>
      </c>
      <c r="F113">
        <v>159</v>
      </c>
      <c r="G113">
        <v>730</v>
      </c>
      <c r="H113">
        <v>467.4</v>
      </c>
      <c r="I113">
        <v>1310.4000000000001</v>
      </c>
      <c r="AR113" t="str">
        <f t="shared" si="98"/>
        <v/>
      </c>
      <c r="AS113" s="25" t="str">
        <f t="shared" si="99"/>
        <v/>
      </c>
      <c r="AT113" t="str">
        <f t="shared" si="100"/>
        <v/>
      </c>
      <c r="AU113" s="25" t="str">
        <f t="shared" si="110"/>
        <v/>
      </c>
      <c r="AV113" t="str">
        <f t="shared" si="102"/>
        <v/>
      </c>
      <c r="AW113" s="25" t="str">
        <f t="shared" si="111"/>
        <v/>
      </c>
      <c r="AX113" t="str">
        <f t="shared" si="103"/>
        <v/>
      </c>
      <c r="AY113" s="25" t="str">
        <f t="shared" si="91"/>
        <v/>
      </c>
      <c r="AZ113" t="str">
        <f t="shared" si="104"/>
        <v/>
      </c>
      <c r="BA113" s="25" t="str">
        <f t="shared" si="92"/>
        <v/>
      </c>
      <c r="BB113" t="str">
        <f t="shared" si="105"/>
        <v/>
      </c>
      <c r="BC113" s="25" t="str">
        <f t="shared" si="93"/>
        <v/>
      </c>
      <c r="BD113" t="str">
        <f t="shared" si="106"/>
        <v/>
      </c>
      <c r="BE113" s="25" t="str">
        <f t="shared" si="94"/>
        <v/>
      </c>
      <c r="BF113" t="str">
        <f t="shared" si="107"/>
        <v/>
      </c>
      <c r="BG113" s="25" t="str">
        <f t="shared" si="95"/>
        <v/>
      </c>
      <c r="BH113" t="str">
        <f t="shared" si="108"/>
        <v/>
      </c>
      <c r="BI113" s="25" t="str">
        <f t="shared" si="96"/>
        <v/>
      </c>
      <c r="BJ113" t="str">
        <f t="shared" si="109"/>
        <v/>
      </c>
    </row>
    <row r="114" spans="1:62">
      <c r="A114">
        <v>14</v>
      </c>
      <c r="B114">
        <v>4</v>
      </c>
      <c r="C114">
        <v>1350.3</v>
      </c>
      <c r="D114">
        <v>2</v>
      </c>
      <c r="E114">
        <v>14</v>
      </c>
      <c r="F114">
        <v>153</v>
      </c>
      <c r="G114">
        <v>2005.9</v>
      </c>
      <c r="H114">
        <v>807</v>
      </c>
      <c r="I114">
        <v>1248</v>
      </c>
      <c r="AR114" t="str">
        <f t="shared" si="98"/>
        <v/>
      </c>
      <c r="AS114" s="25" t="str">
        <f t="shared" si="99"/>
        <v/>
      </c>
      <c r="AT114">
        <f t="shared" si="100"/>
        <v>2005.9</v>
      </c>
      <c r="AU114" s="25">
        <f t="shared" si="110"/>
        <v>14</v>
      </c>
      <c r="AV114" t="str">
        <f t="shared" si="102"/>
        <v/>
      </c>
      <c r="AW114" s="25" t="str">
        <f t="shared" si="111"/>
        <v/>
      </c>
      <c r="AX114" t="str">
        <f t="shared" si="103"/>
        <v/>
      </c>
      <c r="AY114" s="25" t="str">
        <f t="shared" si="91"/>
        <v/>
      </c>
      <c r="AZ114" t="str">
        <f t="shared" si="104"/>
        <v/>
      </c>
      <c r="BA114" s="25" t="str">
        <f t="shared" si="92"/>
        <v/>
      </c>
      <c r="BB114" t="str">
        <f t="shared" si="105"/>
        <v/>
      </c>
      <c r="BC114" s="25" t="str">
        <f t="shared" si="93"/>
        <v/>
      </c>
      <c r="BD114" t="str">
        <f t="shared" si="106"/>
        <v/>
      </c>
      <c r="BE114" s="25" t="str">
        <f t="shared" si="94"/>
        <v/>
      </c>
      <c r="BF114" t="str">
        <f t="shared" si="107"/>
        <v/>
      </c>
      <c r="BG114" s="25" t="str">
        <f t="shared" si="95"/>
        <v/>
      </c>
      <c r="BH114" t="str">
        <f t="shared" si="108"/>
        <v/>
      </c>
      <c r="BI114" s="25" t="str">
        <f t="shared" si="96"/>
        <v/>
      </c>
      <c r="BJ114" t="str">
        <f t="shared" si="109"/>
        <v/>
      </c>
    </row>
    <row r="115" spans="1:62">
      <c r="A115">
        <v>9</v>
      </c>
      <c r="B115">
        <v>12</v>
      </c>
      <c r="C115">
        <v>1386.6</v>
      </c>
      <c r="D115">
        <v>7</v>
      </c>
      <c r="E115">
        <v>10</v>
      </c>
      <c r="F115">
        <v>149</v>
      </c>
      <c r="G115">
        <v>1589.2</v>
      </c>
      <c r="H115">
        <v>740.5</v>
      </c>
      <c r="I115">
        <v>1039.7</v>
      </c>
      <c r="AR115" t="str">
        <f t="shared" si="98"/>
        <v/>
      </c>
      <c r="AS115" s="25" t="str">
        <f t="shared" si="99"/>
        <v/>
      </c>
      <c r="AT115" t="str">
        <f t="shared" si="100"/>
        <v/>
      </c>
      <c r="AU115" s="25" t="str">
        <f t="shared" si="110"/>
        <v/>
      </c>
      <c r="AV115" t="str">
        <f t="shared" si="102"/>
        <v/>
      </c>
      <c r="AW115" s="25" t="str">
        <f t="shared" si="111"/>
        <v/>
      </c>
      <c r="AX115" t="str">
        <f t="shared" si="103"/>
        <v/>
      </c>
      <c r="AY115" s="25" t="str">
        <f t="shared" si="91"/>
        <v/>
      </c>
      <c r="AZ115" t="str">
        <f t="shared" si="104"/>
        <v/>
      </c>
      <c r="BA115" s="25" t="str">
        <f t="shared" si="92"/>
        <v/>
      </c>
      <c r="BB115" t="str">
        <f t="shared" si="105"/>
        <v/>
      </c>
      <c r="BC115" s="25" t="str">
        <f t="shared" si="93"/>
        <v/>
      </c>
      <c r="BD115">
        <f t="shared" si="106"/>
        <v>1589.2</v>
      </c>
      <c r="BE115" s="25">
        <f t="shared" si="94"/>
        <v>10</v>
      </c>
      <c r="BF115" t="str">
        <f t="shared" si="107"/>
        <v/>
      </c>
      <c r="BG115" s="25" t="str">
        <f t="shared" si="95"/>
        <v/>
      </c>
      <c r="BH115" t="str">
        <f t="shared" si="108"/>
        <v/>
      </c>
      <c r="BI115" s="25" t="str">
        <f t="shared" si="96"/>
        <v/>
      </c>
      <c r="BJ115" t="str">
        <f t="shared" si="109"/>
        <v/>
      </c>
    </row>
    <row r="116" spans="1:62">
      <c r="A116">
        <v>2</v>
      </c>
      <c r="B116">
        <v>7</v>
      </c>
      <c r="C116">
        <v>1395.9</v>
      </c>
      <c r="D116">
        <v>4</v>
      </c>
      <c r="E116">
        <v>12</v>
      </c>
      <c r="F116">
        <v>148</v>
      </c>
      <c r="G116">
        <v>2197.9</v>
      </c>
      <c r="H116">
        <v>853.7</v>
      </c>
      <c r="I116">
        <v>1617.1</v>
      </c>
      <c r="AR116" t="str">
        <f t="shared" si="98"/>
        <v/>
      </c>
      <c r="AS116" s="25" t="str">
        <f t="shared" si="99"/>
        <v/>
      </c>
      <c r="AT116" t="str">
        <f t="shared" si="100"/>
        <v/>
      </c>
      <c r="AU116" s="25" t="str">
        <f t="shared" si="110"/>
        <v/>
      </c>
      <c r="AV116" t="str">
        <f t="shared" si="102"/>
        <v/>
      </c>
      <c r="AW116" s="25" t="str">
        <f t="shared" si="111"/>
        <v/>
      </c>
      <c r="AX116">
        <f t="shared" si="103"/>
        <v>2197.9</v>
      </c>
      <c r="AY116" s="25">
        <f t="shared" si="91"/>
        <v>12</v>
      </c>
      <c r="AZ116" t="str">
        <f t="shared" si="104"/>
        <v/>
      </c>
      <c r="BA116" s="25" t="str">
        <f t="shared" si="92"/>
        <v/>
      </c>
      <c r="BB116" t="str">
        <f t="shared" si="105"/>
        <v/>
      </c>
      <c r="BC116" s="25" t="str">
        <f t="shared" si="93"/>
        <v/>
      </c>
      <c r="BD116" t="str">
        <f t="shared" si="106"/>
        <v/>
      </c>
      <c r="BE116" s="25" t="str">
        <f t="shared" si="94"/>
        <v/>
      </c>
      <c r="BF116" t="str">
        <f t="shared" si="107"/>
        <v/>
      </c>
      <c r="BG116" s="25" t="str">
        <f t="shared" si="95"/>
        <v/>
      </c>
      <c r="BH116" t="str">
        <f t="shared" si="108"/>
        <v/>
      </c>
      <c r="BI116" s="25" t="str">
        <f t="shared" si="96"/>
        <v/>
      </c>
      <c r="BJ116" t="str">
        <f t="shared" si="109"/>
        <v/>
      </c>
    </row>
    <row r="117" spans="1:62">
      <c r="A117">
        <v>14</v>
      </c>
      <c r="B117">
        <v>10</v>
      </c>
      <c r="C117">
        <v>1405.4</v>
      </c>
      <c r="D117">
        <v>2</v>
      </c>
      <c r="E117">
        <v>15</v>
      </c>
      <c r="F117">
        <v>147</v>
      </c>
      <c r="G117">
        <v>3228.2</v>
      </c>
      <c r="H117">
        <v>979.1</v>
      </c>
      <c r="I117">
        <v>1711.8</v>
      </c>
      <c r="AR117" t="str">
        <f t="shared" si="98"/>
        <v/>
      </c>
      <c r="AS117" s="25" t="str">
        <f t="shared" si="99"/>
        <v/>
      </c>
      <c r="AT117">
        <f t="shared" si="100"/>
        <v>3228.2</v>
      </c>
      <c r="AU117" s="25">
        <f t="shared" si="110"/>
        <v>15</v>
      </c>
      <c r="AV117" t="str">
        <f t="shared" si="102"/>
        <v/>
      </c>
      <c r="AW117" s="25" t="str">
        <f t="shared" si="111"/>
        <v/>
      </c>
      <c r="AX117" t="str">
        <f t="shared" si="103"/>
        <v/>
      </c>
      <c r="AY117" s="25" t="str">
        <f t="shared" si="91"/>
        <v/>
      </c>
      <c r="AZ117" t="str">
        <f t="shared" si="104"/>
        <v/>
      </c>
      <c r="BA117" s="25" t="str">
        <f t="shared" si="92"/>
        <v/>
      </c>
      <c r="BB117" t="str">
        <f t="shared" si="105"/>
        <v/>
      </c>
      <c r="BC117" s="25" t="str">
        <f t="shared" si="93"/>
        <v/>
      </c>
      <c r="BD117" t="str">
        <f t="shared" si="106"/>
        <v/>
      </c>
      <c r="BE117" s="25" t="str">
        <f t="shared" si="94"/>
        <v/>
      </c>
      <c r="BF117" t="str">
        <f t="shared" si="107"/>
        <v/>
      </c>
      <c r="BG117" s="25" t="str">
        <f t="shared" si="95"/>
        <v/>
      </c>
      <c r="BH117" t="str">
        <f t="shared" si="108"/>
        <v/>
      </c>
      <c r="BI117" s="25" t="str">
        <f t="shared" si="96"/>
        <v/>
      </c>
      <c r="BJ117" t="str">
        <f t="shared" si="109"/>
        <v/>
      </c>
    </row>
    <row r="118" spans="1:62">
      <c r="A118">
        <v>2</v>
      </c>
      <c r="B118">
        <v>3</v>
      </c>
      <c r="C118">
        <v>1486.3</v>
      </c>
      <c r="D118">
        <v>4</v>
      </c>
      <c r="E118">
        <v>16</v>
      </c>
      <c r="F118">
        <v>139</v>
      </c>
      <c r="G118">
        <v>3083.6</v>
      </c>
      <c r="H118">
        <v>1002.9</v>
      </c>
      <c r="I118">
        <v>2171.6</v>
      </c>
      <c r="AR118" t="str">
        <f t="shared" si="98"/>
        <v/>
      </c>
      <c r="AS118" s="25" t="str">
        <f t="shared" si="99"/>
        <v/>
      </c>
      <c r="AT118" t="str">
        <f t="shared" si="100"/>
        <v/>
      </c>
      <c r="AU118" s="25" t="str">
        <f t="shared" si="110"/>
        <v/>
      </c>
      <c r="AV118" t="str">
        <f t="shared" si="102"/>
        <v/>
      </c>
      <c r="AW118" s="25" t="str">
        <f t="shared" si="111"/>
        <v/>
      </c>
      <c r="AX118">
        <f t="shared" si="103"/>
        <v>3083.6</v>
      </c>
      <c r="AY118" s="25">
        <f t="shared" si="91"/>
        <v>16</v>
      </c>
      <c r="AZ118" t="str">
        <f t="shared" si="104"/>
        <v/>
      </c>
      <c r="BA118" s="25" t="str">
        <f t="shared" si="92"/>
        <v/>
      </c>
      <c r="BB118" t="str">
        <f t="shared" si="105"/>
        <v/>
      </c>
      <c r="BC118" s="25" t="str">
        <f t="shared" si="93"/>
        <v/>
      </c>
      <c r="BD118" t="str">
        <f t="shared" si="106"/>
        <v/>
      </c>
      <c r="BE118" s="25" t="str">
        <f t="shared" si="94"/>
        <v/>
      </c>
      <c r="BF118" t="str">
        <f t="shared" si="107"/>
        <v/>
      </c>
      <c r="BG118" s="25" t="str">
        <f t="shared" si="95"/>
        <v/>
      </c>
      <c r="BH118" t="str">
        <f t="shared" si="108"/>
        <v/>
      </c>
      <c r="BI118" s="25" t="str">
        <f t="shared" si="96"/>
        <v/>
      </c>
      <c r="BJ118" t="str">
        <f t="shared" si="109"/>
        <v/>
      </c>
    </row>
    <row r="119" spans="1:62">
      <c r="A119">
        <v>13</v>
      </c>
      <c r="B119">
        <v>6</v>
      </c>
      <c r="C119">
        <v>1508</v>
      </c>
      <c r="D119">
        <v>5</v>
      </c>
      <c r="E119">
        <v>13</v>
      </c>
      <c r="F119">
        <v>137</v>
      </c>
      <c r="G119">
        <v>2174.8000000000002</v>
      </c>
      <c r="H119">
        <v>890.5</v>
      </c>
      <c r="I119">
        <v>2248.6999999999998</v>
      </c>
      <c r="AR119" t="str">
        <f t="shared" si="98"/>
        <v/>
      </c>
      <c r="AS119" s="25" t="str">
        <f t="shared" si="99"/>
        <v/>
      </c>
      <c r="AT119" t="str">
        <f t="shared" si="100"/>
        <v/>
      </c>
      <c r="AU119" s="25" t="str">
        <f t="shared" si="110"/>
        <v/>
      </c>
      <c r="AV119" t="str">
        <f t="shared" si="102"/>
        <v/>
      </c>
      <c r="AW119" s="25" t="str">
        <f t="shared" si="111"/>
        <v/>
      </c>
      <c r="AX119" t="str">
        <f t="shared" si="103"/>
        <v/>
      </c>
      <c r="AY119" s="25" t="str">
        <f t="shared" si="91"/>
        <v/>
      </c>
      <c r="AZ119">
        <f t="shared" si="104"/>
        <v>2174.8000000000002</v>
      </c>
      <c r="BA119" s="25">
        <f t="shared" si="92"/>
        <v>13</v>
      </c>
      <c r="BB119" t="str">
        <f t="shared" si="105"/>
        <v/>
      </c>
      <c r="BC119" s="25" t="str">
        <f t="shared" si="93"/>
        <v/>
      </c>
      <c r="BD119" t="str">
        <f t="shared" si="106"/>
        <v/>
      </c>
      <c r="BE119" s="25" t="str">
        <f t="shared" si="94"/>
        <v/>
      </c>
      <c r="BF119" t="str">
        <f t="shared" si="107"/>
        <v/>
      </c>
      <c r="BG119" s="25" t="str">
        <f t="shared" si="95"/>
        <v/>
      </c>
      <c r="BH119" t="str">
        <f t="shared" si="108"/>
        <v/>
      </c>
      <c r="BI119" s="25" t="str">
        <f t="shared" si="96"/>
        <v/>
      </c>
      <c r="BJ119" t="str">
        <f t="shared" si="109"/>
        <v/>
      </c>
    </row>
    <row r="120" spans="1:62">
      <c r="A120">
        <v>6</v>
      </c>
      <c r="B120">
        <v>14</v>
      </c>
      <c r="C120">
        <v>1565.2</v>
      </c>
      <c r="D120">
        <v>13</v>
      </c>
      <c r="E120">
        <v>2</v>
      </c>
      <c r="F120">
        <v>132</v>
      </c>
      <c r="G120">
        <v>979.1</v>
      </c>
      <c r="H120">
        <v>602.29999999999995</v>
      </c>
      <c r="I120">
        <v>2065.4</v>
      </c>
      <c r="AR120" t="str">
        <f t="shared" si="98"/>
        <v/>
      </c>
      <c r="AS120" s="25" t="str">
        <f t="shared" si="99"/>
        <v/>
      </c>
      <c r="AT120" t="str">
        <f t="shared" si="100"/>
        <v/>
      </c>
      <c r="AU120" s="25" t="str">
        <f t="shared" si="110"/>
        <v/>
      </c>
      <c r="AV120" t="str">
        <f t="shared" si="102"/>
        <v/>
      </c>
      <c r="AW120" s="25" t="str">
        <f t="shared" si="111"/>
        <v/>
      </c>
      <c r="AX120" t="str">
        <f t="shared" si="103"/>
        <v/>
      </c>
      <c r="AY120" s="25" t="str">
        <f t="shared" si="91"/>
        <v/>
      </c>
      <c r="AZ120" t="str">
        <f t="shared" si="104"/>
        <v/>
      </c>
      <c r="BA120" s="25" t="str">
        <f t="shared" si="92"/>
        <v/>
      </c>
      <c r="BB120" t="str">
        <f t="shared" si="105"/>
        <v/>
      </c>
      <c r="BC120" s="25" t="str">
        <f t="shared" si="93"/>
        <v/>
      </c>
      <c r="BD120" t="str">
        <f t="shared" si="106"/>
        <v/>
      </c>
      <c r="BE120" s="25" t="str">
        <f t="shared" si="94"/>
        <v/>
      </c>
      <c r="BF120" t="str">
        <f t="shared" si="107"/>
        <v/>
      </c>
      <c r="BG120" s="25" t="str">
        <f t="shared" si="95"/>
        <v/>
      </c>
      <c r="BH120" t="str">
        <f t="shared" si="108"/>
        <v/>
      </c>
      <c r="BI120" s="25" t="str">
        <f t="shared" si="96"/>
        <v/>
      </c>
      <c r="BJ120" t="str">
        <f t="shared" si="109"/>
        <v/>
      </c>
    </row>
    <row r="121" spans="1:62">
      <c r="A121">
        <v>1</v>
      </c>
      <c r="B121">
        <v>10</v>
      </c>
      <c r="C121">
        <v>1577.1</v>
      </c>
      <c r="D121">
        <v>3</v>
      </c>
      <c r="E121">
        <v>15</v>
      </c>
      <c r="F121">
        <v>131</v>
      </c>
      <c r="G121">
        <v>3973.2</v>
      </c>
      <c r="H121">
        <v>1129</v>
      </c>
      <c r="I121">
        <v>2184.1</v>
      </c>
      <c r="AR121" t="str">
        <f t="shared" si="98"/>
        <v/>
      </c>
      <c r="AS121" s="25" t="str">
        <f t="shared" si="99"/>
        <v/>
      </c>
      <c r="AT121" t="str">
        <f t="shared" si="100"/>
        <v/>
      </c>
      <c r="AU121" s="25" t="str">
        <f t="shared" si="110"/>
        <v/>
      </c>
      <c r="AV121">
        <f t="shared" si="102"/>
        <v>3973.2</v>
      </c>
      <c r="AW121" s="25">
        <f t="shared" si="111"/>
        <v>15</v>
      </c>
      <c r="AX121" t="str">
        <f t="shared" si="103"/>
        <v/>
      </c>
      <c r="AY121" s="25" t="str">
        <f t="shared" si="91"/>
        <v/>
      </c>
      <c r="AZ121" t="str">
        <f t="shared" si="104"/>
        <v/>
      </c>
      <c r="BA121" s="25" t="str">
        <f t="shared" si="92"/>
        <v/>
      </c>
      <c r="BB121" t="str">
        <f t="shared" si="105"/>
        <v/>
      </c>
      <c r="BC121" s="25" t="str">
        <f t="shared" si="93"/>
        <v/>
      </c>
      <c r="BD121" t="str">
        <f t="shared" si="106"/>
        <v/>
      </c>
      <c r="BE121" s="25" t="str">
        <f t="shared" si="94"/>
        <v/>
      </c>
      <c r="BF121" t="str">
        <f t="shared" si="107"/>
        <v/>
      </c>
      <c r="BG121" s="25" t="str">
        <f t="shared" si="95"/>
        <v/>
      </c>
      <c r="BH121" t="str">
        <f t="shared" si="108"/>
        <v/>
      </c>
      <c r="BI121" s="25" t="str">
        <f t="shared" si="96"/>
        <v/>
      </c>
      <c r="BJ121" t="str">
        <f t="shared" si="109"/>
        <v/>
      </c>
    </row>
    <row r="122" spans="1:62">
      <c r="A122">
        <v>7</v>
      </c>
      <c r="B122">
        <v>13</v>
      </c>
      <c r="C122">
        <v>1577.1</v>
      </c>
      <c r="D122">
        <v>12</v>
      </c>
      <c r="E122">
        <v>5</v>
      </c>
      <c r="F122">
        <v>131</v>
      </c>
      <c r="G122">
        <v>1222.5</v>
      </c>
      <c r="H122">
        <v>688.7</v>
      </c>
      <c r="I122">
        <v>2405.1999999999998</v>
      </c>
      <c r="AR122" t="str">
        <f t="shared" si="98"/>
        <v/>
      </c>
      <c r="AS122" s="25" t="str">
        <f t="shared" si="99"/>
        <v/>
      </c>
      <c r="AT122" t="str">
        <f t="shared" si="100"/>
        <v/>
      </c>
      <c r="AU122" s="25" t="str">
        <f t="shared" si="110"/>
        <v/>
      </c>
      <c r="AV122" t="str">
        <f t="shared" si="102"/>
        <v/>
      </c>
      <c r="AW122" s="25" t="str">
        <f t="shared" si="111"/>
        <v/>
      </c>
      <c r="AX122" t="str">
        <f t="shared" si="103"/>
        <v/>
      </c>
      <c r="AY122" s="25" t="str">
        <f t="shared" si="91"/>
        <v/>
      </c>
      <c r="AZ122" t="str">
        <f t="shared" si="104"/>
        <v/>
      </c>
      <c r="BA122" s="25" t="str">
        <f t="shared" si="92"/>
        <v/>
      </c>
      <c r="BB122" t="str">
        <f t="shared" si="105"/>
        <v/>
      </c>
      <c r="BC122" s="25" t="str">
        <f t="shared" si="93"/>
        <v/>
      </c>
      <c r="BD122" t="str">
        <f t="shared" si="106"/>
        <v/>
      </c>
      <c r="BE122" s="25" t="str">
        <f t="shared" si="94"/>
        <v/>
      </c>
      <c r="BF122" t="str">
        <f t="shared" si="107"/>
        <v/>
      </c>
      <c r="BG122" s="25" t="str">
        <f t="shared" si="95"/>
        <v/>
      </c>
      <c r="BH122" t="str">
        <f t="shared" si="108"/>
        <v/>
      </c>
      <c r="BI122" s="25" t="str">
        <f t="shared" si="96"/>
        <v/>
      </c>
      <c r="BJ122" t="str">
        <f t="shared" si="109"/>
        <v/>
      </c>
    </row>
    <row r="123" spans="1:62">
      <c r="A123">
        <v>1</v>
      </c>
      <c r="B123">
        <v>3</v>
      </c>
      <c r="C123">
        <v>1589.2</v>
      </c>
      <c r="D123">
        <v>3</v>
      </c>
      <c r="E123">
        <v>16</v>
      </c>
      <c r="F123">
        <v>130</v>
      </c>
      <c r="G123">
        <v>3624.6</v>
      </c>
      <c r="H123">
        <v>1104.8</v>
      </c>
      <c r="I123">
        <v>1827.1</v>
      </c>
      <c r="AR123" t="str">
        <f t="shared" si="98"/>
        <v/>
      </c>
      <c r="AS123" s="25" t="str">
        <f t="shared" si="99"/>
        <v/>
      </c>
      <c r="AT123" t="str">
        <f t="shared" si="100"/>
        <v/>
      </c>
      <c r="AU123" s="25" t="str">
        <f t="shared" si="110"/>
        <v/>
      </c>
      <c r="AV123">
        <f t="shared" si="102"/>
        <v>3624.6</v>
      </c>
      <c r="AW123" s="25">
        <f t="shared" si="111"/>
        <v>16</v>
      </c>
      <c r="AX123" t="str">
        <f t="shared" si="103"/>
        <v/>
      </c>
      <c r="AY123" s="25" t="str">
        <f t="shared" si="91"/>
        <v/>
      </c>
      <c r="AZ123" t="str">
        <f t="shared" si="104"/>
        <v/>
      </c>
      <c r="BA123" s="25" t="str">
        <f t="shared" si="92"/>
        <v/>
      </c>
      <c r="BB123" t="str">
        <f t="shared" si="105"/>
        <v/>
      </c>
      <c r="BC123" s="25" t="str">
        <f t="shared" si="93"/>
        <v/>
      </c>
      <c r="BD123" t="str">
        <f t="shared" si="106"/>
        <v/>
      </c>
      <c r="BE123" s="25" t="str">
        <f t="shared" si="94"/>
        <v/>
      </c>
      <c r="BF123" t="str">
        <f t="shared" si="107"/>
        <v/>
      </c>
      <c r="BG123" s="25" t="str">
        <f t="shared" si="95"/>
        <v/>
      </c>
      <c r="BH123" t="str">
        <f t="shared" si="108"/>
        <v/>
      </c>
      <c r="BI123" s="25" t="str">
        <f t="shared" si="96"/>
        <v/>
      </c>
      <c r="BJ123" t="str">
        <f t="shared" si="109"/>
        <v/>
      </c>
    </row>
    <row r="124" spans="1:62">
      <c r="A124">
        <v>4</v>
      </c>
      <c r="B124">
        <v>8</v>
      </c>
      <c r="C124">
        <v>1589.2</v>
      </c>
      <c r="D124">
        <v>14</v>
      </c>
      <c r="E124">
        <v>1</v>
      </c>
      <c r="F124">
        <v>130</v>
      </c>
      <c r="G124">
        <v>657.9</v>
      </c>
      <c r="H124">
        <v>465.3</v>
      </c>
      <c r="I124">
        <v>1670.5</v>
      </c>
      <c r="AR124" t="str">
        <f t="shared" si="98"/>
        <v/>
      </c>
      <c r="AS124" s="25" t="str">
        <f t="shared" si="99"/>
        <v/>
      </c>
      <c r="AT124" t="str">
        <f t="shared" si="100"/>
        <v/>
      </c>
      <c r="AU124" s="25" t="str">
        <f t="shared" si="110"/>
        <v/>
      </c>
      <c r="AV124" t="str">
        <f t="shared" si="102"/>
        <v/>
      </c>
      <c r="AW124" s="25" t="str">
        <f t="shared" si="111"/>
        <v/>
      </c>
      <c r="AX124" t="str">
        <f t="shared" si="103"/>
        <v/>
      </c>
      <c r="AY124" s="25" t="str">
        <f t="shared" si="91"/>
        <v/>
      </c>
      <c r="AZ124" t="str">
        <f t="shared" si="104"/>
        <v/>
      </c>
      <c r="BA124" s="25" t="str">
        <f t="shared" si="92"/>
        <v/>
      </c>
      <c r="BB124" t="str">
        <f t="shared" si="105"/>
        <v/>
      </c>
      <c r="BC124" s="25" t="str">
        <f t="shared" si="93"/>
        <v/>
      </c>
      <c r="BD124" t="str">
        <f t="shared" si="106"/>
        <v/>
      </c>
      <c r="BE124" s="25" t="str">
        <f t="shared" si="94"/>
        <v/>
      </c>
      <c r="BF124" t="str">
        <f t="shared" si="107"/>
        <v/>
      </c>
      <c r="BG124" s="25" t="str">
        <f t="shared" si="95"/>
        <v/>
      </c>
      <c r="BH124" t="str">
        <f t="shared" si="108"/>
        <v/>
      </c>
      <c r="BI124" s="25" t="str">
        <f t="shared" si="96"/>
        <v/>
      </c>
      <c r="BJ124" t="str">
        <f t="shared" si="109"/>
        <v/>
      </c>
    </row>
    <row r="125" spans="1:62">
      <c r="A125">
        <v>12</v>
      </c>
      <c r="B125">
        <v>9</v>
      </c>
      <c r="C125">
        <v>1589.2</v>
      </c>
      <c r="D125">
        <v>10</v>
      </c>
      <c r="E125">
        <v>7</v>
      </c>
      <c r="F125">
        <v>130</v>
      </c>
      <c r="G125">
        <v>1386.6</v>
      </c>
      <c r="H125">
        <v>740.5</v>
      </c>
      <c r="I125">
        <v>1258.4000000000001</v>
      </c>
      <c r="AR125" t="str">
        <f t="shared" si="98"/>
        <v/>
      </c>
      <c r="AS125" s="25" t="str">
        <f t="shared" si="99"/>
        <v/>
      </c>
      <c r="AT125" t="str">
        <f t="shared" si="100"/>
        <v/>
      </c>
      <c r="AU125" s="25" t="str">
        <f t="shared" si="110"/>
        <v/>
      </c>
      <c r="AV125" t="str">
        <f t="shared" si="102"/>
        <v/>
      </c>
      <c r="AW125" s="25" t="str">
        <f t="shared" si="111"/>
        <v/>
      </c>
      <c r="AX125" t="str">
        <f t="shared" si="103"/>
        <v/>
      </c>
      <c r="AY125" s="25" t="str">
        <f t="shared" si="91"/>
        <v/>
      </c>
      <c r="AZ125" t="str">
        <f t="shared" si="104"/>
        <v/>
      </c>
      <c r="BA125" s="25" t="str">
        <f t="shared" si="92"/>
        <v/>
      </c>
      <c r="BB125" t="str">
        <f t="shared" si="105"/>
        <v/>
      </c>
      <c r="BC125" s="25" t="str">
        <f t="shared" si="93"/>
        <v/>
      </c>
      <c r="BD125" t="str">
        <f t="shared" si="106"/>
        <v/>
      </c>
      <c r="BE125" s="25" t="str">
        <f t="shared" si="94"/>
        <v/>
      </c>
      <c r="BF125" t="str">
        <f t="shared" si="107"/>
        <v/>
      </c>
      <c r="BG125" s="25" t="str">
        <f t="shared" si="95"/>
        <v/>
      </c>
      <c r="BH125" t="str">
        <f t="shared" si="108"/>
        <v/>
      </c>
      <c r="BI125" s="25" t="str">
        <f t="shared" si="96"/>
        <v/>
      </c>
      <c r="BJ125">
        <f t="shared" si="109"/>
        <v>1386.6</v>
      </c>
    </row>
    <row r="126" spans="1:62">
      <c r="A126">
        <v>2</v>
      </c>
      <c r="B126">
        <v>10</v>
      </c>
      <c r="C126">
        <v>1652.8</v>
      </c>
      <c r="D126">
        <v>4</v>
      </c>
      <c r="E126">
        <v>15</v>
      </c>
      <c r="F126">
        <v>125</v>
      </c>
      <c r="G126">
        <v>3279.4</v>
      </c>
      <c r="H126">
        <v>1098.9000000000001</v>
      </c>
      <c r="I126">
        <v>3028.1</v>
      </c>
      <c r="AR126" t="str">
        <f t="shared" si="98"/>
        <v/>
      </c>
      <c r="AS126" s="25" t="str">
        <f t="shared" si="99"/>
        <v/>
      </c>
      <c r="AT126" t="str">
        <f t="shared" si="100"/>
        <v/>
      </c>
      <c r="AU126" s="25" t="str">
        <f t="shared" si="110"/>
        <v/>
      </c>
      <c r="AV126" t="str">
        <f t="shared" si="102"/>
        <v/>
      </c>
      <c r="AW126" s="25" t="str">
        <f t="shared" si="111"/>
        <v/>
      </c>
      <c r="AX126">
        <f t="shared" si="103"/>
        <v>3279.4</v>
      </c>
      <c r="AY126" s="25">
        <f t="shared" si="91"/>
        <v>15</v>
      </c>
      <c r="AZ126" t="str">
        <f t="shared" si="104"/>
        <v/>
      </c>
      <c r="BA126" s="25" t="str">
        <f t="shared" si="92"/>
        <v/>
      </c>
      <c r="BB126" t="str">
        <f t="shared" si="105"/>
        <v/>
      </c>
      <c r="BC126" s="25" t="str">
        <f t="shared" si="93"/>
        <v/>
      </c>
      <c r="BD126" t="str">
        <f t="shared" si="106"/>
        <v/>
      </c>
      <c r="BE126" s="25" t="str">
        <f t="shared" si="94"/>
        <v/>
      </c>
      <c r="BF126" t="str">
        <f t="shared" si="107"/>
        <v/>
      </c>
      <c r="BG126" s="25" t="str">
        <f t="shared" si="95"/>
        <v/>
      </c>
      <c r="BH126" t="str">
        <f t="shared" si="108"/>
        <v/>
      </c>
      <c r="BI126" s="25" t="str">
        <f t="shared" si="96"/>
        <v/>
      </c>
      <c r="BJ126" t="str">
        <f t="shared" si="109"/>
        <v/>
      </c>
    </row>
    <row r="127" spans="1:62">
      <c r="A127">
        <v>16</v>
      </c>
      <c r="B127">
        <v>15</v>
      </c>
      <c r="C127">
        <v>1652.8</v>
      </c>
      <c r="D127">
        <v>11</v>
      </c>
      <c r="E127">
        <v>6</v>
      </c>
      <c r="F127">
        <v>125</v>
      </c>
      <c r="G127">
        <v>910.1</v>
      </c>
      <c r="H127">
        <v>586.9</v>
      </c>
      <c r="I127">
        <v>1943.9</v>
      </c>
      <c r="AR127" t="str">
        <f t="shared" si="98"/>
        <v/>
      </c>
      <c r="AS127" s="25" t="str">
        <f t="shared" si="99"/>
        <v/>
      </c>
      <c r="AT127" t="str">
        <f t="shared" si="100"/>
        <v/>
      </c>
      <c r="AU127" s="25" t="str">
        <f t="shared" si="110"/>
        <v/>
      </c>
      <c r="AV127" t="str">
        <f t="shared" si="102"/>
        <v/>
      </c>
      <c r="AW127" s="25" t="str">
        <f t="shared" si="111"/>
        <v/>
      </c>
      <c r="AX127" t="str">
        <f t="shared" si="103"/>
        <v/>
      </c>
      <c r="AY127" s="25" t="str">
        <f t="shared" si="91"/>
        <v/>
      </c>
      <c r="AZ127" t="str">
        <f t="shared" si="104"/>
        <v/>
      </c>
      <c r="BA127" s="25" t="str">
        <f t="shared" si="92"/>
        <v/>
      </c>
      <c r="BB127" t="str">
        <f t="shared" si="105"/>
        <v/>
      </c>
      <c r="BC127" s="25" t="str">
        <f t="shared" si="93"/>
        <v/>
      </c>
      <c r="BD127" t="str">
        <f t="shared" si="106"/>
        <v/>
      </c>
      <c r="BE127" s="25" t="str">
        <f t="shared" si="94"/>
        <v/>
      </c>
      <c r="BF127" t="str">
        <f t="shared" si="107"/>
        <v/>
      </c>
      <c r="BG127" s="25" t="str">
        <f t="shared" si="95"/>
        <v/>
      </c>
      <c r="BH127" t="str">
        <f t="shared" si="108"/>
        <v/>
      </c>
      <c r="BI127" s="25" t="str">
        <f t="shared" si="96"/>
        <v/>
      </c>
      <c r="BJ127" t="str">
        <f t="shared" si="109"/>
        <v/>
      </c>
    </row>
    <row r="128" spans="1:62">
      <c r="A128">
        <v>12</v>
      </c>
      <c r="B128">
        <v>15</v>
      </c>
      <c r="C128">
        <v>1679.7</v>
      </c>
      <c r="D128">
        <v>10</v>
      </c>
      <c r="E128">
        <v>6</v>
      </c>
      <c r="F128">
        <v>123</v>
      </c>
      <c r="G128">
        <v>843.2</v>
      </c>
      <c r="H128">
        <v>561.4</v>
      </c>
      <c r="I128">
        <v>1620.6</v>
      </c>
      <c r="AR128" t="str">
        <f t="shared" si="98"/>
        <v/>
      </c>
      <c r="AS128" s="25" t="str">
        <f t="shared" si="99"/>
        <v/>
      </c>
      <c r="AT128" t="str">
        <f t="shared" si="100"/>
        <v/>
      </c>
      <c r="AU128" s="25" t="str">
        <f t="shared" si="110"/>
        <v/>
      </c>
      <c r="AV128" t="str">
        <f t="shared" si="102"/>
        <v/>
      </c>
      <c r="AW128" s="25" t="str">
        <f t="shared" si="111"/>
        <v/>
      </c>
      <c r="AX128" t="str">
        <f t="shared" si="103"/>
        <v/>
      </c>
      <c r="AY128" s="25" t="str">
        <f t="shared" si="91"/>
        <v/>
      </c>
      <c r="AZ128" t="str">
        <f t="shared" si="104"/>
        <v/>
      </c>
      <c r="BA128" s="25" t="str">
        <f t="shared" si="92"/>
        <v/>
      </c>
      <c r="BB128" t="str">
        <f t="shared" si="105"/>
        <v/>
      </c>
      <c r="BC128" s="25" t="str">
        <f t="shared" si="93"/>
        <v/>
      </c>
      <c r="BD128" t="str">
        <f t="shared" si="106"/>
        <v/>
      </c>
      <c r="BE128" s="25" t="str">
        <f t="shared" si="94"/>
        <v/>
      </c>
      <c r="BF128" t="str">
        <f t="shared" si="107"/>
        <v/>
      </c>
      <c r="BG128" s="25" t="str">
        <f t="shared" si="95"/>
        <v/>
      </c>
      <c r="BH128" t="str">
        <f t="shared" si="108"/>
        <v/>
      </c>
      <c r="BI128" s="25" t="str">
        <f t="shared" si="96"/>
        <v/>
      </c>
      <c r="BJ128">
        <f t="shared" si="109"/>
        <v>843.2</v>
      </c>
    </row>
    <row r="129" spans="1:62">
      <c r="A129">
        <v>7</v>
      </c>
      <c r="B129">
        <v>14</v>
      </c>
      <c r="C129">
        <v>1812.3</v>
      </c>
      <c r="D129">
        <v>12</v>
      </c>
      <c r="E129">
        <v>2</v>
      </c>
      <c r="F129">
        <v>114</v>
      </c>
      <c r="G129">
        <v>1194.2</v>
      </c>
      <c r="H129">
        <v>719.9</v>
      </c>
      <c r="I129">
        <v>1796.8</v>
      </c>
      <c r="AR129" t="str">
        <f t="shared" si="98"/>
        <v/>
      </c>
      <c r="AS129" s="25" t="str">
        <f t="shared" si="99"/>
        <v/>
      </c>
      <c r="AT129" t="str">
        <f t="shared" si="100"/>
        <v/>
      </c>
      <c r="AU129" s="25" t="str">
        <f t="shared" si="110"/>
        <v/>
      </c>
      <c r="AV129" t="str">
        <f t="shared" si="102"/>
        <v/>
      </c>
      <c r="AW129" s="25" t="str">
        <f t="shared" si="111"/>
        <v/>
      </c>
      <c r="AX129" t="str">
        <f t="shared" si="103"/>
        <v/>
      </c>
      <c r="AY129" s="25" t="str">
        <f t="shared" si="91"/>
        <v/>
      </c>
      <c r="AZ129" t="str">
        <f t="shared" si="104"/>
        <v/>
      </c>
      <c r="BA129" s="25" t="str">
        <f t="shared" si="92"/>
        <v/>
      </c>
      <c r="BB129" t="str">
        <f t="shared" si="105"/>
        <v/>
      </c>
      <c r="BC129" s="25" t="str">
        <f t="shared" si="93"/>
        <v/>
      </c>
      <c r="BD129" t="str">
        <f t="shared" si="106"/>
        <v/>
      </c>
      <c r="BE129" s="25" t="str">
        <f t="shared" si="94"/>
        <v/>
      </c>
      <c r="BF129" t="str">
        <f t="shared" si="107"/>
        <v/>
      </c>
      <c r="BG129" s="25" t="str">
        <f t="shared" si="95"/>
        <v/>
      </c>
      <c r="BH129" t="str">
        <f t="shared" si="108"/>
        <v/>
      </c>
      <c r="BI129" s="25" t="str">
        <f t="shared" si="96"/>
        <v/>
      </c>
      <c r="BJ129" t="str">
        <f t="shared" si="109"/>
        <v/>
      </c>
    </row>
    <row r="130" spans="1:62">
      <c r="A130">
        <v>7</v>
      </c>
      <c r="B130">
        <v>8</v>
      </c>
      <c r="C130">
        <v>1828.3</v>
      </c>
      <c r="D130">
        <v>12</v>
      </c>
      <c r="E130">
        <v>1</v>
      </c>
      <c r="F130">
        <v>113</v>
      </c>
      <c r="G130">
        <v>807</v>
      </c>
      <c r="H130">
        <v>559.9</v>
      </c>
      <c r="I130">
        <v>1631</v>
      </c>
      <c r="AR130" t="str">
        <f t="shared" si="98"/>
        <v/>
      </c>
      <c r="AS130" s="25" t="str">
        <f t="shared" si="99"/>
        <v/>
      </c>
      <c r="AT130" t="str">
        <f t="shared" si="100"/>
        <v/>
      </c>
      <c r="AU130" s="25" t="str">
        <f t="shared" si="110"/>
        <v/>
      </c>
      <c r="AV130" t="str">
        <f t="shared" si="102"/>
        <v/>
      </c>
      <c r="AW130" s="25" t="str">
        <f t="shared" si="111"/>
        <v/>
      </c>
      <c r="AX130" t="str">
        <f t="shared" si="103"/>
        <v/>
      </c>
      <c r="AY130" s="25" t="str">
        <f t="shared" si="91"/>
        <v/>
      </c>
      <c r="AZ130" t="str">
        <f t="shared" si="104"/>
        <v/>
      </c>
      <c r="BA130" s="25" t="str">
        <f t="shared" si="92"/>
        <v/>
      </c>
      <c r="BB130" t="str">
        <f t="shared" si="105"/>
        <v/>
      </c>
      <c r="BC130" s="25" t="str">
        <f t="shared" si="93"/>
        <v/>
      </c>
      <c r="BD130" t="str">
        <f t="shared" si="106"/>
        <v/>
      </c>
      <c r="BE130" s="25" t="str">
        <f t="shared" si="94"/>
        <v/>
      </c>
      <c r="BF130" t="str">
        <f t="shared" si="107"/>
        <v/>
      </c>
      <c r="BG130" s="25" t="str">
        <f t="shared" si="95"/>
        <v/>
      </c>
      <c r="BH130" t="str">
        <f t="shared" si="108"/>
        <v/>
      </c>
      <c r="BI130" s="25" t="str">
        <f t="shared" si="96"/>
        <v/>
      </c>
      <c r="BJ130" t="str">
        <f t="shared" si="109"/>
        <v/>
      </c>
    </row>
    <row r="131" spans="1:62">
      <c r="A131">
        <v>15</v>
      </c>
      <c r="B131">
        <v>4</v>
      </c>
      <c r="C131">
        <v>1828.3</v>
      </c>
      <c r="D131">
        <v>6</v>
      </c>
      <c r="E131">
        <v>14</v>
      </c>
      <c r="F131">
        <v>113</v>
      </c>
      <c r="G131">
        <v>3387</v>
      </c>
      <c r="H131">
        <v>1187.4000000000001</v>
      </c>
      <c r="I131">
        <v>2912.1</v>
      </c>
      <c r="AR131" t="str">
        <f t="shared" si="98"/>
        <v/>
      </c>
      <c r="AS131" s="25" t="str">
        <f t="shared" si="99"/>
        <v/>
      </c>
      <c r="AT131" t="str">
        <f t="shared" si="100"/>
        <v/>
      </c>
      <c r="AU131" s="25" t="str">
        <f t="shared" si="110"/>
        <v/>
      </c>
      <c r="AV131" t="str">
        <f t="shared" si="102"/>
        <v/>
      </c>
      <c r="AW131" s="25" t="str">
        <f t="shared" si="111"/>
        <v/>
      </c>
      <c r="AX131" t="str">
        <f t="shared" si="103"/>
        <v/>
      </c>
      <c r="AY131" s="25" t="str">
        <f t="shared" si="91"/>
        <v/>
      </c>
      <c r="AZ131" t="str">
        <f t="shared" si="104"/>
        <v/>
      </c>
      <c r="BA131" s="25" t="str">
        <f t="shared" si="92"/>
        <v/>
      </c>
      <c r="BB131">
        <f t="shared" si="105"/>
        <v>3387</v>
      </c>
      <c r="BC131" s="25">
        <f t="shared" si="93"/>
        <v>14</v>
      </c>
      <c r="BD131" t="str">
        <f t="shared" si="106"/>
        <v/>
      </c>
      <c r="BE131" s="25" t="str">
        <f t="shared" si="94"/>
        <v/>
      </c>
      <c r="BF131" t="str">
        <f t="shared" si="107"/>
        <v/>
      </c>
      <c r="BG131" s="25" t="str">
        <f t="shared" si="95"/>
        <v/>
      </c>
      <c r="BH131" t="str">
        <f t="shared" si="108"/>
        <v/>
      </c>
      <c r="BI131" s="25" t="str">
        <f t="shared" si="96"/>
        <v/>
      </c>
      <c r="BJ131" t="str">
        <f t="shared" si="109"/>
        <v/>
      </c>
    </row>
    <row r="132" spans="1:62">
      <c r="A132">
        <v>10</v>
      </c>
      <c r="B132">
        <v>8</v>
      </c>
      <c r="C132">
        <v>1844.7</v>
      </c>
      <c r="D132">
        <v>15</v>
      </c>
      <c r="E132">
        <v>1</v>
      </c>
      <c r="F132">
        <v>112</v>
      </c>
      <c r="G132">
        <v>910.1</v>
      </c>
      <c r="H132">
        <v>609.4</v>
      </c>
      <c r="I132">
        <v>2390.1</v>
      </c>
      <c r="AR132" t="str">
        <f t="shared" si="98"/>
        <v/>
      </c>
      <c r="AS132" s="25" t="str">
        <f t="shared" si="99"/>
        <v/>
      </c>
      <c r="AT132" t="str">
        <f t="shared" si="100"/>
        <v/>
      </c>
      <c r="AU132" s="25" t="str">
        <f t="shared" si="110"/>
        <v/>
      </c>
      <c r="AV132" t="str">
        <f t="shared" si="102"/>
        <v/>
      </c>
      <c r="AW132" s="25" t="str">
        <f t="shared" si="111"/>
        <v/>
      </c>
      <c r="AX132" t="str">
        <f t="shared" si="103"/>
        <v/>
      </c>
      <c r="AY132" s="25" t="str">
        <f t="shared" si="91"/>
        <v/>
      </c>
      <c r="AZ132" t="str">
        <f t="shared" si="104"/>
        <v/>
      </c>
      <c r="BA132" s="25" t="str">
        <f t="shared" si="92"/>
        <v/>
      </c>
      <c r="BB132" t="str">
        <f t="shared" si="105"/>
        <v/>
      </c>
      <c r="BC132" s="25" t="str">
        <f t="shared" si="93"/>
        <v/>
      </c>
      <c r="BD132" t="str">
        <f t="shared" si="106"/>
        <v/>
      </c>
      <c r="BE132" s="25" t="str">
        <f t="shared" si="94"/>
        <v/>
      </c>
      <c r="BF132" t="str">
        <f t="shared" si="107"/>
        <v/>
      </c>
      <c r="BG132" s="25" t="str">
        <f t="shared" si="95"/>
        <v/>
      </c>
      <c r="BH132" t="str">
        <f t="shared" si="108"/>
        <v/>
      </c>
      <c r="BI132" s="25" t="str">
        <f t="shared" si="96"/>
        <v/>
      </c>
      <c r="BJ132" t="str">
        <f t="shared" si="109"/>
        <v/>
      </c>
    </row>
    <row r="133" spans="1:62">
      <c r="A133">
        <v>13</v>
      </c>
      <c r="B133">
        <v>10</v>
      </c>
      <c r="C133">
        <v>1895.4</v>
      </c>
      <c r="D133">
        <v>5</v>
      </c>
      <c r="E133">
        <v>15</v>
      </c>
      <c r="F133">
        <v>109</v>
      </c>
      <c r="G133">
        <v>2869.5</v>
      </c>
      <c r="H133">
        <v>1141.4000000000001</v>
      </c>
      <c r="I133">
        <v>2559.1</v>
      </c>
      <c r="AR133" t="str">
        <f t="shared" si="98"/>
        <v/>
      </c>
      <c r="AS133" s="25" t="str">
        <f t="shared" si="99"/>
        <v/>
      </c>
      <c r="AT133" t="str">
        <f t="shared" si="100"/>
        <v/>
      </c>
      <c r="AU133" s="25" t="str">
        <f t="shared" si="110"/>
        <v/>
      </c>
      <c r="AV133" t="str">
        <f t="shared" si="102"/>
        <v/>
      </c>
      <c r="AW133" s="25" t="str">
        <f t="shared" si="111"/>
        <v/>
      </c>
      <c r="AX133" t="str">
        <f t="shared" si="103"/>
        <v/>
      </c>
      <c r="AY133" s="25" t="str">
        <f t="shared" ref="AY133:AY150" si="112">IFERROR(IF(AX133="","",$E133),"")</f>
        <v/>
      </c>
      <c r="AZ133">
        <f t="shared" si="104"/>
        <v>2869.5</v>
      </c>
      <c r="BA133" s="25">
        <f t="shared" ref="BA133:BA150" si="113">IFERROR(IF(AZ133="","",$E133),"")</f>
        <v>15</v>
      </c>
      <c r="BB133" t="str">
        <f t="shared" si="105"/>
        <v/>
      </c>
      <c r="BC133" s="25" t="str">
        <f t="shared" ref="BC133:BC150" si="114">IFERROR(IF(BB133="","",$E133),"")</f>
        <v/>
      </c>
      <c r="BD133" t="str">
        <f t="shared" si="106"/>
        <v/>
      </c>
      <c r="BE133" s="25" t="str">
        <f t="shared" ref="BE133:BE150" si="115">IFERROR(IF(BD133="","",$E133),"")</f>
        <v/>
      </c>
      <c r="BF133" t="str">
        <f t="shared" si="107"/>
        <v/>
      </c>
      <c r="BG133" s="25" t="str">
        <f t="shared" ref="BG133:BG150" si="116">IFERROR(IF(BF133="","",$E133),"")</f>
        <v/>
      </c>
      <c r="BH133" t="str">
        <f t="shared" si="108"/>
        <v/>
      </c>
      <c r="BI133" s="25" t="str">
        <f t="shared" ref="BI133:BI150" si="117">IFERROR(IF(BH133="","",$E133),"")</f>
        <v/>
      </c>
      <c r="BJ133" t="str">
        <f t="shared" si="109"/>
        <v/>
      </c>
    </row>
    <row r="134" spans="1:62">
      <c r="A134">
        <v>4</v>
      </c>
      <c r="B134">
        <v>1</v>
      </c>
      <c r="C134">
        <v>1913</v>
      </c>
      <c r="D134">
        <v>14</v>
      </c>
      <c r="E134">
        <v>3</v>
      </c>
      <c r="F134">
        <v>108</v>
      </c>
      <c r="G134">
        <v>979.1</v>
      </c>
      <c r="H134">
        <v>647.6</v>
      </c>
      <c r="I134">
        <v>1715.7</v>
      </c>
      <c r="AR134" t="str">
        <f t="shared" ref="AR134:AR150" si="118">IF($D134=AR$4,$G134,"")</f>
        <v/>
      </c>
      <c r="AS134" s="25" t="str">
        <f t="shared" ref="AS134:AS150" si="119">IFERROR(IF(AR134="","",E134),"")</f>
        <v/>
      </c>
      <c r="AT134" t="str">
        <f t="shared" ref="AT134:AT150" si="120">IF($D134=AT$4,$G134,"")</f>
        <v/>
      </c>
      <c r="AU134" s="25" t="str">
        <f t="shared" si="110"/>
        <v/>
      </c>
      <c r="AV134" t="str">
        <f t="shared" ref="AV134:AV150" si="121">IF($D134=AV$4,$G134,"")</f>
        <v/>
      </c>
      <c r="AW134" s="25" t="str">
        <f t="shared" si="111"/>
        <v/>
      </c>
      <c r="AX134" t="str">
        <f t="shared" ref="AX134:AX150" si="122">IF($D134=AX$4,$G134,"")</f>
        <v/>
      </c>
      <c r="AY134" s="25" t="str">
        <f t="shared" si="112"/>
        <v/>
      </c>
      <c r="AZ134" t="str">
        <f t="shared" ref="AZ134:AZ150" si="123">IF($D134=AZ$4,$G134,"")</f>
        <v/>
      </c>
      <c r="BA134" s="25" t="str">
        <f t="shared" si="113"/>
        <v/>
      </c>
      <c r="BB134" t="str">
        <f t="shared" ref="BB134:BB150" si="124">IF($D134=BB$4,$G134,"")</f>
        <v/>
      </c>
      <c r="BC134" s="25" t="str">
        <f t="shared" si="114"/>
        <v/>
      </c>
      <c r="BD134" t="str">
        <f t="shared" ref="BD134:BD150" si="125">IF($D134=BD$4,$G134,"")</f>
        <v/>
      </c>
      <c r="BE134" s="25" t="str">
        <f t="shared" si="115"/>
        <v/>
      </c>
      <c r="BF134" t="str">
        <f t="shared" ref="BF134:BF150" si="126">IF($D134=BF$4,$G134,"")</f>
        <v/>
      </c>
      <c r="BG134" s="25" t="str">
        <f t="shared" si="116"/>
        <v/>
      </c>
      <c r="BH134" t="str">
        <f t="shared" ref="BH134:BH150" si="127">IF($D134=BH$4,$G134,"")</f>
        <v/>
      </c>
      <c r="BI134" s="25" t="str">
        <f t="shared" si="117"/>
        <v/>
      </c>
      <c r="BJ134" t="str">
        <f t="shared" ref="BJ134:BJ150" si="128">IF($D134=BJ$4,$G134,"")</f>
        <v/>
      </c>
    </row>
    <row r="135" spans="1:62">
      <c r="A135">
        <v>4</v>
      </c>
      <c r="B135">
        <v>2</v>
      </c>
      <c r="C135">
        <v>1967.6</v>
      </c>
      <c r="D135">
        <v>14</v>
      </c>
      <c r="E135">
        <v>4</v>
      </c>
      <c r="F135">
        <v>105</v>
      </c>
      <c r="G135">
        <v>1244.5999999999999</v>
      </c>
      <c r="H135">
        <v>762.4</v>
      </c>
      <c r="I135">
        <v>1853.8</v>
      </c>
      <c r="AR135" t="str">
        <f t="shared" si="118"/>
        <v/>
      </c>
      <c r="AS135" s="25" t="str">
        <f t="shared" si="119"/>
        <v/>
      </c>
      <c r="AT135" t="str">
        <f t="shared" si="120"/>
        <v/>
      </c>
      <c r="AU135" s="25" t="str">
        <f t="shared" si="110"/>
        <v/>
      </c>
      <c r="AV135" t="str">
        <f t="shared" si="121"/>
        <v/>
      </c>
      <c r="AW135" s="25" t="str">
        <f t="shared" si="111"/>
        <v/>
      </c>
      <c r="AX135" t="str">
        <f t="shared" si="122"/>
        <v/>
      </c>
      <c r="AY135" s="25" t="str">
        <f t="shared" si="112"/>
        <v/>
      </c>
      <c r="AZ135" t="str">
        <f t="shared" si="123"/>
        <v/>
      </c>
      <c r="BA135" s="25" t="str">
        <f t="shared" si="113"/>
        <v/>
      </c>
      <c r="BB135" t="str">
        <f t="shared" si="124"/>
        <v/>
      </c>
      <c r="BC135" s="25" t="str">
        <f t="shared" si="114"/>
        <v/>
      </c>
      <c r="BD135" t="str">
        <f t="shared" si="125"/>
        <v/>
      </c>
      <c r="BE135" s="25" t="str">
        <f t="shared" si="115"/>
        <v/>
      </c>
      <c r="BF135" t="str">
        <f t="shared" si="126"/>
        <v/>
      </c>
      <c r="BG135" s="25" t="str">
        <f t="shared" si="116"/>
        <v/>
      </c>
      <c r="BH135" t="str">
        <f t="shared" si="127"/>
        <v/>
      </c>
      <c r="BI135" s="25" t="str">
        <f t="shared" si="117"/>
        <v/>
      </c>
      <c r="BJ135" t="str">
        <f t="shared" si="128"/>
        <v/>
      </c>
    </row>
    <row r="136" spans="1:62">
      <c r="A136">
        <v>6</v>
      </c>
      <c r="B136">
        <v>1</v>
      </c>
      <c r="C136">
        <v>1967.6</v>
      </c>
      <c r="D136">
        <v>13</v>
      </c>
      <c r="E136">
        <v>3</v>
      </c>
      <c r="F136">
        <v>105</v>
      </c>
      <c r="G136">
        <v>993.3</v>
      </c>
      <c r="H136">
        <v>660.1</v>
      </c>
      <c r="I136">
        <v>2117.1999999999998</v>
      </c>
      <c r="AR136" t="str">
        <f t="shared" si="118"/>
        <v/>
      </c>
      <c r="AS136" s="25" t="str">
        <f t="shared" si="119"/>
        <v/>
      </c>
      <c r="AT136" t="str">
        <f t="shared" si="120"/>
        <v/>
      </c>
      <c r="AU136" s="25" t="str">
        <f t="shared" si="110"/>
        <v/>
      </c>
      <c r="AV136" t="str">
        <f t="shared" si="121"/>
        <v/>
      </c>
      <c r="AW136" s="25" t="str">
        <f t="shared" si="111"/>
        <v/>
      </c>
      <c r="AX136" t="str">
        <f t="shared" si="122"/>
        <v/>
      </c>
      <c r="AY136" s="25" t="str">
        <f t="shared" si="112"/>
        <v/>
      </c>
      <c r="AZ136" t="str">
        <f t="shared" si="123"/>
        <v/>
      </c>
      <c r="BA136" s="25" t="str">
        <f t="shared" si="113"/>
        <v/>
      </c>
      <c r="BB136" t="str">
        <f t="shared" si="124"/>
        <v/>
      </c>
      <c r="BC136" s="25" t="str">
        <f t="shared" si="114"/>
        <v/>
      </c>
      <c r="BD136" t="str">
        <f t="shared" si="125"/>
        <v/>
      </c>
      <c r="BE136" s="25" t="str">
        <f t="shared" si="115"/>
        <v/>
      </c>
      <c r="BF136" t="str">
        <f t="shared" si="126"/>
        <v/>
      </c>
      <c r="BG136" s="25" t="str">
        <f t="shared" si="116"/>
        <v/>
      </c>
      <c r="BH136" t="str">
        <f t="shared" si="127"/>
        <v/>
      </c>
      <c r="BI136" s="25" t="str">
        <f t="shared" si="117"/>
        <v/>
      </c>
      <c r="BJ136" t="str">
        <f t="shared" si="128"/>
        <v/>
      </c>
    </row>
    <row r="137" spans="1:62">
      <c r="A137">
        <v>6</v>
      </c>
      <c r="B137">
        <v>2</v>
      </c>
      <c r="C137">
        <v>1967.6</v>
      </c>
      <c r="D137">
        <v>13</v>
      </c>
      <c r="E137">
        <v>4</v>
      </c>
      <c r="F137">
        <v>105</v>
      </c>
      <c r="G137">
        <v>1160.7</v>
      </c>
      <c r="H137">
        <v>730</v>
      </c>
      <c r="I137">
        <v>1755.3</v>
      </c>
      <c r="AR137" t="str">
        <f t="shared" si="118"/>
        <v/>
      </c>
      <c r="AS137" s="25" t="str">
        <f t="shared" si="119"/>
        <v/>
      </c>
      <c r="AT137" t="str">
        <f t="shared" si="120"/>
        <v/>
      </c>
      <c r="AU137" s="25" t="str">
        <f t="shared" si="110"/>
        <v/>
      </c>
      <c r="AV137" t="str">
        <f t="shared" si="121"/>
        <v/>
      </c>
      <c r="AW137" s="25" t="str">
        <f t="shared" si="111"/>
        <v/>
      </c>
      <c r="AX137" t="str">
        <f t="shared" si="122"/>
        <v/>
      </c>
      <c r="AY137" s="25" t="str">
        <f t="shared" si="112"/>
        <v/>
      </c>
      <c r="AZ137" t="str">
        <f t="shared" si="123"/>
        <v/>
      </c>
      <c r="BA137" s="25" t="str">
        <f t="shared" si="113"/>
        <v/>
      </c>
      <c r="BB137" t="str">
        <f t="shared" si="124"/>
        <v/>
      </c>
      <c r="BC137" s="25" t="str">
        <f t="shared" si="114"/>
        <v/>
      </c>
      <c r="BD137" t="str">
        <f t="shared" si="125"/>
        <v/>
      </c>
      <c r="BE137" s="25" t="str">
        <f t="shared" si="115"/>
        <v/>
      </c>
      <c r="BF137" t="str">
        <f t="shared" si="126"/>
        <v/>
      </c>
      <c r="BG137" s="25" t="str">
        <f t="shared" si="116"/>
        <v/>
      </c>
      <c r="BH137" t="str">
        <f t="shared" si="127"/>
        <v/>
      </c>
      <c r="BI137" s="25" t="str">
        <f t="shared" si="117"/>
        <v/>
      </c>
      <c r="BJ137" t="str">
        <f t="shared" si="128"/>
        <v/>
      </c>
    </row>
    <row r="138" spans="1:62">
      <c r="A138">
        <v>4</v>
      </c>
      <c r="B138">
        <v>13</v>
      </c>
      <c r="C138">
        <v>1986.6</v>
      </c>
      <c r="D138">
        <v>14</v>
      </c>
      <c r="E138">
        <v>5</v>
      </c>
      <c r="F138">
        <v>104</v>
      </c>
      <c r="G138">
        <v>1252.0999999999999</v>
      </c>
      <c r="H138">
        <v>768</v>
      </c>
      <c r="I138">
        <v>3363.1</v>
      </c>
      <c r="AR138" t="str">
        <f t="shared" si="118"/>
        <v/>
      </c>
      <c r="AS138" s="25" t="str">
        <f t="shared" si="119"/>
        <v/>
      </c>
      <c r="AT138" t="str">
        <f t="shared" si="120"/>
        <v/>
      </c>
      <c r="AU138" s="25" t="str">
        <f t="shared" si="110"/>
        <v/>
      </c>
      <c r="AV138" t="str">
        <f t="shared" si="121"/>
        <v/>
      </c>
      <c r="AW138" s="25" t="str">
        <f t="shared" si="111"/>
        <v/>
      </c>
      <c r="AX138" t="str">
        <f t="shared" si="122"/>
        <v/>
      </c>
      <c r="AY138" s="25" t="str">
        <f t="shared" si="112"/>
        <v/>
      </c>
      <c r="AZ138" t="str">
        <f t="shared" si="123"/>
        <v/>
      </c>
      <c r="BA138" s="25" t="str">
        <f t="shared" si="113"/>
        <v/>
      </c>
      <c r="BB138" t="str">
        <f t="shared" si="124"/>
        <v/>
      </c>
      <c r="BC138" s="25" t="str">
        <f t="shared" si="114"/>
        <v/>
      </c>
      <c r="BD138" t="str">
        <f t="shared" si="125"/>
        <v/>
      </c>
      <c r="BE138" s="25" t="str">
        <f t="shared" si="115"/>
        <v/>
      </c>
      <c r="BF138" t="str">
        <f t="shared" si="126"/>
        <v/>
      </c>
      <c r="BG138" s="25" t="str">
        <f t="shared" si="116"/>
        <v/>
      </c>
      <c r="BH138" t="str">
        <f t="shared" si="127"/>
        <v/>
      </c>
      <c r="BI138" s="25" t="str">
        <f t="shared" si="117"/>
        <v/>
      </c>
      <c r="BJ138" t="str">
        <f t="shared" si="128"/>
        <v/>
      </c>
    </row>
    <row r="139" spans="1:62">
      <c r="A139">
        <v>3</v>
      </c>
      <c r="B139">
        <v>8</v>
      </c>
      <c r="C139">
        <v>2005.9</v>
      </c>
      <c r="D139">
        <v>16</v>
      </c>
      <c r="E139">
        <v>1</v>
      </c>
      <c r="F139">
        <v>103</v>
      </c>
      <c r="G139">
        <v>1048.7</v>
      </c>
      <c r="H139">
        <v>688.7</v>
      </c>
      <c r="I139">
        <v>3207</v>
      </c>
      <c r="AR139" t="str">
        <f t="shared" si="118"/>
        <v/>
      </c>
      <c r="AS139" s="25" t="str">
        <f t="shared" si="119"/>
        <v/>
      </c>
      <c r="AT139" t="str">
        <f t="shared" si="120"/>
        <v/>
      </c>
      <c r="AU139" s="25" t="str">
        <f t="shared" si="110"/>
        <v/>
      </c>
      <c r="AV139" t="str">
        <f t="shared" si="121"/>
        <v/>
      </c>
      <c r="AW139" s="25" t="str">
        <f t="shared" si="111"/>
        <v/>
      </c>
      <c r="AX139" t="str">
        <f t="shared" si="122"/>
        <v/>
      </c>
      <c r="AY139" s="25" t="str">
        <f t="shared" si="112"/>
        <v/>
      </c>
      <c r="AZ139" t="str">
        <f t="shared" si="123"/>
        <v/>
      </c>
      <c r="BA139" s="25" t="str">
        <f t="shared" si="113"/>
        <v/>
      </c>
      <c r="BB139" t="str">
        <f t="shared" si="124"/>
        <v/>
      </c>
      <c r="BC139" s="25" t="str">
        <f t="shared" si="114"/>
        <v/>
      </c>
      <c r="BD139" t="str">
        <f t="shared" si="125"/>
        <v/>
      </c>
      <c r="BE139" s="25" t="str">
        <f t="shared" si="115"/>
        <v/>
      </c>
      <c r="BF139" t="str">
        <f t="shared" si="126"/>
        <v/>
      </c>
      <c r="BG139" s="25" t="str">
        <f t="shared" si="116"/>
        <v/>
      </c>
      <c r="BH139" t="str">
        <f t="shared" si="127"/>
        <v/>
      </c>
      <c r="BI139" s="25" t="str">
        <f t="shared" si="117"/>
        <v/>
      </c>
      <c r="BJ139" t="str">
        <f t="shared" si="128"/>
        <v/>
      </c>
    </row>
    <row r="140" spans="1:62">
      <c r="A140">
        <v>4</v>
      </c>
      <c r="B140">
        <v>14</v>
      </c>
      <c r="C140">
        <v>2005.9</v>
      </c>
      <c r="D140">
        <v>14</v>
      </c>
      <c r="E140">
        <v>2</v>
      </c>
      <c r="F140">
        <v>103</v>
      </c>
      <c r="G140">
        <v>1350.3</v>
      </c>
      <c r="H140">
        <v>807</v>
      </c>
      <c r="I140">
        <v>2043.2</v>
      </c>
      <c r="AR140" t="str">
        <f t="shared" si="118"/>
        <v/>
      </c>
      <c r="AS140" s="25" t="str">
        <f t="shared" si="119"/>
        <v/>
      </c>
      <c r="AT140" t="str">
        <f t="shared" si="120"/>
        <v/>
      </c>
      <c r="AU140" s="25" t="str">
        <f t="shared" si="110"/>
        <v/>
      </c>
      <c r="AV140" t="str">
        <f t="shared" si="121"/>
        <v/>
      </c>
      <c r="AW140" s="25" t="str">
        <f t="shared" si="111"/>
        <v/>
      </c>
      <c r="AX140" t="str">
        <f t="shared" si="122"/>
        <v/>
      </c>
      <c r="AY140" s="25" t="str">
        <f t="shared" si="112"/>
        <v/>
      </c>
      <c r="AZ140" t="str">
        <f t="shared" si="123"/>
        <v/>
      </c>
      <c r="BA140" s="25" t="str">
        <f t="shared" si="113"/>
        <v/>
      </c>
      <c r="BB140" t="str">
        <f t="shared" si="124"/>
        <v/>
      </c>
      <c r="BC140" s="25" t="str">
        <f t="shared" si="114"/>
        <v/>
      </c>
      <c r="BD140" t="str">
        <f t="shared" si="125"/>
        <v/>
      </c>
      <c r="BE140" s="25" t="str">
        <f t="shared" si="115"/>
        <v/>
      </c>
      <c r="BF140" t="str">
        <f t="shared" si="126"/>
        <v/>
      </c>
      <c r="BG140" s="25" t="str">
        <f t="shared" si="116"/>
        <v/>
      </c>
      <c r="BH140" t="str">
        <f t="shared" si="127"/>
        <v/>
      </c>
      <c r="BI140" s="25" t="str">
        <f t="shared" si="117"/>
        <v/>
      </c>
      <c r="BJ140" t="str">
        <f t="shared" si="128"/>
        <v/>
      </c>
    </row>
    <row r="141" spans="1:62">
      <c r="A141">
        <v>14</v>
      </c>
      <c r="B141">
        <v>3</v>
      </c>
      <c r="C141">
        <v>2066</v>
      </c>
      <c r="D141">
        <v>2</v>
      </c>
      <c r="E141">
        <v>16</v>
      </c>
      <c r="F141">
        <v>100</v>
      </c>
      <c r="G141">
        <v>4491.3999999999996</v>
      </c>
      <c r="H141">
        <v>1415.1</v>
      </c>
      <c r="I141">
        <v>2611.9</v>
      </c>
      <c r="AR141" t="str">
        <f t="shared" si="118"/>
        <v/>
      </c>
      <c r="AS141" s="25" t="str">
        <f t="shared" si="119"/>
        <v/>
      </c>
      <c r="AT141">
        <f t="shared" si="120"/>
        <v>4491.3999999999996</v>
      </c>
      <c r="AU141" s="25">
        <f t="shared" si="110"/>
        <v>16</v>
      </c>
      <c r="AV141" t="str">
        <f t="shared" si="121"/>
        <v/>
      </c>
      <c r="AW141" s="25" t="str">
        <f t="shared" si="111"/>
        <v/>
      </c>
      <c r="AX141" t="str">
        <f t="shared" si="122"/>
        <v/>
      </c>
      <c r="AY141" s="25" t="str">
        <f t="shared" si="112"/>
        <v/>
      </c>
      <c r="AZ141" t="str">
        <f t="shared" si="123"/>
        <v/>
      </c>
      <c r="BA141" s="25" t="str">
        <f t="shared" si="113"/>
        <v/>
      </c>
      <c r="BB141" t="str">
        <f t="shared" si="124"/>
        <v/>
      </c>
      <c r="BC141" s="25" t="str">
        <f t="shared" si="114"/>
        <v/>
      </c>
      <c r="BD141" t="str">
        <f t="shared" si="125"/>
        <v/>
      </c>
      <c r="BE141" s="25" t="str">
        <f t="shared" si="115"/>
        <v/>
      </c>
      <c r="BF141" t="str">
        <f t="shared" si="126"/>
        <v/>
      </c>
      <c r="BG141" s="25" t="str">
        <f t="shared" si="116"/>
        <v/>
      </c>
      <c r="BH141" t="str">
        <f t="shared" si="127"/>
        <v/>
      </c>
      <c r="BI141" s="25" t="str">
        <f t="shared" si="117"/>
        <v/>
      </c>
      <c r="BJ141" t="str">
        <f t="shared" si="128"/>
        <v/>
      </c>
    </row>
    <row r="142" spans="1:62">
      <c r="A142">
        <v>6</v>
      </c>
      <c r="B142">
        <v>13</v>
      </c>
      <c r="C142">
        <v>2174.8000000000002</v>
      </c>
      <c r="D142">
        <v>13</v>
      </c>
      <c r="E142">
        <v>5</v>
      </c>
      <c r="F142">
        <v>95</v>
      </c>
      <c r="G142">
        <v>1508</v>
      </c>
      <c r="H142">
        <v>890.5</v>
      </c>
      <c r="I142">
        <v>3378</v>
      </c>
      <c r="AR142" t="str">
        <f t="shared" si="118"/>
        <v/>
      </c>
      <c r="AS142" s="25" t="str">
        <f t="shared" si="119"/>
        <v/>
      </c>
      <c r="AT142" t="str">
        <f t="shared" si="120"/>
        <v/>
      </c>
      <c r="AU142" s="25" t="str">
        <f t="shared" si="110"/>
        <v/>
      </c>
      <c r="AV142" t="str">
        <f t="shared" si="121"/>
        <v/>
      </c>
      <c r="AW142" s="25" t="str">
        <f t="shared" si="111"/>
        <v/>
      </c>
      <c r="AX142" t="str">
        <f t="shared" si="122"/>
        <v/>
      </c>
      <c r="AY142" s="25" t="str">
        <f t="shared" si="112"/>
        <v/>
      </c>
      <c r="AZ142" t="str">
        <f t="shared" si="123"/>
        <v/>
      </c>
      <c r="BA142" s="25" t="str">
        <f t="shared" si="113"/>
        <v/>
      </c>
      <c r="BB142" t="str">
        <f t="shared" si="124"/>
        <v/>
      </c>
      <c r="BC142" s="25" t="str">
        <f t="shared" si="114"/>
        <v/>
      </c>
      <c r="BD142" t="str">
        <f t="shared" si="125"/>
        <v/>
      </c>
      <c r="BE142" s="25" t="str">
        <f t="shared" si="115"/>
        <v/>
      </c>
      <c r="BF142" t="str">
        <f t="shared" si="126"/>
        <v/>
      </c>
      <c r="BG142" s="25" t="str">
        <f t="shared" si="116"/>
        <v/>
      </c>
      <c r="BH142" t="str">
        <f t="shared" si="127"/>
        <v/>
      </c>
      <c r="BI142" s="25" t="str">
        <f t="shared" si="117"/>
        <v/>
      </c>
      <c r="BJ142" t="str">
        <f t="shared" si="128"/>
        <v/>
      </c>
    </row>
    <row r="143" spans="1:62">
      <c r="A143">
        <v>7</v>
      </c>
      <c r="B143">
        <v>2</v>
      </c>
      <c r="C143">
        <v>2197.9</v>
      </c>
      <c r="D143">
        <v>12</v>
      </c>
      <c r="E143">
        <v>4</v>
      </c>
      <c r="F143">
        <v>94</v>
      </c>
      <c r="G143">
        <v>1395.9</v>
      </c>
      <c r="H143">
        <v>853.7</v>
      </c>
      <c r="I143">
        <v>2026.8</v>
      </c>
      <c r="AR143" t="str">
        <f t="shared" si="118"/>
        <v/>
      </c>
      <c r="AS143" s="25" t="str">
        <f t="shared" si="119"/>
        <v/>
      </c>
      <c r="AT143" t="str">
        <f t="shared" si="120"/>
        <v/>
      </c>
      <c r="AU143" s="25" t="str">
        <f t="shared" si="110"/>
        <v/>
      </c>
      <c r="AV143" t="str">
        <f t="shared" si="121"/>
        <v/>
      </c>
      <c r="AW143" s="25" t="str">
        <f t="shared" si="111"/>
        <v/>
      </c>
      <c r="AX143" t="str">
        <f t="shared" si="122"/>
        <v/>
      </c>
      <c r="AY143" s="25" t="str">
        <f t="shared" si="112"/>
        <v/>
      </c>
      <c r="AZ143" t="str">
        <f t="shared" si="123"/>
        <v/>
      </c>
      <c r="BA143" s="25" t="str">
        <f t="shared" si="113"/>
        <v/>
      </c>
      <c r="BB143" t="str">
        <f t="shared" si="124"/>
        <v/>
      </c>
      <c r="BC143" s="25" t="str">
        <f t="shared" si="114"/>
        <v/>
      </c>
      <c r="BD143" t="str">
        <f t="shared" si="125"/>
        <v/>
      </c>
      <c r="BE143" s="25" t="str">
        <f t="shared" si="115"/>
        <v/>
      </c>
      <c r="BF143" t="str">
        <f t="shared" si="126"/>
        <v/>
      </c>
      <c r="BG143" s="25" t="str">
        <f t="shared" si="116"/>
        <v/>
      </c>
      <c r="BH143" t="str">
        <f t="shared" si="127"/>
        <v/>
      </c>
      <c r="BI143" s="25" t="str">
        <f t="shared" si="117"/>
        <v/>
      </c>
      <c r="BJ143" t="str">
        <f t="shared" si="128"/>
        <v/>
      </c>
    </row>
    <row r="144" spans="1:62">
      <c r="A144">
        <v>15</v>
      </c>
      <c r="B144">
        <v>6</v>
      </c>
      <c r="C144">
        <v>2221.5</v>
      </c>
      <c r="D144">
        <v>6</v>
      </c>
      <c r="E144">
        <v>13</v>
      </c>
      <c r="F144">
        <v>93</v>
      </c>
      <c r="G144">
        <v>3756.5</v>
      </c>
      <c r="H144">
        <v>1396</v>
      </c>
      <c r="I144">
        <v>3551.7</v>
      </c>
      <c r="AR144" t="str">
        <f t="shared" si="118"/>
        <v/>
      </c>
      <c r="AS144" s="25" t="str">
        <f t="shared" si="119"/>
        <v/>
      </c>
      <c r="AT144" t="str">
        <f t="shared" si="120"/>
        <v/>
      </c>
      <c r="AU144" s="25" t="str">
        <f t="shared" si="110"/>
        <v/>
      </c>
      <c r="AV144" t="str">
        <f t="shared" si="121"/>
        <v/>
      </c>
      <c r="AW144" s="25" t="str">
        <f t="shared" si="111"/>
        <v/>
      </c>
      <c r="AX144" t="str">
        <f t="shared" si="122"/>
        <v/>
      </c>
      <c r="AY144" s="25" t="str">
        <f t="shared" si="112"/>
        <v/>
      </c>
      <c r="AZ144" t="str">
        <f t="shared" si="123"/>
        <v/>
      </c>
      <c r="BA144" s="25" t="str">
        <f t="shared" si="113"/>
        <v/>
      </c>
      <c r="BB144">
        <f t="shared" si="124"/>
        <v>3756.5</v>
      </c>
      <c r="BC144" s="25">
        <f t="shared" si="114"/>
        <v>13</v>
      </c>
      <c r="BD144" t="str">
        <f t="shared" si="125"/>
        <v/>
      </c>
      <c r="BE144" s="25" t="str">
        <f t="shared" si="115"/>
        <v/>
      </c>
      <c r="BF144" t="str">
        <f t="shared" si="126"/>
        <v/>
      </c>
      <c r="BG144" s="25" t="str">
        <f t="shared" si="116"/>
        <v/>
      </c>
      <c r="BH144" t="str">
        <f t="shared" si="127"/>
        <v/>
      </c>
      <c r="BI144" s="25" t="str">
        <f t="shared" si="117"/>
        <v/>
      </c>
      <c r="BJ144" t="str">
        <f t="shared" si="128"/>
        <v/>
      </c>
    </row>
    <row r="145" spans="1:62">
      <c r="A145">
        <v>15</v>
      </c>
      <c r="B145">
        <v>7</v>
      </c>
      <c r="C145">
        <v>2221.5</v>
      </c>
      <c r="D145">
        <v>6</v>
      </c>
      <c r="E145">
        <v>12</v>
      </c>
      <c r="F145">
        <v>93</v>
      </c>
      <c r="G145">
        <v>3562.2</v>
      </c>
      <c r="H145">
        <v>1368.2</v>
      </c>
      <c r="I145">
        <v>3762.7</v>
      </c>
      <c r="AR145" t="str">
        <f t="shared" si="118"/>
        <v/>
      </c>
      <c r="AS145" s="25" t="str">
        <f t="shared" si="119"/>
        <v/>
      </c>
      <c r="AT145" t="str">
        <f t="shared" si="120"/>
        <v/>
      </c>
      <c r="AU145" s="25" t="str">
        <f t="shared" si="110"/>
        <v/>
      </c>
      <c r="AV145" t="str">
        <f t="shared" si="121"/>
        <v/>
      </c>
      <c r="AW145" s="25" t="str">
        <f t="shared" si="111"/>
        <v/>
      </c>
      <c r="AX145" t="str">
        <f t="shared" si="122"/>
        <v/>
      </c>
      <c r="AY145" s="25" t="str">
        <f t="shared" si="112"/>
        <v/>
      </c>
      <c r="AZ145" t="str">
        <f t="shared" si="123"/>
        <v/>
      </c>
      <c r="BA145" s="25" t="str">
        <f t="shared" si="113"/>
        <v/>
      </c>
      <c r="BB145">
        <f t="shared" si="124"/>
        <v>3562.2</v>
      </c>
      <c r="BC145" s="25">
        <f t="shared" si="114"/>
        <v>12</v>
      </c>
      <c r="BD145" t="str">
        <f t="shared" si="125"/>
        <v/>
      </c>
      <c r="BE145" s="25" t="str">
        <f t="shared" si="115"/>
        <v/>
      </c>
      <c r="BF145" t="str">
        <f t="shared" si="126"/>
        <v/>
      </c>
      <c r="BG145" s="25" t="str">
        <f t="shared" si="116"/>
        <v/>
      </c>
      <c r="BH145" t="str">
        <f t="shared" si="127"/>
        <v/>
      </c>
      <c r="BI145" s="25" t="str">
        <f t="shared" si="117"/>
        <v/>
      </c>
      <c r="BJ145" t="str">
        <f t="shared" si="128"/>
        <v/>
      </c>
    </row>
    <row r="146" spans="1:62">
      <c r="A146">
        <v>12</v>
      </c>
      <c r="B146">
        <v>11</v>
      </c>
      <c r="C146">
        <v>2245.6999999999998</v>
      </c>
      <c r="D146">
        <v>10</v>
      </c>
      <c r="E146">
        <v>9</v>
      </c>
      <c r="F146">
        <v>92</v>
      </c>
      <c r="G146">
        <v>2295.6</v>
      </c>
      <c r="H146">
        <v>1135.2</v>
      </c>
      <c r="I146">
        <v>2620.9</v>
      </c>
      <c r="AR146" t="str">
        <f t="shared" si="118"/>
        <v/>
      </c>
      <c r="AS146" s="25" t="str">
        <f t="shared" si="119"/>
        <v/>
      </c>
      <c r="AT146" t="str">
        <f t="shared" si="120"/>
        <v/>
      </c>
      <c r="AU146" s="25" t="str">
        <f t="shared" si="110"/>
        <v/>
      </c>
      <c r="AV146" t="str">
        <f t="shared" si="121"/>
        <v/>
      </c>
      <c r="AW146" s="25" t="str">
        <f t="shared" si="111"/>
        <v/>
      </c>
      <c r="AX146" t="str">
        <f t="shared" si="122"/>
        <v/>
      </c>
      <c r="AY146" s="25" t="str">
        <f t="shared" si="112"/>
        <v/>
      </c>
      <c r="AZ146" t="str">
        <f t="shared" si="123"/>
        <v/>
      </c>
      <c r="BA146" s="25" t="str">
        <f t="shared" si="113"/>
        <v/>
      </c>
      <c r="BB146" t="str">
        <f t="shared" si="124"/>
        <v/>
      </c>
      <c r="BC146" s="25" t="str">
        <f t="shared" si="114"/>
        <v/>
      </c>
      <c r="BD146" t="str">
        <f t="shared" si="125"/>
        <v/>
      </c>
      <c r="BE146" s="25" t="str">
        <f t="shared" si="115"/>
        <v/>
      </c>
      <c r="BF146" t="str">
        <f t="shared" si="126"/>
        <v/>
      </c>
      <c r="BG146" s="25" t="str">
        <f t="shared" si="116"/>
        <v/>
      </c>
      <c r="BH146" t="str">
        <f t="shared" si="127"/>
        <v/>
      </c>
      <c r="BI146" s="25" t="str">
        <f t="shared" si="117"/>
        <v/>
      </c>
      <c r="BJ146">
        <f t="shared" si="128"/>
        <v>2295.6</v>
      </c>
    </row>
    <row r="147" spans="1:62">
      <c r="A147">
        <v>11</v>
      </c>
      <c r="B147">
        <v>12</v>
      </c>
      <c r="C147">
        <v>2295.6</v>
      </c>
      <c r="D147">
        <v>9</v>
      </c>
      <c r="E147">
        <v>10</v>
      </c>
      <c r="F147">
        <v>90</v>
      </c>
      <c r="G147">
        <v>2245.6999999999998</v>
      </c>
      <c r="H147">
        <v>1135.2</v>
      </c>
      <c r="I147">
        <v>2082.3000000000002</v>
      </c>
      <c r="AR147" t="str">
        <f t="shared" si="118"/>
        <v/>
      </c>
      <c r="AS147" s="25" t="str">
        <f t="shared" si="119"/>
        <v/>
      </c>
      <c r="AT147" t="str">
        <f t="shared" si="120"/>
        <v/>
      </c>
      <c r="AU147" s="25" t="str">
        <f t="shared" si="110"/>
        <v/>
      </c>
      <c r="AV147" t="str">
        <f t="shared" si="121"/>
        <v/>
      </c>
      <c r="AW147" s="25" t="str">
        <f t="shared" si="111"/>
        <v/>
      </c>
      <c r="AX147" t="str">
        <f t="shared" si="122"/>
        <v/>
      </c>
      <c r="AY147" s="25" t="str">
        <f t="shared" si="112"/>
        <v/>
      </c>
      <c r="AZ147" t="str">
        <f t="shared" si="123"/>
        <v/>
      </c>
      <c r="BA147" s="25" t="str">
        <f t="shared" si="113"/>
        <v/>
      </c>
      <c r="BB147" t="str">
        <f t="shared" si="124"/>
        <v/>
      </c>
      <c r="BC147" s="25" t="str">
        <f t="shared" si="114"/>
        <v/>
      </c>
      <c r="BD147" t="str">
        <f t="shared" si="125"/>
        <v/>
      </c>
      <c r="BE147" s="25" t="str">
        <f t="shared" si="115"/>
        <v/>
      </c>
      <c r="BF147" t="str">
        <f t="shared" si="126"/>
        <v/>
      </c>
      <c r="BG147" s="25" t="str">
        <f t="shared" si="116"/>
        <v/>
      </c>
      <c r="BH147">
        <f t="shared" si="127"/>
        <v>2245.6999999999998</v>
      </c>
      <c r="BI147" s="25">
        <f t="shared" si="117"/>
        <v>10</v>
      </c>
      <c r="BJ147" t="str">
        <f t="shared" si="128"/>
        <v/>
      </c>
    </row>
    <row r="148" spans="1:62">
      <c r="A148">
        <v>13</v>
      </c>
      <c r="B148">
        <v>3</v>
      </c>
      <c r="C148">
        <v>2374.8000000000002</v>
      </c>
      <c r="D148">
        <v>5</v>
      </c>
      <c r="E148">
        <v>16</v>
      </c>
      <c r="F148">
        <v>87</v>
      </c>
      <c r="G148">
        <v>3973.2</v>
      </c>
      <c r="H148">
        <v>1486.4</v>
      </c>
      <c r="I148">
        <v>3348.3</v>
      </c>
      <c r="AR148" t="str">
        <f t="shared" si="118"/>
        <v/>
      </c>
      <c r="AS148" s="25" t="str">
        <f t="shared" si="119"/>
        <v/>
      </c>
      <c r="AT148" t="str">
        <f t="shared" si="120"/>
        <v/>
      </c>
      <c r="AU148" s="25" t="str">
        <f t="shared" si="110"/>
        <v/>
      </c>
      <c r="AV148" t="str">
        <f t="shared" si="121"/>
        <v/>
      </c>
      <c r="AW148" s="25" t="str">
        <f t="shared" si="111"/>
        <v/>
      </c>
      <c r="AX148" t="str">
        <f t="shared" si="122"/>
        <v/>
      </c>
      <c r="AY148" s="25" t="str">
        <f t="shared" si="112"/>
        <v/>
      </c>
      <c r="AZ148">
        <f t="shared" si="123"/>
        <v>3973.2</v>
      </c>
      <c r="BA148" s="25">
        <f t="shared" si="113"/>
        <v>16</v>
      </c>
      <c r="BB148" t="str">
        <f t="shared" si="124"/>
        <v/>
      </c>
      <c r="BC148" s="25" t="str">
        <f t="shared" si="114"/>
        <v/>
      </c>
      <c r="BD148" t="str">
        <f t="shared" si="125"/>
        <v/>
      </c>
      <c r="BE148" s="25" t="str">
        <f t="shared" si="115"/>
        <v/>
      </c>
      <c r="BF148" t="str">
        <f t="shared" si="126"/>
        <v/>
      </c>
      <c r="BG148" s="25" t="str">
        <f t="shared" si="116"/>
        <v/>
      </c>
      <c r="BH148" t="str">
        <f t="shared" si="127"/>
        <v/>
      </c>
      <c r="BI148" s="25" t="str">
        <f t="shared" si="117"/>
        <v/>
      </c>
      <c r="BJ148" t="str">
        <f t="shared" si="128"/>
        <v/>
      </c>
    </row>
    <row r="149" spans="1:62">
      <c r="A149">
        <v>9</v>
      </c>
      <c r="B149">
        <v>16</v>
      </c>
      <c r="C149">
        <v>2430.6</v>
      </c>
      <c r="D149">
        <v>7</v>
      </c>
      <c r="E149">
        <v>11</v>
      </c>
      <c r="F149">
        <v>85</v>
      </c>
      <c r="G149">
        <v>3387</v>
      </c>
      <c r="H149">
        <v>1415.1</v>
      </c>
      <c r="I149">
        <v>1447.7</v>
      </c>
      <c r="AR149" t="str">
        <f t="shared" si="118"/>
        <v/>
      </c>
      <c r="AS149" s="25" t="str">
        <f t="shared" si="119"/>
        <v/>
      </c>
      <c r="AT149" t="str">
        <f t="shared" si="120"/>
        <v/>
      </c>
      <c r="AU149" s="25" t="str">
        <f t="shared" si="110"/>
        <v/>
      </c>
      <c r="AV149" t="str">
        <f t="shared" si="121"/>
        <v/>
      </c>
      <c r="AW149" s="25" t="str">
        <f t="shared" si="111"/>
        <v/>
      </c>
      <c r="AX149" t="str">
        <f t="shared" si="122"/>
        <v/>
      </c>
      <c r="AY149" s="25" t="str">
        <f t="shared" si="112"/>
        <v/>
      </c>
      <c r="AZ149" t="str">
        <f t="shared" si="123"/>
        <v/>
      </c>
      <c r="BA149" s="25" t="str">
        <f t="shared" si="113"/>
        <v/>
      </c>
      <c r="BB149" t="str">
        <f t="shared" si="124"/>
        <v/>
      </c>
      <c r="BC149" s="25" t="str">
        <f t="shared" si="114"/>
        <v/>
      </c>
      <c r="BD149">
        <f t="shared" si="125"/>
        <v>3387</v>
      </c>
      <c r="BE149" s="25">
        <f t="shared" si="115"/>
        <v>11</v>
      </c>
      <c r="BF149" t="str">
        <f t="shared" si="126"/>
        <v/>
      </c>
      <c r="BG149" s="25" t="str">
        <f t="shared" si="116"/>
        <v/>
      </c>
      <c r="BH149" t="str">
        <f t="shared" si="127"/>
        <v/>
      </c>
      <c r="BI149" s="25" t="str">
        <f t="shared" si="117"/>
        <v/>
      </c>
      <c r="BJ149" t="str">
        <f t="shared" si="128"/>
        <v/>
      </c>
    </row>
    <row r="150" spans="1:62">
      <c r="A150">
        <v>7</v>
      </c>
      <c r="B150">
        <v>1</v>
      </c>
      <c r="C150">
        <v>2582.5</v>
      </c>
      <c r="D150">
        <v>12</v>
      </c>
      <c r="E150">
        <v>3</v>
      </c>
      <c r="F150">
        <v>80</v>
      </c>
      <c r="G150">
        <v>1299.4000000000001</v>
      </c>
      <c r="H150">
        <v>864.4</v>
      </c>
      <c r="I150">
        <v>1958.9</v>
      </c>
      <c r="AR150" t="str">
        <f t="shared" si="118"/>
        <v/>
      </c>
      <c r="AS150" s="25" t="str">
        <f t="shared" si="119"/>
        <v/>
      </c>
      <c r="AT150" t="str">
        <f t="shared" si="120"/>
        <v/>
      </c>
      <c r="AU150" s="25" t="str">
        <f t="shared" si="110"/>
        <v/>
      </c>
      <c r="AV150" t="str">
        <f t="shared" si="121"/>
        <v/>
      </c>
      <c r="AW150" s="25" t="str">
        <f t="shared" si="111"/>
        <v/>
      </c>
      <c r="AX150" t="str">
        <f t="shared" si="122"/>
        <v/>
      </c>
      <c r="AY150" s="25" t="str">
        <f t="shared" si="112"/>
        <v/>
      </c>
      <c r="AZ150" t="str">
        <f t="shared" si="123"/>
        <v/>
      </c>
      <c r="BA150" s="25" t="str">
        <f t="shared" si="113"/>
        <v/>
      </c>
      <c r="BB150" t="str">
        <f t="shared" si="124"/>
        <v/>
      </c>
      <c r="BC150" s="25" t="str">
        <f t="shared" si="114"/>
        <v/>
      </c>
      <c r="BD150" t="str">
        <f t="shared" si="125"/>
        <v/>
      </c>
      <c r="BE150" s="25" t="str">
        <f t="shared" si="115"/>
        <v/>
      </c>
      <c r="BF150" t="str">
        <f t="shared" si="126"/>
        <v/>
      </c>
      <c r="BG150" s="25" t="str">
        <f t="shared" si="116"/>
        <v/>
      </c>
      <c r="BH150" t="str">
        <f t="shared" si="127"/>
        <v/>
      </c>
      <c r="BI150" s="25" t="str">
        <f t="shared" si="117"/>
        <v/>
      </c>
      <c r="BJ150" t="str">
        <f t="shared" si="128"/>
        <v/>
      </c>
    </row>
    <row r="151" spans="1:62">
      <c r="A151">
        <v>5</v>
      </c>
      <c r="B151">
        <v>6</v>
      </c>
      <c r="C151">
        <v>2754.7</v>
      </c>
      <c r="D151">
        <v>8</v>
      </c>
      <c r="E151">
        <v>13</v>
      </c>
      <c r="F151">
        <v>75</v>
      </c>
      <c r="G151">
        <v>3756.5</v>
      </c>
      <c r="H151">
        <v>1589.3</v>
      </c>
      <c r="I151">
        <v>2602.9</v>
      </c>
    </row>
    <row r="152" spans="1:62">
      <c r="A152">
        <v>10</v>
      </c>
      <c r="B152">
        <v>13</v>
      </c>
      <c r="C152">
        <v>2869.5</v>
      </c>
      <c r="D152">
        <v>15</v>
      </c>
      <c r="E152">
        <v>5</v>
      </c>
      <c r="F152">
        <v>72</v>
      </c>
      <c r="G152">
        <v>1895.4</v>
      </c>
      <c r="H152">
        <v>1141.4000000000001</v>
      </c>
      <c r="I152">
        <v>4780.2</v>
      </c>
    </row>
    <row r="153" spans="1:62">
      <c r="A153">
        <v>5</v>
      </c>
      <c r="B153">
        <v>16</v>
      </c>
      <c r="C153">
        <v>3038.3</v>
      </c>
      <c r="D153">
        <v>8</v>
      </c>
      <c r="E153">
        <v>11</v>
      </c>
      <c r="F153">
        <v>68</v>
      </c>
      <c r="G153">
        <v>3898.2</v>
      </c>
      <c r="H153">
        <v>1707.5</v>
      </c>
      <c r="I153">
        <v>2436.1</v>
      </c>
    </row>
    <row r="154" spans="1:62">
      <c r="A154">
        <v>9</v>
      </c>
      <c r="B154">
        <v>6</v>
      </c>
      <c r="C154">
        <v>3038.3</v>
      </c>
      <c r="D154">
        <v>7</v>
      </c>
      <c r="E154">
        <v>13</v>
      </c>
      <c r="F154">
        <v>68</v>
      </c>
      <c r="G154">
        <v>4304.3</v>
      </c>
      <c r="H154">
        <v>1781.1</v>
      </c>
      <c r="I154">
        <v>4578.7</v>
      </c>
    </row>
    <row r="155" spans="1:62">
      <c r="A155">
        <v>3</v>
      </c>
      <c r="B155">
        <v>2</v>
      </c>
      <c r="C155">
        <v>3083.6</v>
      </c>
      <c r="D155">
        <v>16</v>
      </c>
      <c r="E155">
        <v>4</v>
      </c>
      <c r="F155">
        <v>67</v>
      </c>
      <c r="G155">
        <v>1486.3</v>
      </c>
      <c r="H155">
        <v>1002.9</v>
      </c>
      <c r="I155">
        <v>2957.4</v>
      </c>
    </row>
    <row r="156" spans="1:62">
      <c r="A156">
        <v>5</v>
      </c>
      <c r="B156">
        <v>12</v>
      </c>
      <c r="C156">
        <v>3130.4</v>
      </c>
      <c r="D156">
        <v>8</v>
      </c>
      <c r="E156">
        <v>10</v>
      </c>
      <c r="F156">
        <v>66</v>
      </c>
      <c r="G156">
        <v>3689.4</v>
      </c>
      <c r="H156">
        <v>1693.5</v>
      </c>
      <c r="I156">
        <v>2248.6999999999998</v>
      </c>
    </row>
    <row r="157" spans="1:62">
      <c r="A157">
        <v>10</v>
      </c>
      <c r="B157">
        <v>14</v>
      </c>
      <c r="C157">
        <v>3228.2</v>
      </c>
      <c r="D157">
        <v>15</v>
      </c>
      <c r="E157">
        <v>2</v>
      </c>
      <c r="F157">
        <v>64</v>
      </c>
      <c r="G157">
        <v>1405.4</v>
      </c>
      <c r="H157">
        <v>979.1</v>
      </c>
      <c r="I157">
        <v>3585.2</v>
      </c>
    </row>
    <row r="158" spans="1:62">
      <c r="A158">
        <v>10</v>
      </c>
      <c r="B158">
        <v>2</v>
      </c>
      <c r="C158">
        <v>3279.4</v>
      </c>
      <c r="D158">
        <v>15</v>
      </c>
      <c r="E158">
        <v>4</v>
      </c>
      <c r="F158">
        <v>63</v>
      </c>
      <c r="G158">
        <v>1652.8</v>
      </c>
      <c r="H158">
        <v>1098.9000000000001</v>
      </c>
      <c r="I158">
        <v>4176.1000000000004</v>
      </c>
    </row>
    <row r="159" spans="1:62">
      <c r="A159">
        <v>15</v>
      </c>
      <c r="B159">
        <v>10</v>
      </c>
      <c r="C159">
        <v>3332.3</v>
      </c>
      <c r="D159">
        <v>6</v>
      </c>
      <c r="E159">
        <v>15</v>
      </c>
      <c r="F159">
        <v>62</v>
      </c>
      <c r="G159">
        <v>7124.4</v>
      </c>
      <c r="H159">
        <v>2270.4</v>
      </c>
      <c r="I159">
        <v>5846.6</v>
      </c>
    </row>
    <row r="160" spans="1:62">
      <c r="A160">
        <v>4</v>
      </c>
      <c r="B160">
        <v>15</v>
      </c>
      <c r="C160">
        <v>3387</v>
      </c>
      <c r="D160">
        <v>14</v>
      </c>
      <c r="E160">
        <v>6</v>
      </c>
      <c r="F160">
        <v>61</v>
      </c>
      <c r="G160">
        <v>1828.3</v>
      </c>
      <c r="H160">
        <v>1187.4000000000001</v>
      </c>
      <c r="I160">
        <v>4222.6000000000004</v>
      </c>
    </row>
    <row r="161" spans="1:9">
      <c r="A161">
        <v>16</v>
      </c>
      <c r="B161">
        <v>9</v>
      </c>
      <c r="C161">
        <v>3387</v>
      </c>
      <c r="D161">
        <v>11</v>
      </c>
      <c r="E161">
        <v>7</v>
      </c>
      <c r="F161">
        <v>61</v>
      </c>
      <c r="G161">
        <v>2430.6</v>
      </c>
      <c r="H161">
        <v>1415.1</v>
      </c>
      <c r="I161">
        <v>2375.1999999999998</v>
      </c>
    </row>
    <row r="162" spans="1:9">
      <c r="A162">
        <v>9</v>
      </c>
      <c r="B162">
        <v>4</v>
      </c>
      <c r="C162">
        <v>3443.4</v>
      </c>
      <c r="D162">
        <v>7</v>
      </c>
      <c r="E162">
        <v>14</v>
      </c>
      <c r="F162">
        <v>60</v>
      </c>
      <c r="G162">
        <v>3898.2</v>
      </c>
      <c r="H162">
        <v>1828.4</v>
      </c>
      <c r="I162">
        <v>4246.1000000000004</v>
      </c>
    </row>
    <row r="163" spans="1:9">
      <c r="A163">
        <v>15</v>
      </c>
      <c r="B163">
        <v>3</v>
      </c>
      <c r="C163">
        <v>3443.4</v>
      </c>
      <c r="D163">
        <v>6</v>
      </c>
      <c r="E163">
        <v>16</v>
      </c>
      <c r="F163">
        <v>60</v>
      </c>
      <c r="G163">
        <v>7378.8</v>
      </c>
      <c r="H163">
        <v>2347.8000000000002</v>
      </c>
      <c r="I163">
        <v>7238.7</v>
      </c>
    </row>
    <row r="164" spans="1:9">
      <c r="A164">
        <v>7</v>
      </c>
      <c r="B164">
        <v>15</v>
      </c>
      <c r="C164">
        <v>3562.2</v>
      </c>
      <c r="D164">
        <v>12</v>
      </c>
      <c r="E164">
        <v>6</v>
      </c>
      <c r="F164">
        <v>58</v>
      </c>
      <c r="G164">
        <v>2221.5</v>
      </c>
      <c r="H164">
        <v>1368.2</v>
      </c>
      <c r="I164">
        <v>5672.1</v>
      </c>
    </row>
    <row r="165" spans="1:9">
      <c r="A165">
        <v>3</v>
      </c>
      <c r="B165">
        <v>1</v>
      </c>
      <c r="C165">
        <v>3624.6</v>
      </c>
      <c r="D165">
        <v>16</v>
      </c>
      <c r="E165">
        <v>3</v>
      </c>
      <c r="F165">
        <v>57</v>
      </c>
      <c r="G165">
        <v>1589.2</v>
      </c>
      <c r="H165">
        <v>1104.8</v>
      </c>
      <c r="I165">
        <v>2901</v>
      </c>
    </row>
    <row r="166" spans="1:9">
      <c r="A166">
        <v>12</v>
      </c>
      <c r="B166">
        <v>5</v>
      </c>
      <c r="C166">
        <v>3689.4</v>
      </c>
      <c r="D166">
        <v>10</v>
      </c>
      <c r="E166">
        <v>8</v>
      </c>
      <c r="F166">
        <v>56</v>
      </c>
      <c r="G166">
        <v>3130.4</v>
      </c>
      <c r="H166">
        <v>1693.5</v>
      </c>
      <c r="I166">
        <v>2846.7</v>
      </c>
    </row>
    <row r="167" spans="1:9">
      <c r="A167">
        <v>6</v>
      </c>
      <c r="B167">
        <v>5</v>
      </c>
      <c r="C167">
        <v>3756.5</v>
      </c>
      <c r="D167">
        <v>13</v>
      </c>
      <c r="E167">
        <v>8</v>
      </c>
      <c r="F167">
        <v>55</v>
      </c>
      <c r="G167">
        <v>2754.7</v>
      </c>
      <c r="H167">
        <v>1589.3</v>
      </c>
      <c r="I167">
        <v>2483.9</v>
      </c>
    </row>
    <row r="168" spans="1:9">
      <c r="A168">
        <v>6</v>
      </c>
      <c r="B168">
        <v>15</v>
      </c>
      <c r="C168">
        <v>3756.5</v>
      </c>
      <c r="D168">
        <v>13</v>
      </c>
      <c r="E168">
        <v>6</v>
      </c>
      <c r="F168">
        <v>55</v>
      </c>
      <c r="G168">
        <v>2221.5</v>
      </c>
      <c r="H168">
        <v>1396</v>
      </c>
      <c r="I168">
        <v>4470.8999999999996</v>
      </c>
    </row>
    <row r="169" spans="1:9">
      <c r="A169">
        <v>11</v>
      </c>
      <c r="B169">
        <v>16</v>
      </c>
      <c r="C169">
        <v>3826</v>
      </c>
      <c r="D169">
        <v>9</v>
      </c>
      <c r="E169">
        <v>11</v>
      </c>
      <c r="F169">
        <v>54</v>
      </c>
      <c r="G169">
        <v>5739.1</v>
      </c>
      <c r="H169">
        <v>2295.6</v>
      </c>
      <c r="I169">
        <v>3502.6</v>
      </c>
    </row>
    <row r="170" spans="1:9">
      <c r="A170">
        <v>4</v>
      </c>
      <c r="B170">
        <v>9</v>
      </c>
      <c r="C170">
        <v>3898.2</v>
      </c>
      <c r="D170">
        <v>14</v>
      </c>
      <c r="E170">
        <v>7</v>
      </c>
      <c r="F170">
        <v>53</v>
      </c>
      <c r="G170">
        <v>3443.4</v>
      </c>
      <c r="H170">
        <v>1828.4</v>
      </c>
      <c r="I170">
        <v>3585.2</v>
      </c>
    </row>
    <row r="171" spans="1:9">
      <c r="A171">
        <v>16</v>
      </c>
      <c r="B171">
        <v>5</v>
      </c>
      <c r="C171">
        <v>3898.2</v>
      </c>
      <c r="D171">
        <v>11</v>
      </c>
      <c r="E171">
        <v>8</v>
      </c>
      <c r="F171">
        <v>53</v>
      </c>
      <c r="G171">
        <v>3038.3</v>
      </c>
      <c r="H171">
        <v>1707.5</v>
      </c>
      <c r="I171">
        <v>3004.2</v>
      </c>
    </row>
    <row r="172" spans="1:9">
      <c r="A172">
        <v>3</v>
      </c>
      <c r="B172">
        <v>9</v>
      </c>
      <c r="C172">
        <v>3973.2</v>
      </c>
      <c r="D172">
        <v>16</v>
      </c>
      <c r="E172">
        <v>7</v>
      </c>
      <c r="F172">
        <v>52</v>
      </c>
      <c r="G172">
        <v>4216.3999999999996</v>
      </c>
      <c r="H172">
        <v>2045.6</v>
      </c>
      <c r="I172">
        <v>5588.7</v>
      </c>
    </row>
    <row r="173" spans="1:9">
      <c r="A173">
        <v>3</v>
      </c>
      <c r="B173">
        <v>13</v>
      </c>
      <c r="C173">
        <v>3973.2</v>
      </c>
      <c r="D173">
        <v>16</v>
      </c>
      <c r="E173">
        <v>5</v>
      </c>
      <c r="F173">
        <v>52</v>
      </c>
      <c r="G173">
        <v>2374.8000000000002</v>
      </c>
      <c r="H173">
        <v>1486.4</v>
      </c>
      <c r="I173">
        <v>8000.6</v>
      </c>
    </row>
    <row r="174" spans="1:9">
      <c r="A174">
        <v>10</v>
      </c>
      <c r="B174">
        <v>1</v>
      </c>
      <c r="C174">
        <v>3973.2</v>
      </c>
      <c r="D174">
        <v>15</v>
      </c>
      <c r="E174">
        <v>3</v>
      </c>
      <c r="F174">
        <v>52</v>
      </c>
      <c r="G174">
        <v>1577.1</v>
      </c>
      <c r="H174">
        <v>1129</v>
      </c>
      <c r="I174">
        <v>4222.6000000000004</v>
      </c>
    </row>
    <row r="175" spans="1:9">
      <c r="A175">
        <v>9</v>
      </c>
      <c r="B175">
        <v>3</v>
      </c>
      <c r="C175">
        <v>4216.3999999999996</v>
      </c>
      <c r="D175">
        <v>7</v>
      </c>
      <c r="E175">
        <v>16</v>
      </c>
      <c r="F175">
        <v>49</v>
      </c>
      <c r="G175">
        <v>3973.2</v>
      </c>
      <c r="H175">
        <v>2045.6</v>
      </c>
      <c r="I175">
        <v>6080.5</v>
      </c>
    </row>
    <row r="176" spans="1:9">
      <c r="A176">
        <v>12</v>
      </c>
      <c r="B176">
        <v>16</v>
      </c>
      <c r="C176">
        <v>4216.3999999999996</v>
      </c>
      <c r="D176">
        <v>10</v>
      </c>
      <c r="E176">
        <v>11</v>
      </c>
      <c r="F176">
        <v>49</v>
      </c>
      <c r="G176">
        <v>5165.1000000000004</v>
      </c>
      <c r="H176">
        <v>2321.4</v>
      </c>
      <c r="I176">
        <v>3518.8</v>
      </c>
    </row>
    <row r="177" spans="1:9">
      <c r="A177">
        <v>6</v>
      </c>
      <c r="B177">
        <v>9</v>
      </c>
      <c r="C177">
        <v>4304.3</v>
      </c>
      <c r="D177">
        <v>13</v>
      </c>
      <c r="E177">
        <v>7</v>
      </c>
      <c r="F177">
        <v>48</v>
      </c>
      <c r="G177">
        <v>3038.3</v>
      </c>
      <c r="H177">
        <v>1781.1</v>
      </c>
      <c r="I177">
        <v>4042.9</v>
      </c>
    </row>
    <row r="178" spans="1:9">
      <c r="A178">
        <v>9</v>
      </c>
      <c r="B178">
        <v>10</v>
      </c>
      <c r="C178">
        <v>4304.3</v>
      </c>
      <c r="D178">
        <v>7</v>
      </c>
      <c r="E178">
        <v>15</v>
      </c>
      <c r="F178">
        <v>48</v>
      </c>
      <c r="G178">
        <v>5039.2</v>
      </c>
      <c r="H178">
        <v>2321.4</v>
      </c>
      <c r="I178">
        <v>2763.9</v>
      </c>
    </row>
    <row r="179" spans="1:9">
      <c r="A179">
        <v>9</v>
      </c>
      <c r="B179">
        <v>7</v>
      </c>
      <c r="C179">
        <v>4395.8999999999996</v>
      </c>
      <c r="D179">
        <v>7</v>
      </c>
      <c r="E179">
        <v>12</v>
      </c>
      <c r="F179">
        <v>47</v>
      </c>
      <c r="G179">
        <v>5039.2</v>
      </c>
      <c r="H179">
        <v>2347.8000000000002</v>
      </c>
      <c r="I179">
        <v>5672.1</v>
      </c>
    </row>
    <row r="180" spans="1:9">
      <c r="A180">
        <v>3</v>
      </c>
      <c r="B180">
        <v>14</v>
      </c>
      <c r="C180">
        <v>4491.3999999999996</v>
      </c>
      <c r="D180">
        <v>16</v>
      </c>
      <c r="E180">
        <v>2</v>
      </c>
      <c r="F180">
        <v>46</v>
      </c>
      <c r="G180">
        <v>2066</v>
      </c>
      <c r="H180">
        <v>1415.1</v>
      </c>
      <c r="I180">
        <v>6230</v>
      </c>
    </row>
    <row r="181" spans="1:9">
      <c r="A181">
        <v>5</v>
      </c>
      <c r="B181">
        <v>3</v>
      </c>
      <c r="C181">
        <v>4804.8</v>
      </c>
      <c r="D181">
        <v>8</v>
      </c>
      <c r="E181">
        <v>16</v>
      </c>
      <c r="F181">
        <v>43</v>
      </c>
      <c r="G181">
        <v>5039.2</v>
      </c>
      <c r="H181">
        <v>2459.6</v>
      </c>
      <c r="I181">
        <v>2773.9</v>
      </c>
    </row>
    <row r="182" spans="1:9">
      <c r="A182">
        <v>11</v>
      </c>
      <c r="B182">
        <v>6</v>
      </c>
      <c r="C182">
        <v>4804.8</v>
      </c>
      <c r="D182">
        <v>9</v>
      </c>
      <c r="E182">
        <v>13</v>
      </c>
      <c r="F182">
        <v>43</v>
      </c>
      <c r="G182">
        <v>5165.1000000000004</v>
      </c>
      <c r="H182">
        <v>2489.1999999999998</v>
      </c>
      <c r="I182">
        <v>7170.4</v>
      </c>
    </row>
    <row r="183" spans="1:9">
      <c r="A183">
        <v>3</v>
      </c>
      <c r="B183">
        <v>5</v>
      </c>
      <c r="C183">
        <v>5039.2</v>
      </c>
      <c r="D183">
        <v>16</v>
      </c>
      <c r="E183">
        <v>8</v>
      </c>
      <c r="F183">
        <v>41</v>
      </c>
      <c r="G183">
        <v>4804.8</v>
      </c>
      <c r="H183">
        <v>2459.6</v>
      </c>
      <c r="I183">
        <v>4199.2</v>
      </c>
    </row>
    <row r="184" spans="1:9">
      <c r="A184">
        <v>7</v>
      </c>
      <c r="B184">
        <v>9</v>
      </c>
      <c r="C184">
        <v>5039.2</v>
      </c>
      <c r="D184">
        <v>12</v>
      </c>
      <c r="E184">
        <v>7</v>
      </c>
      <c r="F184">
        <v>41</v>
      </c>
      <c r="G184">
        <v>4395.8999999999996</v>
      </c>
      <c r="H184">
        <v>2347.8000000000002</v>
      </c>
      <c r="I184">
        <v>5429</v>
      </c>
    </row>
    <row r="185" spans="1:9">
      <c r="A185">
        <v>10</v>
      </c>
      <c r="B185">
        <v>9</v>
      </c>
      <c r="C185">
        <v>5039.2</v>
      </c>
      <c r="D185">
        <v>15</v>
      </c>
      <c r="E185">
        <v>7</v>
      </c>
      <c r="F185">
        <v>41</v>
      </c>
      <c r="G185">
        <v>4304.3</v>
      </c>
      <c r="H185">
        <v>2321.4</v>
      </c>
      <c r="I185">
        <v>7308.3</v>
      </c>
    </row>
    <row r="186" spans="1:9">
      <c r="A186">
        <v>6</v>
      </c>
      <c r="B186">
        <v>11</v>
      </c>
      <c r="C186">
        <v>5165.1000000000004</v>
      </c>
      <c r="D186">
        <v>13</v>
      </c>
      <c r="E186">
        <v>9</v>
      </c>
      <c r="F186">
        <v>40</v>
      </c>
      <c r="G186">
        <v>4804.8</v>
      </c>
      <c r="H186">
        <v>2489.1999999999998</v>
      </c>
      <c r="I186">
        <v>7917.3</v>
      </c>
    </row>
    <row r="187" spans="1:9">
      <c r="A187">
        <v>16</v>
      </c>
      <c r="B187">
        <v>12</v>
      </c>
      <c r="C187">
        <v>5165.1000000000004</v>
      </c>
      <c r="D187">
        <v>11</v>
      </c>
      <c r="E187">
        <v>10</v>
      </c>
      <c r="F187">
        <v>40</v>
      </c>
      <c r="G187">
        <v>4216.3999999999996</v>
      </c>
      <c r="H187">
        <v>2321.4</v>
      </c>
      <c r="I187">
        <v>3671.8</v>
      </c>
    </row>
    <row r="188" spans="1:9">
      <c r="A188">
        <v>4</v>
      </c>
      <c r="B188">
        <v>5</v>
      </c>
      <c r="C188">
        <v>5583.9</v>
      </c>
      <c r="D188">
        <v>14</v>
      </c>
      <c r="E188">
        <v>8</v>
      </c>
      <c r="F188">
        <v>37</v>
      </c>
      <c r="G188">
        <v>5739.1</v>
      </c>
      <c r="H188">
        <v>2830.2</v>
      </c>
      <c r="I188">
        <v>4042.9</v>
      </c>
    </row>
    <row r="189" spans="1:9">
      <c r="A189">
        <v>5</v>
      </c>
      <c r="B189">
        <v>4</v>
      </c>
      <c r="C189">
        <v>5739.1</v>
      </c>
      <c r="D189">
        <v>8</v>
      </c>
      <c r="E189">
        <v>14</v>
      </c>
      <c r="F189">
        <v>36</v>
      </c>
      <c r="G189">
        <v>5583.9</v>
      </c>
      <c r="H189">
        <v>2830.2</v>
      </c>
      <c r="I189">
        <v>4246.1000000000004</v>
      </c>
    </row>
    <row r="190" spans="1:9">
      <c r="A190">
        <v>16</v>
      </c>
      <c r="B190">
        <v>11</v>
      </c>
      <c r="C190">
        <v>5739.1</v>
      </c>
      <c r="D190">
        <v>11</v>
      </c>
      <c r="E190">
        <v>9</v>
      </c>
      <c r="F190">
        <v>36</v>
      </c>
      <c r="G190">
        <v>3826</v>
      </c>
      <c r="H190">
        <v>2295.6</v>
      </c>
      <c r="I190">
        <v>4662.8999999999996</v>
      </c>
    </row>
    <row r="191" spans="1:9">
      <c r="A191">
        <v>5</v>
      </c>
      <c r="B191">
        <v>10</v>
      </c>
      <c r="C191">
        <v>5903</v>
      </c>
      <c r="D191">
        <v>8</v>
      </c>
      <c r="E191">
        <v>15</v>
      </c>
      <c r="F191">
        <v>35</v>
      </c>
      <c r="G191">
        <v>10874</v>
      </c>
      <c r="H191">
        <v>3826</v>
      </c>
      <c r="I191">
        <v>6333.8</v>
      </c>
    </row>
    <row r="192" spans="1:9">
      <c r="A192">
        <v>12</v>
      </c>
      <c r="B192">
        <v>6</v>
      </c>
      <c r="C192">
        <v>6260.8</v>
      </c>
      <c r="D192">
        <v>10</v>
      </c>
      <c r="E192">
        <v>13</v>
      </c>
      <c r="F192">
        <v>33</v>
      </c>
      <c r="G192">
        <v>9838.4</v>
      </c>
      <c r="H192">
        <v>3826</v>
      </c>
      <c r="I192">
        <v>8085.7</v>
      </c>
    </row>
    <row r="193" spans="1:9">
      <c r="A193">
        <v>5</v>
      </c>
      <c r="B193">
        <v>7</v>
      </c>
      <c r="C193">
        <v>6456.4</v>
      </c>
      <c r="D193">
        <v>8</v>
      </c>
      <c r="E193">
        <v>12</v>
      </c>
      <c r="F193">
        <v>32</v>
      </c>
      <c r="G193">
        <v>9838.4</v>
      </c>
      <c r="H193">
        <v>3898.2</v>
      </c>
      <c r="I193">
        <v>3408.3</v>
      </c>
    </row>
    <row r="194" spans="1:9">
      <c r="A194">
        <v>11</v>
      </c>
      <c r="B194">
        <v>4</v>
      </c>
      <c r="C194">
        <v>6886.9</v>
      </c>
      <c r="D194">
        <v>9</v>
      </c>
      <c r="E194">
        <v>14</v>
      </c>
      <c r="F194">
        <v>30</v>
      </c>
      <c r="G194">
        <v>9838.4</v>
      </c>
      <c r="H194">
        <v>4051.1</v>
      </c>
      <c r="I194">
        <v>6909.6</v>
      </c>
    </row>
    <row r="195" spans="1:9">
      <c r="A195">
        <v>10</v>
      </c>
      <c r="B195">
        <v>15</v>
      </c>
      <c r="C195">
        <v>7124.4</v>
      </c>
      <c r="D195">
        <v>15</v>
      </c>
      <c r="E195">
        <v>6</v>
      </c>
      <c r="F195">
        <v>29</v>
      </c>
      <c r="G195">
        <v>3332.3</v>
      </c>
      <c r="H195">
        <v>2270.4</v>
      </c>
      <c r="I195">
        <v>8837.9</v>
      </c>
    </row>
    <row r="196" spans="1:9">
      <c r="A196">
        <v>3</v>
      </c>
      <c r="B196">
        <v>15</v>
      </c>
      <c r="C196">
        <v>7378.8</v>
      </c>
      <c r="D196">
        <v>16</v>
      </c>
      <c r="E196">
        <v>6</v>
      </c>
      <c r="F196">
        <v>28</v>
      </c>
      <c r="G196">
        <v>3443.4</v>
      </c>
      <c r="H196">
        <v>2347.8000000000002</v>
      </c>
      <c r="I196">
        <v>16171.5</v>
      </c>
    </row>
    <row r="197" spans="1:9">
      <c r="A197">
        <v>10</v>
      </c>
      <c r="B197">
        <v>11</v>
      </c>
      <c r="C197">
        <v>7652.1</v>
      </c>
      <c r="D197">
        <v>15</v>
      </c>
      <c r="E197">
        <v>9</v>
      </c>
      <c r="F197">
        <v>27</v>
      </c>
      <c r="G197">
        <v>9838.4</v>
      </c>
      <c r="H197">
        <v>4304.3</v>
      </c>
      <c r="I197">
        <v>15511.4</v>
      </c>
    </row>
    <row r="198" spans="1:9">
      <c r="A198">
        <v>4</v>
      </c>
      <c r="B198">
        <v>7</v>
      </c>
      <c r="C198">
        <v>7946.4</v>
      </c>
      <c r="D198">
        <v>14</v>
      </c>
      <c r="E198">
        <v>12</v>
      </c>
      <c r="F198">
        <v>26</v>
      </c>
      <c r="G198">
        <v>10330.299999999999</v>
      </c>
      <c r="H198">
        <v>4491.3999999999996</v>
      </c>
      <c r="I198">
        <v>7308.3</v>
      </c>
    </row>
    <row r="199" spans="1:9">
      <c r="A199">
        <v>11</v>
      </c>
      <c r="B199">
        <v>7</v>
      </c>
      <c r="C199">
        <v>8982.9</v>
      </c>
      <c r="D199">
        <v>9</v>
      </c>
      <c r="E199">
        <v>12</v>
      </c>
      <c r="F199">
        <v>23</v>
      </c>
      <c r="G199">
        <v>12153.3</v>
      </c>
      <c r="H199">
        <v>5165.2</v>
      </c>
      <c r="I199">
        <v>7835.7</v>
      </c>
    </row>
    <row r="200" spans="1:9">
      <c r="A200">
        <v>12</v>
      </c>
      <c r="B200">
        <v>7</v>
      </c>
      <c r="C200">
        <v>8982.9</v>
      </c>
      <c r="D200">
        <v>10</v>
      </c>
      <c r="E200">
        <v>12</v>
      </c>
      <c r="F200">
        <v>23</v>
      </c>
      <c r="G200">
        <v>10874</v>
      </c>
      <c r="H200">
        <v>4919.2</v>
      </c>
      <c r="I200">
        <v>12667.7</v>
      </c>
    </row>
    <row r="201" spans="1:9">
      <c r="A201">
        <v>6</v>
      </c>
      <c r="B201">
        <v>4</v>
      </c>
      <c r="C201">
        <v>9391.2000000000007</v>
      </c>
      <c r="D201">
        <v>13</v>
      </c>
      <c r="E201">
        <v>14</v>
      </c>
      <c r="F201">
        <v>22</v>
      </c>
      <c r="G201">
        <v>10330.299999999999</v>
      </c>
      <c r="H201">
        <v>4919.2</v>
      </c>
      <c r="I201">
        <v>7451.6</v>
      </c>
    </row>
    <row r="202" spans="1:9">
      <c r="A202">
        <v>16</v>
      </c>
      <c r="B202">
        <v>3</v>
      </c>
      <c r="C202">
        <v>9391.2000000000007</v>
      </c>
      <c r="D202">
        <v>11</v>
      </c>
      <c r="E202">
        <v>16</v>
      </c>
      <c r="F202">
        <v>22</v>
      </c>
      <c r="G202">
        <v>10874</v>
      </c>
      <c r="H202">
        <v>5039.2</v>
      </c>
      <c r="I202">
        <v>11344.2</v>
      </c>
    </row>
    <row r="203" spans="1:9">
      <c r="A203">
        <v>4</v>
      </c>
      <c r="B203">
        <v>11</v>
      </c>
      <c r="C203">
        <v>9838.4</v>
      </c>
      <c r="D203">
        <v>14</v>
      </c>
      <c r="E203">
        <v>9</v>
      </c>
      <c r="F203">
        <v>21</v>
      </c>
      <c r="G203">
        <v>6886.9</v>
      </c>
      <c r="H203">
        <v>4051.1</v>
      </c>
      <c r="I203">
        <v>7600.6</v>
      </c>
    </row>
    <row r="204" spans="1:9">
      <c r="A204">
        <v>6</v>
      </c>
      <c r="B204">
        <v>10</v>
      </c>
      <c r="C204">
        <v>9838.4</v>
      </c>
      <c r="D204">
        <v>13</v>
      </c>
      <c r="E204">
        <v>15</v>
      </c>
      <c r="F204">
        <v>21</v>
      </c>
      <c r="G204">
        <v>11478.2</v>
      </c>
      <c r="H204">
        <v>5297.6</v>
      </c>
      <c r="I204">
        <v>13819.3</v>
      </c>
    </row>
    <row r="205" spans="1:9">
      <c r="A205">
        <v>6</v>
      </c>
      <c r="B205">
        <v>12</v>
      </c>
      <c r="C205">
        <v>9838.4</v>
      </c>
      <c r="D205">
        <v>13</v>
      </c>
      <c r="E205">
        <v>10</v>
      </c>
      <c r="F205">
        <v>21</v>
      </c>
      <c r="G205">
        <v>6260.8</v>
      </c>
      <c r="H205">
        <v>3826</v>
      </c>
      <c r="I205">
        <v>9744.4</v>
      </c>
    </row>
    <row r="206" spans="1:9">
      <c r="A206">
        <v>7</v>
      </c>
      <c r="B206">
        <v>5</v>
      </c>
      <c r="C206">
        <v>9838.4</v>
      </c>
      <c r="D206">
        <v>12</v>
      </c>
      <c r="E206">
        <v>8</v>
      </c>
      <c r="F206">
        <v>21</v>
      </c>
      <c r="G206">
        <v>6456.4</v>
      </c>
      <c r="H206">
        <v>3898.2</v>
      </c>
      <c r="I206">
        <v>5984.7</v>
      </c>
    </row>
    <row r="207" spans="1:9">
      <c r="A207">
        <v>11</v>
      </c>
      <c r="B207">
        <v>10</v>
      </c>
      <c r="C207">
        <v>9838.4</v>
      </c>
      <c r="D207">
        <v>9</v>
      </c>
      <c r="E207">
        <v>15</v>
      </c>
      <c r="F207">
        <v>21</v>
      </c>
      <c r="G207">
        <v>7652.1</v>
      </c>
      <c r="H207">
        <v>4304.3</v>
      </c>
      <c r="I207">
        <v>9500.7000000000007</v>
      </c>
    </row>
    <row r="208" spans="1:9">
      <c r="A208">
        <v>4</v>
      </c>
      <c r="B208">
        <v>3</v>
      </c>
      <c r="C208">
        <v>10330.299999999999</v>
      </c>
      <c r="D208">
        <v>14</v>
      </c>
      <c r="E208">
        <v>16</v>
      </c>
      <c r="F208">
        <v>20</v>
      </c>
      <c r="G208">
        <v>11478.2</v>
      </c>
      <c r="H208">
        <v>5437</v>
      </c>
      <c r="I208">
        <v>13104.5</v>
      </c>
    </row>
    <row r="209" spans="1:9">
      <c r="A209">
        <v>4</v>
      </c>
      <c r="B209">
        <v>6</v>
      </c>
      <c r="C209">
        <v>10330.299999999999</v>
      </c>
      <c r="D209">
        <v>14</v>
      </c>
      <c r="E209">
        <v>13</v>
      </c>
      <c r="F209">
        <v>20</v>
      </c>
      <c r="G209">
        <v>9391.2000000000007</v>
      </c>
      <c r="H209">
        <v>4919.2</v>
      </c>
      <c r="I209">
        <v>8352.2999999999993</v>
      </c>
    </row>
    <row r="210" spans="1:9">
      <c r="A210">
        <v>6</v>
      </c>
      <c r="B210">
        <v>7</v>
      </c>
      <c r="C210">
        <v>10330.299999999999</v>
      </c>
      <c r="D210">
        <v>13</v>
      </c>
      <c r="E210">
        <v>12</v>
      </c>
      <c r="F210">
        <v>20</v>
      </c>
      <c r="G210">
        <v>12912.9</v>
      </c>
      <c r="H210">
        <v>5739.1</v>
      </c>
      <c r="I210">
        <v>11015.4</v>
      </c>
    </row>
    <row r="211" spans="1:9">
      <c r="A211">
        <v>7</v>
      </c>
      <c r="B211">
        <v>4</v>
      </c>
      <c r="C211">
        <v>10330.299999999999</v>
      </c>
      <c r="D211">
        <v>12</v>
      </c>
      <c r="E211">
        <v>14</v>
      </c>
      <c r="F211">
        <v>20</v>
      </c>
      <c r="G211">
        <v>7946.4</v>
      </c>
      <c r="H211">
        <v>4491.3999999999996</v>
      </c>
      <c r="I211">
        <v>8445.1</v>
      </c>
    </row>
    <row r="212" spans="1:9">
      <c r="A212">
        <v>3</v>
      </c>
      <c r="B212">
        <v>16</v>
      </c>
      <c r="C212">
        <v>10874</v>
      </c>
      <c r="D212">
        <v>16</v>
      </c>
      <c r="E212">
        <v>11</v>
      </c>
      <c r="F212">
        <v>19</v>
      </c>
      <c r="G212">
        <v>9391.2000000000007</v>
      </c>
      <c r="H212">
        <v>5039.2</v>
      </c>
      <c r="I212">
        <v>10000.799999999999</v>
      </c>
    </row>
    <row r="213" spans="1:9">
      <c r="A213">
        <v>7</v>
      </c>
      <c r="B213">
        <v>12</v>
      </c>
      <c r="C213">
        <v>10874</v>
      </c>
      <c r="D213">
        <v>12</v>
      </c>
      <c r="E213">
        <v>10</v>
      </c>
      <c r="F213">
        <v>19</v>
      </c>
      <c r="G213">
        <v>8982.9</v>
      </c>
      <c r="H213">
        <v>4919.2</v>
      </c>
      <c r="I213">
        <v>13572.5</v>
      </c>
    </row>
    <row r="214" spans="1:9">
      <c r="A214">
        <v>10</v>
      </c>
      <c r="B214">
        <v>5</v>
      </c>
      <c r="C214">
        <v>10874</v>
      </c>
      <c r="D214">
        <v>15</v>
      </c>
      <c r="E214">
        <v>8</v>
      </c>
      <c r="F214">
        <v>19</v>
      </c>
      <c r="G214">
        <v>5903</v>
      </c>
      <c r="H214">
        <v>3826</v>
      </c>
      <c r="I214">
        <v>11015.4</v>
      </c>
    </row>
    <row r="215" spans="1:9">
      <c r="A215">
        <v>3</v>
      </c>
      <c r="B215">
        <v>4</v>
      </c>
      <c r="C215">
        <v>11478.2</v>
      </c>
      <c r="D215">
        <v>16</v>
      </c>
      <c r="E215">
        <v>14</v>
      </c>
      <c r="F215">
        <v>18</v>
      </c>
      <c r="G215">
        <v>10330.299999999999</v>
      </c>
      <c r="H215">
        <v>5437</v>
      </c>
      <c r="I215">
        <v>11344.2</v>
      </c>
    </row>
    <row r="216" spans="1:9">
      <c r="A216">
        <v>10</v>
      </c>
      <c r="B216">
        <v>6</v>
      </c>
      <c r="C216">
        <v>11478.2</v>
      </c>
      <c r="D216">
        <v>15</v>
      </c>
      <c r="E216">
        <v>13</v>
      </c>
      <c r="F216">
        <v>18</v>
      </c>
      <c r="G216">
        <v>9838.4</v>
      </c>
      <c r="H216">
        <v>5297.6</v>
      </c>
      <c r="I216">
        <v>14903.1</v>
      </c>
    </row>
    <row r="217" spans="1:9">
      <c r="A217">
        <v>3</v>
      </c>
      <c r="B217">
        <v>6</v>
      </c>
      <c r="C217">
        <v>12153.3</v>
      </c>
      <c r="D217">
        <v>16</v>
      </c>
      <c r="E217">
        <v>13</v>
      </c>
      <c r="F217">
        <v>17</v>
      </c>
      <c r="G217">
        <v>12153.3</v>
      </c>
      <c r="H217">
        <v>6076.7</v>
      </c>
      <c r="I217">
        <v>7525.3</v>
      </c>
    </row>
    <row r="218" spans="1:9">
      <c r="A218">
        <v>3</v>
      </c>
      <c r="B218">
        <v>7</v>
      </c>
      <c r="C218">
        <v>12153.3</v>
      </c>
      <c r="D218">
        <v>16</v>
      </c>
      <c r="E218">
        <v>12</v>
      </c>
      <c r="F218">
        <v>17</v>
      </c>
      <c r="G218">
        <v>14757.6</v>
      </c>
      <c r="H218">
        <v>6664.7</v>
      </c>
      <c r="I218">
        <v>12064.4</v>
      </c>
    </row>
    <row r="219" spans="1:9">
      <c r="A219">
        <v>6</v>
      </c>
      <c r="B219">
        <v>3</v>
      </c>
      <c r="C219">
        <v>12153.3</v>
      </c>
      <c r="D219">
        <v>13</v>
      </c>
      <c r="E219">
        <v>16</v>
      </c>
      <c r="F219">
        <v>17</v>
      </c>
      <c r="G219">
        <v>12153.3</v>
      </c>
      <c r="H219">
        <v>6076.7</v>
      </c>
      <c r="I219">
        <v>10134.1</v>
      </c>
    </row>
    <row r="220" spans="1:9">
      <c r="A220">
        <v>7</v>
      </c>
      <c r="B220">
        <v>11</v>
      </c>
      <c r="C220">
        <v>12153.3</v>
      </c>
      <c r="D220">
        <v>12</v>
      </c>
      <c r="E220">
        <v>9</v>
      </c>
      <c r="F220">
        <v>17</v>
      </c>
      <c r="G220">
        <v>8982.9</v>
      </c>
      <c r="H220">
        <v>5165.2</v>
      </c>
      <c r="I220">
        <v>9744.4</v>
      </c>
    </row>
    <row r="221" spans="1:9">
      <c r="A221">
        <v>11</v>
      </c>
      <c r="B221">
        <v>3</v>
      </c>
      <c r="C221">
        <v>12153.3</v>
      </c>
      <c r="D221">
        <v>9</v>
      </c>
      <c r="E221">
        <v>16</v>
      </c>
      <c r="F221">
        <v>17</v>
      </c>
      <c r="G221">
        <v>13773.8</v>
      </c>
      <c r="H221">
        <v>6456.5</v>
      </c>
      <c r="I221">
        <v>9744.4</v>
      </c>
    </row>
    <row r="222" spans="1:9">
      <c r="A222">
        <v>12</v>
      </c>
      <c r="B222">
        <v>10</v>
      </c>
      <c r="C222">
        <v>12153.3</v>
      </c>
      <c r="D222">
        <v>10</v>
      </c>
      <c r="E222">
        <v>15</v>
      </c>
      <c r="F222">
        <v>17</v>
      </c>
      <c r="G222">
        <v>13773.8</v>
      </c>
      <c r="H222">
        <v>6456.5</v>
      </c>
      <c r="I222">
        <v>12882.4</v>
      </c>
    </row>
    <row r="223" spans="1:9">
      <c r="A223">
        <v>4</v>
      </c>
      <c r="B223">
        <v>10</v>
      </c>
      <c r="C223">
        <v>12912.9</v>
      </c>
      <c r="D223">
        <v>14</v>
      </c>
      <c r="E223">
        <v>15</v>
      </c>
      <c r="F223">
        <v>16</v>
      </c>
      <c r="G223">
        <v>12912.9</v>
      </c>
      <c r="H223">
        <v>6456.5</v>
      </c>
      <c r="I223">
        <v>13334.4</v>
      </c>
    </row>
    <row r="224" spans="1:9">
      <c r="A224">
        <v>7</v>
      </c>
      <c r="B224">
        <v>6</v>
      </c>
      <c r="C224">
        <v>12912.9</v>
      </c>
      <c r="D224">
        <v>12</v>
      </c>
      <c r="E224">
        <v>13</v>
      </c>
      <c r="F224">
        <v>16</v>
      </c>
      <c r="G224">
        <v>10330.299999999999</v>
      </c>
      <c r="H224">
        <v>5739.1</v>
      </c>
      <c r="I224">
        <v>17675.8</v>
      </c>
    </row>
    <row r="225" spans="1:9">
      <c r="A225">
        <v>10</v>
      </c>
      <c r="B225">
        <v>4</v>
      </c>
      <c r="C225">
        <v>12912.9</v>
      </c>
      <c r="D225">
        <v>15</v>
      </c>
      <c r="E225">
        <v>14</v>
      </c>
      <c r="F225">
        <v>16</v>
      </c>
      <c r="G225">
        <v>12912.9</v>
      </c>
      <c r="H225">
        <v>6456.5</v>
      </c>
      <c r="I225">
        <v>20001.599999999999</v>
      </c>
    </row>
    <row r="226" spans="1:9">
      <c r="A226">
        <v>16</v>
      </c>
      <c r="B226">
        <v>10</v>
      </c>
      <c r="C226">
        <v>12912.9</v>
      </c>
      <c r="D226">
        <v>11</v>
      </c>
      <c r="E226">
        <v>15</v>
      </c>
      <c r="F226">
        <v>16</v>
      </c>
      <c r="G226">
        <v>14757.6</v>
      </c>
      <c r="H226">
        <v>6886.9</v>
      </c>
      <c r="I226">
        <v>23032.1</v>
      </c>
    </row>
    <row r="227" spans="1:9">
      <c r="A227">
        <v>3</v>
      </c>
      <c r="B227">
        <v>11</v>
      </c>
      <c r="C227">
        <v>13773.8</v>
      </c>
      <c r="D227">
        <v>16</v>
      </c>
      <c r="E227">
        <v>9</v>
      </c>
      <c r="F227">
        <v>15</v>
      </c>
      <c r="G227">
        <v>12153.3</v>
      </c>
      <c r="H227">
        <v>6456.5</v>
      </c>
      <c r="I227">
        <v>14340.8</v>
      </c>
    </row>
    <row r="228" spans="1:9">
      <c r="A228">
        <v>10</v>
      </c>
      <c r="B228">
        <v>12</v>
      </c>
      <c r="C228">
        <v>13773.8</v>
      </c>
      <c r="D228">
        <v>15</v>
      </c>
      <c r="E228">
        <v>10</v>
      </c>
      <c r="F228">
        <v>15</v>
      </c>
      <c r="G228">
        <v>12153.3</v>
      </c>
      <c r="H228">
        <v>6456.5</v>
      </c>
      <c r="I228">
        <v>14075.2</v>
      </c>
    </row>
    <row r="229" spans="1:9">
      <c r="A229">
        <v>12</v>
      </c>
      <c r="B229">
        <v>4</v>
      </c>
      <c r="C229">
        <v>13773.8</v>
      </c>
      <c r="D229">
        <v>10</v>
      </c>
      <c r="E229">
        <v>14</v>
      </c>
      <c r="F229">
        <v>15</v>
      </c>
      <c r="G229">
        <v>15892.9</v>
      </c>
      <c r="H229">
        <v>7378.8</v>
      </c>
      <c r="I229">
        <v>10000.799999999999</v>
      </c>
    </row>
    <row r="230" spans="1:9">
      <c r="A230">
        <v>7</v>
      </c>
      <c r="B230">
        <v>3</v>
      </c>
      <c r="C230">
        <v>14757.6</v>
      </c>
      <c r="D230">
        <v>12</v>
      </c>
      <c r="E230">
        <v>16</v>
      </c>
      <c r="F230">
        <v>14</v>
      </c>
      <c r="G230">
        <v>12153.3</v>
      </c>
      <c r="H230">
        <v>6664.7</v>
      </c>
      <c r="I230">
        <v>10858</v>
      </c>
    </row>
    <row r="231" spans="1:9">
      <c r="A231">
        <v>10</v>
      </c>
      <c r="B231">
        <v>16</v>
      </c>
      <c r="C231">
        <v>14757.6</v>
      </c>
      <c r="D231">
        <v>15</v>
      </c>
      <c r="E231">
        <v>11</v>
      </c>
      <c r="F231">
        <v>14</v>
      </c>
      <c r="G231">
        <v>12912.9</v>
      </c>
      <c r="H231">
        <v>6886.9</v>
      </c>
      <c r="I231">
        <v>18538</v>
      </c>
    </row>
    <row r="232" spans="1:9">
      <c r="A232">
        <v>3</v>
      </c>
      <c r="B232">
        <v>10</v>
      </c>
      <c r="C232">
        <v>15892.9</v>
      </c>
      <c r="D232">
        <v>16</v>
      </c>
      <c r="E232">
        <v>15</v>
      </c>
      <c r="F232">
        <v>13</v>
      </c>
      <c r="G232">
        <v>17217.3</v>
      </c>
      <c r="H232">
        <v>8264.2999999999993</v>
      </c>
      <c r="I232">
        <v>16890.2</v>
      </c>
    </row>
    <row r="233" spans="1:9">
      <c r="A233">
        <v>4</v>
      </c>
      <c r="B233">
        <v>12</v>
      </c>
      <c r="C233">
        <v>15892.9</v>
      </c>
      <c r="D233">
        <v>14</v>
      </c>
      <c r="E233">
        <v>10</v>
      </c>
      <c r="F233">
        <v>13</v>
      </c>
      <c r="G233">
        <v>13773.8</v>
      </c>
      <c r="H233">
        <v>7378.8</v>
      </c>
      <c r="I233">
        <v>10556.4</v>
      </c>
    </row>
    <row r="234" spans="1:9">
      <c r="A234">
        <v>16</v>
      </c>
      <c r="B234">
        <v>4</v>
      </c>
      <c r="C234">
        <v>15892.9</v>
      </c>
      <c r="D234">
        <v>11</v>
      </c>
      <c r="E234">
        <v>14</v>
      </c>
      <c r="F234">
        <v>13</v>
      </c>
      <c r="G234">
        <v>18782.5</v>
      </c>
      <c r="H234">
        <v>8608.7000000000007</v>
      </c>
      <c r="I234">
        <v>16171.5</v>
      </c>
    </row>
    <row r="235" spans="1:9">
      <c r="A235">
        <v>10</v>
      </c>
      <c r="B235">
        <v>3</v>
      </c>
      <c r="C235">
        <v>17217.3</v>
      </c>
      <c r="D235">
        <v>15</v>
      </c>
      <c r="E235">
        <v>16</v>
      </c>
      <c r="F235">
        <v>12</v>
      </c>
      <c r="G235">
        <v>15892.9</v>
      </c>
      <c r="H235">
        <v>8264.2999999999993</v>
      </c>
      <c r="I235">
        <v>30402.400000000001</v>
      </c>
    </row>
    <row r="236" spans="1:9">
      <c r="A236">
        <v>10</v>
      </c>
      <c r="B236">
        <v>7</v>
      </c>
      <c r="C236">
        <v>17217.3</v>
      </c>
      <c r="D236">
        <v>15</v>
      </c>
      <c r="E236">
        <v>12</v>
      </c>
      <c r="F236">
        <v>12</v>
      </c>
      <c r="G236">
        <v>20660.7</v>
      </c>
      <c r="H236">
        <v>9391.2000000000007</v>
      </c>
      <c r="I236">
        <v>27145</v>
      </c>
    </row>
    <row r="237" spans="1:9">
      <c r="A237">
        <v>16</v>
      </c>
      <c r="B237">
        <v>7</v>
      </c>
      <c r="C237">
        <v>17217.3</v>
      </c>
      <c r="D237">
        <v>11</v>
      </c>
      <c r="E237">
        <v>12</v>
      </c>
      <c r="F237">
        <v>12</v>
      </c>
      <c r="G237">
        <v>20660.7</v>
      </c>
      <c r="H237">
        <v>9391.2000000000007</v>
      </c>
      <c r="I237">
        <v>21716</v>
      </c>
    </row>
    <row r="238" spans="1:9">
      <c r="A238">
        <v>4</v>
      </c>
      <c r="B238">
        <v>16</v>
      </c>
      <c r="C238">
        <v>18782.5</v>
      </c>
      <c r="D238">
        <v>14</v>
      </c>
      <c r="E238">
        <v>11</v>
      </c>
      <c r="F238">
        <v>11</v>
      </c>
      <c r="G238">
        <v>15892.9</v>
      </c>
      <c r="H238">
        <v>8608.7000000000007</v>
      </c>
      <c r="I238">
        <v>12064.4</v>
      </c>
    </row>
    <row r="239" spans="1:9">
      <c r="A239">
        <v>12</v>
      </c>
      <c r="B239">
        <v>3</v>
      </c>
      <c r="C239">
        <v>18782.5</v>
      </c>
      <c r="D239">
        <v>10</v>
      </c>
      <c r="E239">
        <v>16</v>
      </c>
      <c r="F239">
        <v>11</v>
      </c>
      <c r="G239">
        <v>22956.400000000001</v>
      </c>
      <c r="H239">
        <v>10330.4</v>
      </c>
      <c r="I239">
        <v>28150.400000000001</v>
      </c>
    </row>
    <row r="240" spans="1:9">
      <c r="A240">
        <v>6</v>
      </c>
      <c r="B240">
        <v>16</v>
      </c>
      <c r="C240">
        <v>20660.7</v>
      </c>
      <c r="D240">
        <v>13</v>
      </c>
      <c r="E240">
        <v>11</v>
      </c>
      <c r="F240">
        <v>10</v>
      </c>
      <c r="G240">
        <v>22956.400000000001</v>
      </c>
      <c r="H240">
        <v>10874.1</v>
      </c>
      <c r="I240">
        <v>15511.4</v>
      </c>
    </row>
    <row r="241" spans="1:9">
      <c r="A241">
        <v>7</v>
      </c>
      <c r="B241">
        <v>10</v>
      </c>
      <c r="C241">
        <v>20660.7</v>
      </c>
      <c r="D241">
        <v>12</v>
      </c>
      <c r="E241">
        <v>15</v>
      </c>
      <c r="F241">
        <v>10</v>
      </c>
      <c r="G241">
        <v>17217.3</v>
      </c>
      <c r="H241">
        <v>9391.2000000000007</v>
      </c>
      <c r="I241">
        <v>23751.9</v>
      </c>
    </row>
    <row r="242" spans="1:9">
      <c r="A242">
        <v>7</v>
      </c>
      <c r="B242">
        <v>16</v>
      </c>
      <c r="C242">
        <v>20660.7</v>
      </c>
      <c r="D242">
        <v>12</v>
      </c>
      <c r="E242">
        <v>11</v>
      </c>
      <c r="F242">
        <v>10</v>
      </c>
      <c r="G242">
        <v>17217.3</v>
      </c>
      <c r="H242">
        <v>9391.2000000000007</v>
      </c>
      <c r="I242">
        <v>25335.3</v>
      </c>
    </row>
    <row r="243" spans="1:9">
      <c r="A243">
        <v>3</v>
      </c>
      <c r="B243">
        <v>12</v>
      </c>
      <c r="C243">
        <v>22956.400000000001</v>
      </c>
      <c r="D243">
        <v>16</v>
      </c>
      <c r="E243">
        <v>10</v>
      </c>
      <c r="F243">
        <v>9</v>
      </c>
      <c r="G243">
        <v>18782.5</v>
      </c>
      <c r="H243">
        <v>10330.4</v>
      </c>
      <c r="I243">
        <v>40003.199999999997</v>
      </c>
    </row>
    <row r="244" spans="1:9">
      <c r="A244">
        <v>16</v>
      </c>
      <c r="B244">
        <v>6</v>
      </c>
      <c r="C244">
        <v>22956.400000000001</v>
      </c>
      <c r="D244">
        <v>11</v>
      </c>
      <c r="E244">
        <v>13</v>
      </c>
      <c r="F244">
        <v>9</v>
      </c>
      <c r="G244">
        <v>20660.7</v>
      </c>
      <c r="H244">
        <v>10874.1</v>
      </c>
      <c r="I244">
        <v>12460</v>
      </c>
    </row>
  </sheetData>
  <sortState ref="A2:I211">
    <sortCondition ref="C1"/>
  </sortState>
  <phoneticPr fontId="1"/>
  <conditionalFormatting sqref="CD5:CD19">
    <cfRule type="expression" dxfId="4" priority="5">
      <formula>AND(CC5&lt;&gt;"",CC5&gt;1.8)</formula>
    </cfRule>
  </conditionalFormatting>
  <conditionalFormatting sqref="CB5:CB19">
    <cfRule type="expression" dxfId="3" priority="4">
      <formula>AND(CA5&lt;&gt;"",CA5&gt;1.8)</formula>
    </cfRule>
  </conditionalFormatting>
  <conditionalFormatting sqref="BZ5:BZ19">
    <cfRule type="expression" dxfId="2" priority="3">
      <formula>AND(BY5&lt;&gt;"",BY5&gt;1.8)</formula>
    </cfRule>
  </conditionalFormatting>
  <conditionalFormatting sqref="CF5:CF19">
    <cfRule type="expression" dxfId="1" priority="2">
      <formula>AND(CE5&lt;&gt;"",CE5&gt;1.8)</formula>
    </cfRule>
  </conditionalFormatting>
  <conditionalFormatting sqref="CH5:CH19">
    <cfRule type="expression" dxfId="0" priority="1">
      <formula>AND(CG5&lt;&gt;"",CG5&gt;1.8)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8.75"/>
  <sheetData/>
  <sortState ref="A2:I241">
    <sortCondition ref="C1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A800"/>
  <sheetViews>
    <sheetView showGridLines="0" zoomScale="85" zoomScaleNormal="85" workbookViewId="0"/>
  </sheetViews>
  <sheetFormatPr defaultColWidth="9" defaultRowHeight="15.75"/>
  <cols>
    <col min="1" max="1" width="8" style="1" customWidth="1"/>
    <col min="2" max="2" width="11.375" style="1" customWidth="1"/>
    <col min="3" max="3" width="13.25" style="1" bestFit="1" customWidth="1"/>
    <col min="4" max="4" width="8" style="1" customWidth="1"/>
    <col min="5" max="12" width="9" style="1"/>
    <col min="13" max="13" width="10.75" style="1" customWidth="1"/>
    <col min="14" max="14" width="11.125" style="1" customWidth="1"/>
    <col min="15" max="15" width="10" style="1" bestFit="1" customWidth="1"/>
    <col min="16" max="16" width="9.125" style="1" bestFit="1" customWidth="1"/>
    <col min="17" max="17" width="9" style="1"/>
    <col min="18" max="20" width="9.125" style="1" bestFit="1" customWidth="1"/>
    <col min="21" max="22" width="8.625" style="1" customWidth="1"/>
    <col min="23" max="28" width="9" style="1"/>
    <col min="29" max="29" width="9.375" style="1" customWidth="1"/>
    <col min="30" max="31" width="9.125" style="1" bestFit="1" customWidth="1"/>
    <col min="32" max="32" width="9.5" style="1" customWidth="1"/>
    <col min="33" max="33" width="8.625" style="1" customWidth="1"/>
    <col min="34" max="34" width="7.5" style="1" customWidth="1"/>
    <col min="35" max="35" width="7.125" style="1" customWidth="1"/>
    <col min="36" max="36" width="8.625" style="1" customWidth="1"/>
    <col min="37" max="37" width="8.375" style="1" customWidth="1"/>
    <col min="38" max="38" width="7.25" style="1" customWidth="1"/>
    <col min="39" max="39" width="6.5" style="1" customWidth="1"/>
    <col min="40" max="40" width="6.25" style="1" customWidth="1"/>
    <col min="41" max="42" width="9" style="1"/>
    <col min="43" max="44" width="9.125" style="1" bestFit="1" customWidth="1"/>
    <col min="45" max="45" width="10.75" style="1" bestFit="1" customWidth="1"/>
    <col min="46" max="52" width="9.125" style="1" bestFit="1" customWidth="1"/>
    <col min="53" max="54" width="9" style="1"/>
    <col min="55" max="55" width="9.125" style="1" bestFit="1" customWidth="1"/>
    <col min="56" max="96" width="9" style="1"/>
    <col min="97" max="97" width="8" style="1" customWidth="1"/>
    <col min="98" max="16384" width="9" style="1"/>
  </cols>
  <sheetData>
    <row r="1" spans="1:183" ht="18.75">
      <c r="A1" s="1" t="s">
        <v>100</v>
      </c>
      <c r="M1" s="26"/>
      <c r="N1" s="13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M1"/>
      <c r="EN1"/>
      <c r="EO1"/>
      <c r="EP1"/>
      <c r="EQ1"/>
      <c r="ER1"/>
      <c r="ES1"/>
      <c r="ET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</row>
    <row r="2" spans="1:183" ht="18.75">
      <c r="A2" s="1" t="s">
        <v>1</v>
      </c>
      <c r="B2" s="1" t="s">
        <v>0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26" t="s">
        <v>12</v>
      </c>
      <c r="N2" s="26">
        <f>N1-30</f>
        <v>-30</v>
      </c>
      <c r="O2" s="5" t="s">
        <v>13</v>
      </c>
      <c r="P2" s="5" t="s">
        <v>14</v>
      </c>
      <c r="Q2" s="5" t="s">
        <v>15</v>
      </c>
      <c r="R2" s="5" t="s">
        <v>16</v>
      </c>
      <c r="S2" s="5" t="s">
        <v>17</v>
      </c>
      <c r="T2" s="5" t="s">
        <v>18</v>
      </c>
      <c r="U2" s="6" t="s">
        <v>19</v>
      </c>
      <c r="V2" s="6" t="s">
        <v>15</v>
      </c>
      <c r="W2" s="6" t="s">
        <v>16</v>
      </c>
      <c r="X2" s="6" t="s">
        <v>17</v>
      </c>
      <c r="Y2" s="7" t="s">
        <v>20</v>
      </c>
      <c r="Z2" s="8" t="s">
        <v>21</v>
      </c>
      <c r="AA2" s="5" t="s">
        <v>15</v>
      </c>
      <c r="AB2" s="5" t="s">
        <v>16</v>
      </c>
      <c r="AC2" s="5" t="s">
        <v>17</v>
      </c>
      <c r="AD2" s="5" t="s">
        <v>22</v>
      </c>
      <c r="AE2" s="6" t="s">
        <v>23</v>
      </c>
      <c r="AF2" s="6" t="s">
        <v>15</v>
      </c>
      <c r="AG2" s="6" t="s">
        <v>16</v>
      </c>
      <c r="AH2" s="6" t="s">
        <v>17</v>
      </c>
      <c r="AI2" s="7" t="s">
        <v>24</v>
      </c>
      <c r="AJ2" s="5" t="s">
        <v>25</v>
      </c>
      <c r="AK2" s="5" t="s">
        <v>15</v>
      </c>
      <c r="AL2" s="5" t="s">
        <v>16</v>
      </c>
      <c r="AM2" s="5" t="s">
        <v>17</v>
      </c>
      <c r="AN2" s="8" t="s">
        <v>26</v>
      </c>
      <c r="AO2" s="6" t="s">
        <v>25</v>
      </c>
      <c r="AP2" s="6" t="s">
        <v>15</v>
      </c>
      <c r="AQ2" s="6" t="s">
        <v>16</v>
      </c>
      <c r="AR2" s="6" t="s">
        <v>17</v>
      </c>
      <c r="AS2" s="7" t="s">
        <v>27</v>
      </c>
      <c r="AT2" s="9" t="s">
        <v>28</v>
      </c>
      <c r="AU2" s="9" t="s">
        <v>29</v>
      </c>
      <c r="AV2" s="9" t="s">
        <v>30</v>
      </c>
      <c r="AW2" s="9" t="s">
        <v>31</v>
      </c>
      <c r="AX2" s="10" t="s">
        <v>32</v>
      </c>
      <c r="AY2" s="9" t="s">
        <v>33</v>
      </c>
      <c r="AZ2" s="9" t="s">
        <v>16</v>
      </c>
      <c r="BA2" s="9" t="s">
        <v>17</v>
      </c>
      <c r="BB2" s="11" t="s">
        <v>34</v>
      </c>
      <c r="BC2" s="12" t="s">
        <v>35</v>
      </c>
      <c r="BD2" s="13" t="s">
        <v>33</v>
      </c>
      <c r="BE2" s="13" t="s">
        <v>16</v>
      </c>
      <c r="BF2" s="13" t="s">
        <v>17</v>
      </c>
      <c r="BG2" s="13" t="s">
        <v>36</v>
      </c>
      <c r="BH2" s="8" t="s">
        <v>37</v>
      </c>
      <c r="BI2" s="5" t="s">
        <v>15</v>
      </c>
      <c r="BJ2" s="5" t="s">
        <v>16</v>
      </c>
      <c r="BK2" s="5" t="s">
        <v>17</v>
      </c>
      <c r="BL2" s="5" t="s">
        <v>38</v>
      </c>
      <c r="BM2" s="6" t="s">
        <v>39</v>
      </c>
      <c r="BN2" s="6" t="s">
        <v>15</v>
      </c>
      <c r="BO2" s="6" t="s">
        <v>16</v>
      </c>
      <c r="BP2" s="6" t="s">
        <v>17</v>
      </c>
      <c r="BQ2" s="7" t="s">
        <v>39</v>
      </c>
      <c r="BR2" s="14" t="s">
        <v>16</v>
      </c>
      <c r="BS2" s="14" t="s">
        <v>40</v>
      </c>
      <c r="BT2" s="14" t="s">
        <v>41</v>
      </c>
      <c r="BU2" s="14" t="s">
        <v>72</v>
      </c>
      <c r="BV2" s="16" t="s">
        <v>42</v>
      </c>
      <c r="BW2" s="14" t="s">
        <v>43</v>
      </c>
      <c r="BX2" s="17" t="s">
        <v>63</v>
      </c>
      <c r="BY2" s="14" t="s">
        <v>45</v>
      </c>
      <c r="BZ2" s="14" t="s">
        <v>43</v>
      </c>
      <c r="CA2" s="17" t="s">
        <v>44</v>
      </c>
      <c r="CB2" s="15" t="s">
        <v>46</v>
      </c>
      <c r="CC2" s="12" t="s">
        <v>47</v>
      </c>
      <c r="CD2" s="5" t="s">
        <v>48</v>
      </c>
      <c r="CE2" s="8" t="s">
        <v>15</v>
      </c>
      <c r="CF2" s="5" t="s">
        <v>49</v>
      </c>
      <c r="CG2" s="5" t="s">
        <v>17</v>
      </c>
      <c r="CH2" s="8" t="s">
        <v>64</v>
      </c>
      <c r="CI2" s="18" t="s">
        <v>50</v>
      </c>
      <c r="CJ2" s="7" t="s">
        <v>51</v>
      </c>
      <c r="CK2" s="7" t="s">
        <v>49</v>
      </c>
      <c r="CL2" s="6" t="s">
        <v>17</v>
      </c>
      <c r="CM2" s="7" t="s">
        <v>65</v>
      </c>
      <c r="CN2" s="8" t="s">
        <v>52</v>
      </c>
      <c r="CO2" s="8" t="s">
        <v>15</v>
      </c>
      <c r="CP2" s="5" t="s">
        <v>49</v>
      </c>
      <c r="CQ2" s="5" t="s">
        <v>17</v>
      </c>
      <c r="CR2" s="8" t="s">
        <v>66</v>
      </c>
      <c r="CS2" s="18" t="s">
        <v>53</v>
      </c>
      <c r="CT2" s="7" t="s">
        <v>51</v>
      </c>
      <c r="CU2" s="7" t="s">
        <v>49</v>
      </c>
      <c r="CV2" s="6" t="s">
        <v>17</v>
      </c>
      <c r="CW2" s="7" t="s">
        <v>67</v>
      </c>
      <c r="CX2" s="19" t="s">
        <v>54</v>
      </c>
      <c r="CY2" s="20" t="s">
        <v>15</v>
      </c>
      <c r="CZ2" s="19" t="s">
        <v>49</v>
      </c>
      <c r="DA2" s="19" t="s">
        <v>17</v>
      </c>
      <c r="DB2" s="20" t="s">
        <v>73</v>
      </c>
      <c r="DC2" s="21" t="s">
        <v>55</v>
      </c>
      <c r="DD2" s="22" t="s">
        <v>15</v>
      </c>
      <c r="DE2" s="22" t="s">
        <v>49</v>
      </c>
      <c r="DF2" s="22" t="s">
        <v>17</v>
      </c>
      <c r="DG2" s="21" t="s">
        <v>74</v>
      </c>
      <c r="DH2" s="20" t="s">
        <v>56</v>
      </c>
      <c r="DI2" s="20" t="s">
        <v>15</v>
      </c>
      <c r="DJ2" s="19" t="s">
        <v>49</v>
      </c>
      <c r="DK2" s="19" t="s">
        <v>17</v>
      </c>
      <c r="DL2" s="20" t="s">
        <v>75</v>
      </c>
      <c r="DM2" s="21" t="s">
        <v>57</v>
      </c>
      <c r="DN2" s="21" t="s">
        <v>15</v>
      </c>
      <c r="DO2" s="22" t="s">
        <v>49</v>
      </c>
      <c r="DP2" s="22" t="s">
        <v>17</v>
      </c>
      <c r="DQ2" s="21" t="s">
        <v>76</v>
      </c>
      <c r="DR2" s="8" t="s">
        <v>58</v>
      </c>
      <c r="DS2" s="5" t="s">
        <v>15</v>
      </c>
      <c r="DT2" s="5" t="s">
        <v>49</v>
      </c>
      <c r="DU2" s="5" t="s">
        <v>17</v>
      </c>
      <c r="DV2" s="8" t="s">
        <v>68</v>
      </c>
      <c r="DW2" s="23" t="s">
        <v>59</v>
      </c>
      <c r="DX2" s="14" t="s">
        <v>15</v>
      </c>
      <c r="DY2" s="13" t="s">
        <v>49</v>
      </c>
      <c r="DZ2" s="13" t="s">
        <v>17</v>
      </c>
      <c r="EA2" s="23" t="s">
        <v>69</v>
      </c>
      <c r="EB2" s="24" t="s">
        <v>60</v>
      </c>
      <c r="EC2" s="5" t="s">
        <v>15</v>
      </c>
      <c r="ED2" s="5" t="s">
        <v>49</v>
      </c>
      <c r="EE2" s="5" t="s">
        <v>17</v>
      </c>
      <c r="EF2" s="24" t="s">
        <v>70</v>
      </c>
      <c r="EG2" s="23" t="s">
        <v>50</v>
      </c>
      <c r="EH2" s="13" t="s">
        <v>15</v>
      </c>
      <c r="EI2" s="13" t="s">
        <v>49</v>
      </c>
      <c r="EJ2" s="13" t="s">
        <v>17</v>
      </c>
      <c r="EK2" s="14" t="s">
        <v>71</v>
      </c>
      <c r="EU2" s="27" t="str">
        <f>IF(MID(A1,20,1)="東","東京",IF(MID(A1,20,1)="中","中山",IF(MID(A1,20,1)="京","京都",IF(MID(A1,20,1)="阪","阪神",IF(MID(A1,20,1)="名","中京",IF(MID(A1,20,1)="新","新潟",IF(MID(A1,20,1)="福","福島",IF(MID(A1,20,1)="小","小倉",IF(MID(A1,20,1)="札","札幌",IF(MID(A1,20,1)="函","函館"))))))))))&amp;RIGHT(A1,2)</f>
        <v>中山10</v>
      </c>
      <c r="EV2" s="13" t="s">
        <v>81</v>
      </c>
      <c r="EW2" s="12" t="s">
        <v>83</v>
      </c>
      <c r="EX2" s="13" t="s">
        <v>63</v>
      </c>
      <c r="EY2" s="13" t="s">
        <v>45</v>
      </c>
      <c r="EZ2" s="17" t="s">
        <v>44</v>
      </c>
      <c r="FA2" s="13" t="s">
        <v>36</v>
      </c>
      <c r="FB2" s="13" t="s">
        <v>38</v>
      </c>
      <c r="FC2" s="13" t="s">
        <v>18</v>
      </c>
      <c r="FD2" s="13" t="s">
        <v>22</v>
      </c>
      <c r="FE2" s="13" t="s">
        <v>84</v>
      </c>
      <c r="FF2" s="13" t="s">
        <v>77</v>
      </c>
      <c r="FG2" s="13" t="s">
        <v>74</v>
      </c>
      <c r="FH2" s="13" t="s">
        <v>75</v>
      </c>
      <c r="FI2" s="13" t="s">
        <v>76</v>
      </c>
      <c r="FJ2" s="13" t="s">
        <v>85</v>
      </c>
      <c r="FK2" s="13" t="s">
        <v>86</v>
      </c>
      <c r="FL2" s="12"/>
      <c r="FM2" s="12"/>
      <c r="FN2" s="12"/>
      <c r="FO2" s="12"/>
    </row>
    <row r="3" spans="1:183" ht="18.75">
      <c r="A3" s="1" t="s">
        <v>88</v>
      </c>
      <c r="B3" s="1">
        <v>20190710</v>
      </c>
      <c r="C3" s="1" t="s">
        <v>96</v>
      </c>
      <c r="D3" s="1">
        <v>7</v>
      </c>
      <c r="E3" s="30">
        <v>53</v>
      </c>
      <c r="F3" s="30">
        <v>38</v>
      </c>
      <c r="G3" s="30">
        <v>24.1</v>
      </c>
      <c r="H3" s="30">
        <v>11.7</v>
      </c>
      <c r="I3" s="30">
        <v>15</v>
      </c>
      <c r="J3" s="30">
        <v>13.9</v>
      </c>
      <c r="K3" s="30">
        <v>12.4</v>
      </c>
      <c r="L3" s="30">
        <v>11.7</v>
      </c>
      <c r="M3" s="1" t="str">
        <f>IFERROR(MID(B3,1,4)&amp;"/"&amp;MID(B3,5,2)&amp;"/"&amp;RIGHT(B3,2),"")</f>
        <v>2019/07/10</v>
      </c>
      <c r="N3" s="4" t="str">
        <f>IFERROR(IF(AND(VALUE($N$1)&gt;=VALUE(M3),VALUE($N$2)&lt;=VALUE(M3)),D3,""),"")</f>
        <v/>
      </c>
      <c r="O3">
        <v>1.0000000000000001E-5</v>
      </c>
      <c r="P3" s="1" t="str">
        <f>IF(N3="","",IF(E3=0,"",IF(E3="","",E3+O3)))</f>
        <v/>
      </c>
      <c r="Q3" s="1" t="str">
        <f>IF($A3="","",IF(P3="","",RANK(P3,$P$3:$P$153,1)))</f>
        <v/>
      </c>
      <c r="R3" s="1">
        <f>D3</f>
        <v>7</v>
      </c>
      <c r="S3">
        <v>1</v>
      </c>
      <c r="T3" s="1" t="str">
        <f>IFERROR(IF($A3="","",VLOOKUP(S3,$Q$3:S$153,2,FALSE)),"")</f>
        <v/>
      </c>
      <c r="U3" s="1">
        <f>IF(A3="","",IF(E3=0,"",IF(E3="","",E3+O3)))</f>
        <v>53.000010000000003</v>
      </c>
      <c r="V3" s="1">
        <f>IF($A3="","",IF(U3="","",RANK(U3,$U$3:$U$153,1)))</f>
        <v>25</v>
      </c>
      <c r="W3" s="1">
        <f>D3</f>
        <v>7</v>
      </c>
      <c r="X3">
        <v>1</v>
      </c>
      <c r="Y3" s="1">
        <f>IFERROR(IF($A3="","",VLOOKUP(X3,$V$3:X$153,2,FALSE)),"")</f>
        <v>1</v>
      </c>
      <c r="Z3" s="1" t="str">
        <f>IF(N3="","",IF(F3=0,"",IF(F3="","",F3+O3)))</f>
        <v/>
      </c>
      <c r="AA3" s="1" t="str">
        <f>IF($A3="","",IF(Z3="","",RANK(Z3,$Z$3:$Z$153,1)))</f>
        <v/>
      </c>
      <c r="AB3" s="1">
        <f>D3</f>
        <v>7</v>
      </c>
      <c r="AC3">
        <v>1</v>
      </c>
      <c r="AD3" s="1" t="str">
        <f>IFERROR(IF($A3="","",VLOOKUP(AC3,$AA$3:AC$153,2,FALSE)),"")</f>
        <v/>
      </c>
      <c r="AE3" s="1">
        <f>IF(F3=0,"",IF(F3="","",F3+O3))</f>
        <v>38.000010000000003</v>
      </c>
      <c r="AF3" s="1">
        <f>IF($A3="","",IF(AE3="","",RANK(AE3,$AE$3:$AE$153,1)))</f>
        <v>20</v>
      </c>
      <c r="AG3" s="1">
        <f>D3</f>
        <v>7</v>
      </c>
      <c r="AH3">
        <v>1</v>
      </c>
      <c r="AI3" s="1">
        <f>IFERROR(IF($A3="","",VLOOKUP(AH3,$AF$3:AH$153,2,FALSE)),"")</f>
        <v>4</v>
      </c>
      <c r="AJ3" s="1" t="str">
        <f>IF(N3="","",IF(G3=0,"",IF(G3="","",G3+O3)))</f>
        <v/>
      </c>
      <c r="AK3" s="1" t="str">
        <f>IF($A3="","",IF(AJ3="","",RANK(AJ3,$AJ$3:$AJ$153,1)))</f>
        <v/>
      </c>
      <c r="AL3" s="1">
        <f>D3</f>
        <v>7</v>
      </c>
      <c r="AM3">
        <v>1</v>
      </c>
      <c r="AN3" s="1" t="str">
        <f>IFERROR(IF($A3="","",VLOOKUP(AM3,$AK$3:AM$153,2,FALSE)),"")</f>
        <v/>
      </c>
      <c r="AO3" s="1">
        <f>IF(G3=0,"",IF(G3="","",G3+O3))</f>
        <v>24.100010000000001</v>
      </c>
      <c r="AP3" s="1">
        <f>IF($A3="","",IF(AO3="","",RANK(AO3,$AO$3:$AO$153,1)))</f>
        <v>1</v>
      </c>
      <c r="AQ3" s="1">
        <f>D3</f>
        <v>7</v>
      </c>
      <c r="AR3">
        <v>1</v>
      </c>
      <c r="AS3" s="1">
        <f>IFERROR(IF($A3="","",VLOOKUP(AR3,$AP$3:AR$153,2,FALSE)),"")</f>
        <v>7</v>
      </c>
      <c r="AT3" s="1">
        <f>IFERROR(IF(I3="","",IF(OR(I3=0,J3=0,K3=0,L3=0),0,I3-J3)),"")</f>
        <v>1.0999999999999996</v>
      </c>
      <c r="AU3" s="1">
        <f>IFERROR(IF(J3="","",IF(OR(I3=0,J3=0,K3=0,L3=0),0,J3-K3)),"")</f>
        <v>1.5</v>
      </c>
      <c r="AV3" s="1">
        <f>IFERROR(IF(K3="","",IF(OR(I3=0,J3=0,K3=0,L3=0),0,K3-L3)),"")</f>
        <v>0.70000000000000107</v>
      </c>
      <c r="AW3" s="1">
        <f>IF(SUM(AT3:AV3)=0,0,IF(OR(I3=0,J3=0,K3=0,L3=0),0,SUM(AT3:AV3)))</f>
        <v>3.3000000000000007</v>
      </c>
      <c r="AX3" s="1">
        <f>IFERROR(IF(A3="",0,IF(OR(I3=0,J3=0,K3=0,L3=0),0,IF(AV3&lt;0,0,AVERAGE(AT3:AV3)+O3))),"")</f>
        <v>1.1000100000000004</v>
      </c>
      <c r="AY3" s="1">
        <f>IF(A3="","",RANK(AX3,$AX$3:$AX$32,0))</f>
        <v>16</v>
      </c>
      <c r="AZ3" s="1">
        <f>D3</f>
        <v>7</v>
      </c>
      <c r="BA3">
        <v>1</v>
      </c>
      <c r="BB3" s="1">
        <f>IFERROR(IF($A3="","",VLOOKUP(BA3,$AY$3:BA$153,2,FALSE)),"")</f>
        <v>7</v>
      </c>
      <c r="BC3" s="1">
        <f>IFERROR(IF(AND(AU3&lt;0,AV3&lt;0),0,AT3+AU3+O3),0)</f>
        <v>2.6000099999999997</v>
      </c>
      <c r="BD3" s="1">
        <f>IF(A3="","",RANK(BC3,$BC$3:$BC$153,0))</f>
        <v>71</v>
      </c>
      <c r="BE3" s="1">
        <f>D3</f>
        <v>7</v>
      </c>
      <c r="BF3">
        <v>1</v>
      </c>
      <c r="BG3" s="1">
        <f>IFERROR(IF($A3="","",VLOOKUP(BF3,$BD$3:BF$153,2,FALSE)),"")</f>
        <v>7</v>
      </c>
      <c r="BH3" s="1" t="str">
        <f>IFERROR(IF(A3="","",IF(OR(I3=0,J3=0,K3=0,L3=0),"",IF(N3="","",VARP(I3:L3)))),"")</f>
        <v/>
      </c>
      <c r="BI3" s="1" t="str">
        <f>IF(A3="","",IF(BH3="","",RANK(BH3,$BH$3:$BH153,1)))</f>
        <v/>
      </c>
      <c r="BJ3" s="1">
        <f>D3</f>
        <v>7</v>
      </c>
      <c r="BK3">
        <v>1</v>
      </c>
      <c r="BL3" s="1" t="str">
        <f>IFERROR(IF($A3="","",VLOOKUP(BK3,$BI$3:BK$153,2,FALSE)),"")</f>
        <v/>
      </c>
      <c r="BM3" s="1">
        <f>IFERROR(IF(A3="","",IF(OR(I3=0,J3=0,K3=0,L3=0),"",VARP(I3:L3))),"")</f>
        <v>1.6525000000000003</v>
      </c>
      <c r="BN3" s="1">
        <f>IF(A3="","",IF(BM3="","",RANK(BM3,$BM$3:$BM153,1)))</f>
        <v>100</v>
      </c>
      <c r="BO3" s="1">
        <f>D3</f>
        <v>7</v>
      </c>
      <c r="BP3">
        <v>1</v>
      </c>
      <c r="BQ3" s="1">
        <f>IFERROR(IF($A3="","",VLOOKUP(BP3,$BN$3:BP$153,2,FALSE)),"")</f>
        <v>8</v>
      </c>
      <c r="BR3" s="1">
        <f>D3</f>
        <v>7</v>
      </c>
      <c r="BS3" s="1" t="str">
        <f>C3</f>
        <v>サヤカチャン　　　　　　　　　　　　</v>
      </c>
      <c r="BT3" s="25">
        <v>1</v>
      </c>
      <c r="BU3" s="1" t="str">
        <f>IFERROR(IF($A3="","",VLOOKUP(BT3,$BR$3:BT$300,2,FALSE)),"")</f>
        <v>コウエイダリア　　　　　　　　　　　</v>
      </c>
      <c r="BV3" s="4" t="str">
        <f>IF(COUNTIF($N$3:$N$801,BT3)&lt;=2,"未検出",COUNTIF($N$3:$N$801,BT3))</f>
        <v>未検出</v>
      </c>
      <c r="BW3" s="4">
        <f>IF(BV3="未検出",BT3,"")</f>
        <v>1</v>
      </c>
      <c r="BX3" s="4">
        <f t="array" ref="BX3">IFERROR(VALUE(INDEX(BW:BW,SMALL(IF($BW$3:$BW$20&lt;&gt;"",ROW($BW$3:$BW$20),999),ROW(A1)))&amp;""),"")</f>
        <v>1</v>
      </c>
      <c r="BY3" s="4">
        <f>IF(COUNTIF($D$3:$D$801,BT3)&lt;=2,"未検出",COUNTIF($D$3:$D$801,BT3))</f>
        <v>52</v>
      </c>
      <c r="BZ3" s="1" t="str">
        <f t="shared" ref="BZ3:BZ20" si="0">IF(BY3="未検出",BT3,"")</f>
        <v/>
      </c>
      <c r="CA3" s="1">
        <f t="array" ref="CA3">IFERROR(VALUE(INDEX(BZ:BZ,SMALL(IF($BZ$3:$BZ$20&lt;&gt;"",ROW($BZ$3:$BZ$20),999),ROW(A1)))&amp;""),"")</f>
        <v>11</v>
      </c>
      <c r="CB3" s="1">
        <f>150-COUNTIF(N3:N153,"")</f>
        <v>-1</v>
      </c>
      <c r="CC3" s="1">
        <f>800-COUNTIF(D3:D802,"")</f>
        <v>452</v>
      </c>
      <c r="CD3" s="1" t="str">
        <f>IFERROR(IF(L3=0,"",IF(N3="","",IF(L3&lt;12,L3,""))),"")</f>
        <v/>
      </c>
      <c r="CE3" s="1" t="str">
        <f>IF(A3="","",IF(CD3="","",RANK(CD3,$CD$3:$CD153,1)))</f>
        <v/>
      </c>
      <c r="CF3" s="1">
        <f>D3</f>
        <v>7</v>
      </c>
      <c r="CG3">
        <v>1</v>
      </c>
      <c r="CH3" s="1" t="str">
        <f>IFERROR(IF($A3="","",VLOOKUP(CG3,$CE$3:CG$153,2,FALSE)),"")</f>
        <v/>
      </c>
      <c r="CI3" s="1">
        <f>IFERROR(IF(L3=0,"",IF(L3&lt;12,L3,"")),"")</f>
        <v>11.7</v>
      </c>
      <c r="CJ3" s="1">
        <f>IF(A3="","",IF(CI3="","",RANK(CI3,$CI$3:$CI153,1)))</f>
        <v>1</v>
      </c>
      <c r="CK3" s="1">
        <f>D3</f>
        <v>7</v>
      </c>
      <c r="CL3">
        <v>1</v>
      </c>
      <c r="CM3" s="1">
        <f>IFERROR(IF($A3="","",VLOOKUP(CL3,$CJ$3:CL$153,2,FALSE)),"")</f>
        <v>7</v>
      </c>
      <c r="CN3" s="1" t="str">
        <f>IFERROR(IF(K3=0,"",IF(N3="","",IF(K3&lt;12,K3,""))),"")</f>
        <v/>
      </c>
      <c r="CO3" s="1" t="str">
        <f>IF(A3="","",IF(CN3="","",RANK(CN3,$CN$3:$CN153,1)))</f>
        <v/>
      </c>
      <c r="CP3" s="1">
        <f>D3</f>
        <v>7</v>
      </c>
      <c r="CQ3">
        <v>1</v>
      </c>
      <c r="CR3" s="1" t="str">
        <f>IFERROR(IF($A3="","",VLOOKUP(CQ3,$CO$3:CQ$153,2,FALSE)),"")</f>
        <v/>
      </c>
      <c r="CS3" s="1" t="str">
        <f>IFERROR(IF(K3=0,"",IF(K3&lt;12,K3,"")),"")</f>
        <v/>
      </c>
      <c r="CT3" s="1" t="str">
        <f>IF(A3="","",IF(CS3="","",RANK(CS3,$CS$3:$CS153,1)))</f>
        <v/>
      </c>
      <c r="CU3" s="1">
        <f>D3</f>
        <v>7</v>
      </c>
      <c r="CV3">
        <v>1</v>
      </c>
      <c r="CW3" s="1">
        <f>IFERROR(IF($A3="","",VLOOKUP(CV3,$CT$3:CV$153,2,FALSE)),"")</f>
        <v>7</v>
      </c>
      <c r="CX3" s="1" t="str">
        <f>IFERROR(IF($A3="","",IF(OR(I3=0,J3=0,K3=0,L3=0),"",IF($N3="","",IF(OR(F3&gt;=410,L3&gt;=140),"",I3+$O3)))),"")</f>
        <v/>
      </c>
      <c r="CY3" s="1" t="str">
        <f>IF(CX3="","",IF(A3="","",RANK(CX3,$CX$3:$CX153,1)))</f>
        <v/>
      </c>
      <c r="CZ3" s="1">
        <f>D3</f>
        <v>7</v>
      </c>
      <c r="DA3">
        <v>1</v>
      </c>
      <c r="DB3" s="1" t="str">
        <f>IFERROR(IF($A3="","",VLOOKUP(DA3,$CY$3:DA$153,2,FALSE)),"")</f>
        <v/>
      </c>
      <c r="DC3" s="1" t="str">
        <f>IFERROR(IF($A3="","",IF(OR(I3=0,J3=0,K3=0,L3=0),"",IF($N3="","",IF(OR(F3&gt;=410,L3&gt;=140),"",J3+$O3)))),"")</f>
        <v/>
      </c>
      <c r="DD3" s="1" t="str">
        <f>IF(DC3="","",IF(A3="","",RANK(DC3,$DC$3:$DC153,1)))</f>
        <v/>
      </c>
      <c r="DE3" s="1">
        <f>D3</f>
        <v>7</v>
      </c>
      <c r="DF3">
        <v>1</v>
      </c>
      <c r="DG3" s="1" t="str">
        <f>IFERROR(IF($A3="","",VLOOKUP(DF3,$DD$3:DF$153,2,FALSE)),"")</f>
        <v/>
      </c>
      <c r="DH3" s="1" t="str">
        <f>IFERROR(IF($A3="","",IF(OR(I3=0,J3=0,K3=0,L3=0),"",IF($N3="","",IF(OR(F3&gt;=410,L3&gt;=140),"",K3+$O3)))),"")</f>
        <v/>
      </c>
      <c r="DI3" s="1" t="str">
        <f>IF(DH3="","",IF(A3="","",RANK(DH3,$DH$3:$DH153,1)))</f>
        <v/>
      </c>
      <c r="DJ3" s="1">
        <f>D3</f>
        <v>7</v>
      </c>
      <c r="DK3">
        <v>1</v>
      </c>
      <c r="DL3" s="1" t="str">
        <f>IFERROR(IF($A3="","",VLOOKUP(DK3,$DI$3:DK$153,2,FALSE)),"")</f>
        <v/>
      </c>
      <c r="DM3" s="1" t="str">
        <f>IFERROR(IF($A3="","",IF(OR(I3=0,J3=0,K3=0,L3=0),"",IF($N3="","",IF(OR(F3&gt;=410,L3&gt;=140),"",L3+$O3)))),"")</f>
        <v/>
      </c>
      <c r="DN3" s="1" t="str">
        <f>IF(DM3="","",IF(A3="","",RANK(DM3,$DM$3:$DM153,1)))</f>
        <v/>
      </c>
      <c r="DO3" s="1">
        <f>D3</f>
        <v>7</v>
      </c>
      <c r="DP3">
        <v>1</v>
      </c>
      <c r="DQ3" s="1" t="str">
        <f>IFERROR(IF($A3="","",VLOOKUP(DP3,$DN$3:DP$153,2,FALSE)),"")</f>
        <v/>
      </c>
      <c r="DR3" s="1">
        <f>IFERROR(IF($A3="","",IF(OR(I3=0,J3=0,K3=0,L3=0),"",IF(OR(F3&gt;=410,L3&gt;=140),"",I3+$O3))),"")</f>
        <v>15.00001</v>
      </c>
      <c r="DS3" s="1">
        <f>IF(DR3="","",IF(A3="","",RANK(DR3,$DR$3:$DR153,1)))</f>
        <v>47</v>
      </c>
      <c r="DT3" s="1">
        <f>D3</f>
        <v>7</v>
      </c>
      <c r="DU3">
        <v>1</v>
      </c>
      <c r="DV3" s="1">
        <f>IFERROR(IF($A3="","",VLOOKUP(DU3,$DS$3:DU$153,2,FALSE)),"")</f>
        <v>7</v>
      </c>
      <c r="DW3" s="1">
        <f>IFERROR(IF($A3="","",IF(OR(I3=0,J3=0,K3=0,L3=0),"",IF(OR(F3&gt;=410,L3&gt;=140),"",J3+$O3))),"")</f>
        <v>13.90001</v>
      </c>
      <c r="DX3" s="1">
        <f>IF(DW3="","",IF(A3="","",RANK(DW3,$DW$3:$DW153,1)))</f>
        <v>68</v>
      </c>
      <c r="DY3" s="1">
        <f>D3</f>
        <v>7</v>
      </c>
      <c r="DZ3">
        <v>1</v>
      </c>
      <c r="EA3" s="1">
        <f>IFERROR(IF($A3="","",VLOOKUP(DZ3,$DX$3:DZ$153,2,FALSE)),"")</f>
        <v>7</v>
      </c>
      <c r="EB3" s="1">
        <f>IFERROR(IF($A3="","",IF(OR(I3=0,J3=0,K3=0,L3=0),"",IF(OR(F3&gt;=410,L3&gt;=140),"",K3+$O3))),"")</f>
        <v>12.40001</v>
      </c>
      <c r="EC3" s="1">
        <f>IF(EB3="","",IF(A3="","",RANK(EB3,$EB$3:$EB153,1)))</f>
        <v>30</v>
      </c>
      <c r="ED3" s="1">
        <f>D3</f>
        <v>7</v>
      </c>
      <c r="EE3">
        <v>1</v>
      </c>
      <c r="EF3" s="1">
        <f>IFERROR(IF($A3="","",VLOOKUP(EE3,$EC$3:EE$153,2,FALSE)),"")</f>
        <v>7</v>
      </c>
      <c r="EG3" s="1">
        <f>IFERROR(IF($A3="","",IF(OR(I3=0,J3=0,K3=0,L3=0),"",IF(OR(F3&gt;=410,L3&gt;=140),"",L3+$O3))),"")</f>
        <v>11.700009999999999</v>
      </c>
      <c r="EH3" s="1">
        <f>IF(EG3="","",IF(A3="","",RANK(EG3,$EG$3:$EG153,1)))</f>
        <v>1</v>
      </c>
      <c r="EI3" s="1">
        <f>D3</f>
        <v>7</v>
      </c>
      <c r="EJ3">
        <v>1</v>
      </c>
      <c r="EK3" s="1">
        <f>IFERROR(IF($A3="","",VLOOKUP(EJ3,$EH$3:EJ$153,2,FALSE)),"")</f>
        <v>7</v>
      </c>
      <c r="EU3" s="13">
        <v>1</v>
      </c>
      <c r="EV3" s="1" t="str">
        <f t="shared" ref="EV3:EW20" si="1">BU3</f>
        <v>コウエイダリア　　　　　　　　　　　</v>
      </c>
      <c r="EW3" s="4" t="str">
        <f t="shared" si="1"/>
        <v>未検出</v>
      </c>
      <c r="EX3" s="4">
        <f t="shared" ref="EX3:EY20" si="2">BX3</f>
        <v>1</v>
      </c>
      <c r="EY3" s="4">
        <f t="shared" si="2"/>
        <v>52</v>
      </c>
      <c r="EZ3" s="4">
        <f t="shared" ref="EZ3:EZ12" si="3">CA3</f>
        <v>11</v>
      </c>
      <c r="FA3" s="1">
        <f t="shared" ref="FA3:FA12" si="4">BG3</f>
        <v>7</v>
      </c>
      <c r="FB3" s="1" t="str">
        <f t="shared" ref="FB3:FB12" si="5">BL3</f>
        <v/>
      </c>
      <c r="FC3" s="1" t="str">
        <f t="shared" ref="FC3:FC12" si="6">T3</f>
        <v/>
      </c>
      <c r="FD3" s="1" t="str">
        <f t="shared" ref="FD3:FD12" si="7">AD3</f>
        <v/>
      </c>
      <c r="FE3" s="1" t="str">
        <f t="shared" ref="FE3:FE12" si="8">AN3</f>
        <v/>
      </c>
      <c r="FF3" s="1" t="str">
        <f t="shared" ref="FF3:FF12" si="9">DB3</f>
        <v/>
      </c>
      <c r="FG3" s="1" t="str">
        <f t="shared" ref="FG3:FG12" si="10">DG3</f>
        <v/>
      </c>
      <c r="FH3" s="1" t="str">
        <f t="shared" ref="FH3:FH12" si="11">DL3</f>
        <v/>
      </c>
      <c r="FI3" s="1" t="str">
        <f t="shared" ref="FI3:FI12" si="12">DQ3</f>
        <v/>
      </c>
      <c r="FJ3" s="1" t="str">
        <f>CH3</f>
        <v/>
      </c>
      <c r="FK3" s="1" t="str">
        <f>CR3</f>
        <v/>
      </c>
    </row>
    <row r="4" spans="1:183" ht="18.75">
      <c r="A4" s="1" t="s">
        <v>88</v>
      </c>
      <c r="B4" s="1">
        <v>20190522</v>
      </c>
      <c r="C4" s="1" t="s">
        <v>90</v>
      </c>
      <c r="D4" s="1">
        <v>1</v>
      </c>
      <c r="E4" s="30">
        <v>54.4</v>
      </c>
      <c r="F4" s="30">
        <v>38.799999999999997</v>
      </c>
      <c r="G4" s="30">
        <v>24.6</v>
      </c>
      <c r="H4" s="30">
        <v>12</v>
      </c>
      <c r="I4" s="30">
        <v>15.6</v>
      </c>
      <c r="J4" s="30">
        <v>14.2</v>
      </c>
      <c r="K4" s="30">
        <v>12.6</v>
      </c>
      <c r="L4" s="30">
        <v>12</v>
      </c>
      <c r="M4" s="1" t="str">
        <f t="shared" ref="M4:M67" si="13">IFERROR(MID(B4,1,4)&amp;"/"&amp;MID(B4,5,2)&amp;"/"&amp;RIGHT(B4,2),"")</f>
        <v>2019/05/22</v>
      </c>
      <c r="N4" s="4" t="str">
        <f t="shared" ref="N4:N67" si="14">IFERROR(IF(AND(VALUE($N$1)&gt;=VALUE(M4),VALUE($N$2)&lt;=VALUE(M4)),D4,""),"")</f>
        <v/>
      </c>
      <c r="O4">
        <v>2.0000000000000002E-5</v>
      </c>
      <c r="P4" s="1" t="str">
        <f t="shared" ref="P4:P67" si="15">IF(N4="","",IF(E4=0,"",IF(E4="","",E4+O4)))</f>
        <v/>
      </c>
      <c r="Q4" s="1" t="str">
        <f t="shared" ref="Q4:Q67" si="16">IF($A4="","",IF(P4="","",RANK(P4,$P$3:$P$153,1)))</f>
        <v/>
      </c>
      <c r="R4" s="1">
        <f t="shared" ref="R4:R67" si="17">D4</f>
        <v>1</v>
      </c>
      <c r="S4">
        <v>2</v>
      </c>
      <c r="T4" s="1" t="str">
        <f>IFERROR(IF($A4="","",VLOOKUP(S4,$Q$3:S$153,2,FALSE)),"")</f>
        <v/>
      </c>
      <c r="U4" s="1">
        <f t="shared" ref="U4:U67" si="18">IF(A4="","",IF(E4=0,"",IF(E4="","",E4+O4)))</f>
        <v>54.400019999999998</v>
      </c>
      <c r="V4" s="1">
        <f t="shared" ref="V4:V67" si="19">IF($A4="","",IF(U4="","",RANK(U4,$U$3:$U$153,1)))</f>
        <v>51</v>
      </c>
      <c r="W4" s="1">
        <f t="shared" ref="W4:W67" si="20">D4</f>
        <v>1</v>
      </c>
      <c r="X4">
        <v>2</v>
      </c>
      <c r="Y4" s="1">
        <f>IFERROR(IF($A4="","",VLOOKUP(X4,$V$3:X$153,2,FALSE)),"")</f>
        <v>7</v>
      </c>
      <c r="Z4" s="1" t="str">
        <f t="shared" ref="Z4:Z67" si="21">IF(N4="","",IF(F4=0,"",IF(F4="","",F4+O4)))</f>
        <v/>
      </c>
      <c r="AA4" s="1" t="str">
        <f t="shared" ref="AA4:AA67" si="22">IF($A4="","",IF(Z4="","",RANK(Z4,$Z$3:$Z$153,1)))</f>
        <v/>
      </c>
      <c r="AB4" s="1">
        <f t="shared" ref="AB4:AB67" si="23">D4</f>
        <v>1</v>
      </c>
      <c r="AC4">
        <v>2</v>
      </c>
      <c r="AD4" s="1" t="str">
        <f>IFERROR(IF($A4="","",VLOOKUP(AC4,$AA$3:AC$153,2,FALSE)),"")</f>
        <v/>
      </c>
      <c r="AE4" s="1">
        <f t="shared" ref="AE4:AE67" si="24">IF(F4=0,"",IF(F4="","",F4+O4))</f>
        <v>38.800019999999996</v>
      </c>
      <c r="AF4" s="1">
        <f t="shared" ref="AF4:AF67" si="25">IF($A4="","",IF(AE4="","",RANK(AE4,$AE$3:$AE$153,1)))</f>
        <v>53</v>
      </c>
      <c r="AG4" s="1">
        <f t="shared" ref="AG4:AG67" si="26">D4</f>
        <v>1</v>
      </c>
      <c r="AH4">
        <v>2</v>
      </c>
      <c r="AI4" s="1">
        <f>IFERROR(IF($A4="","",VLOOKUP(AH4,$AF$3:AH$153,2,FALSE)),"")</f>
        <v>1</v>
      </c>
      <c r="AJ4" s="1" t="str">
        <f t="shared" ref="AJ4:AJ67" si="27">IF(N4="","",IF(G4=0,"",IF(G4="","",G4+O4)))</f>
        <v/>
      </c>
      <c r="AK4" s="1" t="str">
        <f t="shared" ref="AK4:AK67" si="28">IF($A4="","",IF(AJ4="","",RANK(AJ4,$AJ$3:$AJ$153,1)))</f>
        <v/>
      </c>
      <c r="AL4" s="1">
        <f t="shared" ref="AL4:AL67" si="29">D4</f>
        <v>1</v>
      </c>
      <c r="AM4">
        <v>2</v>
      </c>
      <c r="AN4" s="1" t="str">
        <f>IFERROR(IF($A4="","",VLOOKUP(AM4,$AK$3:AM$153,2,FALSE)),"")</f>
        <v/>
      </c>
      <c r="AO4" s="1">
        <f t="shared" ref="AO4:AO67" si="30">IF(G4=0,"",IF(G4="","",G4+O4))</f>
        <v>24.600020000000001</v>
      </c>
      <c r="AP4" s="1">
        <f t="shared" ref="AP4:AP67" si="31">IF($A4="","",IF(AO4="","",RANK(AO4,$AO$3:$AO$153,1)))</f>
        <v>11</v>
      </c>
      <c r="AQ4" s="1">
        <f t="shared" ref="AQ4:AQ67" si="32">D4</f>
        <v>1</v>
      </c>
      <c r="AR4">
        <v>2</v>
      </c>
      <c r="AS4" s="1">
        <f>IFERROR(IF($A4="","",VLOOKUP(AR4,$AP$3:AR$153,2,FALSE)),"")</f>
        <v>9</v>
      </c>
      <c r="AT4" s="1">
        <f t="shared" ref="AT4:AT67" si="33">IFERROR(IF(I4="","",IF(OR(I4=0,J4=0,K4=0,L4=0),0,I4-J4)),"")</f>
        <v>1.4000000000000004</v>
      </c>
      <c r="AU4" s="1">
        <f t="shared" ref="AU4:AU67" si="34">IFERROR(IF(J4="","",IF(OR(I4=0,J4=0,K4=0,L4=0),0,J4-K4)),"")</f>
        <v>1.5999999999999996</v>
      </c>
      <c r="AV4" s="1">
        <f t="shared" ref="AV4:AV67" si="35">IFERROR(IF(K4="","",IF(OR(I4=0,J4=0,K4=0,L4=0),0,K4-L4)),"")</f>
        <v>0.59999999999999964</v>
      </c>
      <c r="AW4" s="1">
        <f t="shared" ref="AW4:AW67" si="36">IF(SUM(AT4:AV4)=0,0,IF(OR(I4=0,J4=0,K4=0,L4=0),0,SUM(AT4:AV4)))</f>
        <v>3.5999999999999996</v>
      </c>
      <c r="AX4" s="1">
        <f t="shared" ref="AX4:AX67" si="37">IFERROR(IF(A4="",0,IF(OR(I4=0,J4=0,K4=0,L4=0),0,IF(AV4&lt;0,0,AVERAGE(AT4:AV4)+O4))),"")</f>
        <v>1.2000199999999999</v>
      </c>
      <c r="AY4" s="1">
        <f t="shared" ref="AY4:AY32" si="38">IF(A4="","",RANK(AX4,$AX$3:$AX$32,0))</f>
        <v>12</v>
      </c>
      <c r="AZ4" s="1">
        <f t="shared" ref="AZ4:AZ32" si="39">D4</f>
        <v>1</v>
      </c>
      <c r="BA4">
        <v>2</v>
      </c>
      <c r="BB4" s="1">
        <f>IFERROR(IF($A4="","",VLOOKUP(BA4,$AY$3:BA$153,2,FALSE)),"")</f>
        <v>7</v>
      </c>
      <c r="BC4" s="1">
        <f t="shared" ref="BC4:BC67" si="40">IFERROR(IF(AND(AU4&lt;0,AV4&lt;0),0,AT4+AU4+O4),0)</f>
        <v>3.0000200000000001</v>
      </c>
      <c r="BD4" s="1">
        <f t="shared" ref="BD4:BD67" si="41">IF(A4="","",RANK(BC4,$BC$3:$BC$153,0))</f>
        <v>52</v>
      </c>
      <c r="BE4" s="1">
        <f t="shared" ref="BE4:BE67" si="42">D4</f>
        <v>1</v>
      </c>
      <c r="BF4">
        <v>2</v>
      </c>
      <c r="BG4" s="1">
        <f>IFERROR(IF($A4="","",VLOOKUP(BF4,$BD$3:BF$153,2,FALSE)),"")</f>
        <v>7</v>
      </c>
      <c r="BH4" s="1" t="str">
        <f t="shared" ref="BH4:BH67" si="43">IFERROR(IF(A4="","",IF(OR(I4=0,J4=0,K4=0,L4=0),"",IF(N4="","",VARP(I4:L4)))),"")</f>
        <v/>
      </c>
      <c r="BI4" s="1" t="str">
        <f>IF(A4="","",IF(BH4="","",RANK(BH4,$BH$3:$BH154,1)))</f>
        <v/>
      </c>
      <c r="BJ4" s="1">
        <f t="shared" ref="BJ4:BJ67" si="44">D4</f>
        <v>1</v>
      </c>
      <c r="BK4">
        <v>2</v>
      </c>
      <c r="BL4" s="1" t="str">
        <f>IFERROR(IF($A4="","",VLOOKUP(BK4,$BI$3:BK$153,2,FALSE)),"")</f>
        <v/>
      </c>
      <c r="BM4" s="1">
        <f t="shared" ref="BM4:BM67" si="45">IFERROR(IF(A4="","",IF(OR(I4=0,J4=0,K4=0,L4=0),"",VARP(I4:L4))),"")</f>
        <v>1.9800000000000182</v>
      </c>
      <c r="BN4" s="1">
        <f>IF(A4="","",IF(BM4="","",RANK(BM4,$BM$3:$BM154,1)))</f>
        <v>109</v>
      </c>
      <c r="BO4" s="1">
        <f t="shared" ref="BO4:BO67" si="46">D4</f>
        <v>1</v>
      </c>
      <c r="BP4">
        <v>2</v>
      </c>
      <c r="BQ4" s="1">
        <f>IFERROR(IF($A4="","",VLOOKUP(BP4,$BN$3:BP$153,2,FALSE)),"")</f>
        <v>2</v>
      </c>
      <c r="BR4" s="1">
        <f t="shared" ref="BR4:BR67" si="47">D4</f>
        <v>1</v>
      </c>
      <c r="BS4" s="1" t="str">
        <f t="shared" ref="BS4:BS67" si="48">C4</f>
        <v>コウエイダリア　　　　　　　　　　　</v>
      </c>
      <c r="BT4" s="25">
        <v>2</v>
      </c>
      <c r="BU4" s="1" t="str">
        <f>IFERROR(IF($A4="","",VLOOKUP(BT4,$BR$3:BT$300,2,FALSE)),"")</f>
        <v>フェルトベルク　　　　　　　　　　　</v>
      </c>
      <c r="BV4" s="4" t="str">
        <f t="shared" ref="BV4:BV20" si="49">IF(COUNTIF($N$3:$N$801,BT4)&lt;=2,"未検出",COUNTIF($N$3:$N$801,BT4))</f>
        <v>未検出</v>
      </c>
      <c r="BW4" s="4">
        <f t="shared" ref="BW4:BW20" si="50">IF(BV4="未検出",BT4,"")</f>
        <v>2</v>
      </c>
      <c r="BX4" s="4">
        <f t="array" ref="BX4">IFERROR(VALUE(INDEX(BW:BW,SMALL(IF($BW$3:$BW$20&lt;&gt;"",ROW($BW$3:$BW$20),999),ROW(A2)))&amp;""),"")</f>
        <v>2</v>
      </c>
      <c r="BY4" s="4">
        <f t="shared" ref="BY4:BY20" si="51">IF(COUNTIF($D$3:$D$801,BT4)&lt;=2,"未検出",COUNTIF($D$3:$D$801,BT4))</f>
        <v>87</v>
      </c>
      <c r="BZ4" s="1" t="str">
        <f t="shared" si="0"/>
        <v/>
      </c>
      <c r="CA4" s="1">
        <f t="array" ref="CA4">IFERROR(VALUE(INDEX(BZ:BZ,SMALL(IF($BZ$3:$BZ$20&lt;&gt;"",ROW($BZ$3:$BZ$20),999),ROW(A2)))&amp;""),"")</f>
        <v>12</v>
      </c>
      <c r="CB4"/>
      <c r="CC4"/>
      <c r="CD4" s="1" t="str">
        <f t="shared" ref="CD4:CD67" si="52">IFERROR(IF(L4=0,"",IF(N4="","",IF(L4&lt;12,L4,""))),"")</f>
        <v/>
      </c>
      <c r="CE4" s="1" t="str">
        <f>IF(A4="","",IF(CD4="","",RANK(CD4,$CD$3:$CD154,1)))</f>
        <v/>
      </c>
      <c r="CF4" s="1">
        <f t="shared" ref="CF4:CF67" si="53">D4</f>
        <v>1</v>
      </c>
      <c r="CG4">
        <v>2</v>
      </c>
      <c r="CH4" s="1" t="str">
        <f>IFERROR(IF($A4="","",VLOOKUP(CG4,$CE$3:CG$153,2,FALSE)),"")</f>
        <v/>
      </c>
      <c r="CI4" s="1" t="str">
        <f t="shared" ref="CI4:CI67" si="54">IFERROR(IF(L4=0,"",IF(L4&lt;12,L4,"")),"")</f>
        <v/>
      </c>
      <c r="CJ4" s="1" t="str">
        <f>IF(A4="","",IF(CI4="","",RANK(CI4,$CI$3:$CI154,1)))</f>
        <v/>
      </c>
      <c r="CK4" s="1">
        <f t="shared" ref="CK4:CK67" si="55">D4</f>
        <v>1</v>
      </c>
      <c r="CL4">
        <v>2</v>
      </c>
      <c r="CM4" s="1" t="str">
        <f>IFERROR(IF($A4="","",VLOOKUP(CL4,$CJ$3:CL$153,2,FALSE)),"")</f>
        <v/>
      </c>
      <c r="CN4" s="1" t="str">
        <f t="shared" ref="CN4:CN67" si="56">IFERROR(IF(K4=0,"",IF(N4="","",IF(K4&lt;12,K4,""))),"")</f>
        <v/>
      </c>
      <c r="CO4" s="1" t="str">
        <f>IF(A4="","",IF(CN4="","",RANK(CN4,$CN$3:$CN154,1)))</f>
        <v/>
      </c>
      <c r="CP4" s="1">
        <f t="shared" ref="CP4:CP67" si="57">D4</f>
        <v>1</v>
      </c>
      <c r="CQ4">
        <v>2</v>
      </c>
      <c r="CR4" s="1" t="str">
        <f>IFERROR(IF($A4="","",VLOOKUP(CQ4,$CO$3:CQ$153,2,FALSE)),"")</f>
        <v/>
      </c>
      <c r="CS4" s="1" t="str">
        <f t="shared" ref="CS4:CS67" si="58">IFERROR(IF(K4=0,"",IF(K4&lt;12,K4,"")),"")</f>
        <v/>
      </c>
      <c r="CT4" s="1" t="str">
        <f>IF(A4="","",IF(CS4="","",RANK(CS4,$CS$3:$CS154,1)))</f>
        <v/>
      </c>
      <c r="CU4" s="1">
        <f t="shared" ref="CU4:CU67" si="59">D4</f>
        <v>1</v>
      </c>
      <c r="CV4">
        <v>2</v>
      </c>
      <c r="CW4" s="1" t="str">
        <f>IFERROR(IF($A4="","",VLOOKUP(CV4,$CT$3:CV$153,2,FALSE)),"")</f>
        <v/>
      </c>
      <c r="CX4" s="1" t="str">
        <f t="shared" ref="CX4:CX67" si="60">IFERROR(IF($A4="","",IF(OR(I4=0,J4=0,K4=0,L4=0),"",IF($N4="","",IF(OR(F4&gt;=410,L4&gt;=140),"",I4+$O4)))),"")</f>
        <v/>
      </c>
      <c r="CY4" s="1" t="str">
        <f>IF(CX4="","",IF(A4="","",RANK(CX4,$CX$3:$CX154,1)))</f>
        <v/>
      </c>
      <c r="CZ4" s="1">
        <f t="shared" ref="CZ4:CZ67" si="61">D4</f>
        <v>1</v>
      </c>
      <c r="DA4">
        <v>2</v>
      </c>
      <c r="DB4" s="1" t="str">
        <f>IFERROR(IF($A4="","",VLOOKUP(DA4,$CY$3:DA$153,2,FALSE)),"")</f>
        <v/>
      </c>
      <c r="DC4" s="1" t="str">
        <f t="shared" ref="DC4:DC67" si="62">IFERROR(IF($A4="","",IF(OR(I4=0,J4=0,K4=0,L4=0),"",IF($N4="","",IF(OR(F4&gt;=410,L4&gt;=140),"",J4+$O4)))),"")</f>
        <v/>
      </c>
      <c r="DD4" s="1" t="str">
        <f>IF(DC4="","",IF(A4="","",RANK(DC4,$DC$3:$DC154,1)))</f>
        <v/>
      </c>
      <c r="DE4" s="1">
        <f t="shared" ref="DE4:DE67" si="63">D4</f>
        <v>1</v>
      </c>
      <c r="DF4">
        <v>2</v>
      </c>
      <c r="DG4" s="1" t="str">
        <f>IFERROR(IF($A4="","",VLOOKUP(DF4,$DD$3:DF$153,2,FALSE)),"")</f>
        <v/>
      </c>
      <c r="DH4" s="1" t="str">
        <f t="shared" ref="DH4:DH67" si="64">IFERROR(IF($A4="","",IF(OR(I4=0,J4=0,K4=0,L4=0),"",IF($N4="","",IF(OR(F4&gt;=410,L4&gt;=140),"",K4+$O4)))),"")</f>
        <v/>
      </c>
      <c r="DI4" s="1" t="str">
        <f>IF(DH4="","",IF(A4="","",RANK(DH4,$DH$3:$DH154,1)))</f>
        <v/>
      </c>
      <c r="DJ4" s="1">
        <f t="shared" ref="DJ4:DJ67" si="65">D4</f>
        <v>1</v>
      </c>
      <c r="DK4">
        <v>2</v>
      </c>
      <c r="DL4" s="1" t="str">
        <f>IFERROR(IF($A4="","",VLOOKUP(DK4,$DI$3:DK$153,2,FALSE)),"")</f>
        <v/>
      </c>
      <c r="DM4" s="1" t="str">
        <f t="shared" ref="DM4:DM67" si="66">IFERROR(IF($A4="","",IF(OR(I4=0,J4=0,K4=0,L4=0),"",IF($N4="","",IF(OR(F4&gt;=410,L4&gt;=140),"",L4+$O4)))),"")</f>
        <v/>
      </c>
      <c r="DN4" s="1" t="str">
        <f>IF(DM4="","",IF(A4="","",RANK(DM4,$DM$3:$DM154,1)))</f>
        <v/>
      </c>
      <c r="DO4" s="1">
        <f t="shared" ref="DO4:DO67" si="67">D4</f>
        <v>1</v>
      </c>
      <c r="DP4">
        <v>2</v>
      </c>
      <c r="DQ4" s="1" t="str">
        <f>IFERROR(IF($A4="","",VLOOKUP(DP4,$DN$3:DP$153,2,FALSE)),"")</f>
        <v/>
      </c>
      <c r="DR4" s="1">
        <f t="shared" ref="DR4:DR67" si="68">IFERROR(IF($A4="","",IF(OR(I4=0,J4=0,K4=0,L4=0),"",IF(OR(F4&gt;=410,L4&gt;=140),"",I4+$O4))),"")</f>
        <v>15.600019999999999</v>
      </c>
      <c r="DS4" s="1">
        <f>IF(DR4="","",IF(A4="","",RANK(DR4,$DR$3:$DR154,1)))</f>
        <v>74</v>
      </c>
      <c r="DT4" s="1">
        <f t="shared" ref="DT4:DT67" si="69">D4</f>
        <v>1</v>
      </c>
      <c r="DU4">
        <v>2</v>
      </c>
      <c r="DV4" s="1">
        <f>IFERROR(IF($A4="","",VLOOKUP(DU4,$DS$3:DU$153,2,FALSE)),"")</f>
        <v>6</v>
      </c>
      <c r="DW4" s="1">
        <f t="shared" ref="DW4:DW67" si="70">IFERROR(IF($A4="","",IF(OR(I4=0,J4=0,K4=0,L4=0),"",IF(OR(F4&gt;=410,L4&gt;=140),"",J4+$O4))),"")</f>
        <v>14.200019999999999</v>
      </c>
      <c r="DX4" s="1">
        <f>IF(DW4="","",IF(A4="","",RANK(DW4,$DW$3:$DW154,1)))</f>
        <v>88</v>
      </c>
      <c r="DY4" s="1">
        <f t="shared" ref="DY4:DY67" si="71">D4</f>
        <v>1</v>
      </c>
      <c r="DZ4">
        <v>2</v>
      </c>
      <c r="EA4" s="1">
        <f>IFERROR(IF($A4="","",VLOOKUP(DZ4,$DX$3:DZ$153,2,FALSE)),"")</f>
        <v>7</v>
      </c>
      <c r="EB4" s="1">
        <f t="shared" ref="EB4:EB67" si="72">IFERROR(IF($A4="","",IF(OR(I4=0,J4=0,K4=0,L4=0),"",IF(OR(F4&gt;=410,L4&gt;=140),"",K4+$O4))),"")</f>
        <v>12.600019999999999</v>
      </c>
      <c r="EC4" s="1">
        <f>IF(EB4="","",IF(A4="","",RANK(EB4,$EB$3:$EB154,1)))</f>
        <v>51</v>
      </c>
      <c r="ED4" s="1">
        <f t="shared" ref="ED4:ED67" si="73">D4</f>
        <v>1</v>
      </c>
      <c r="EE4">
        <v>2</v>
      </c>
      <c r="EF4" s="1">
        <f>IFERROR(IF($A4="","",VLOOKUP(EE4,$EC$3:EE$153,2,FALSE)),"")</f>
        <v>7</v>
      </c>
      <c r="EG4" s="1">
        <f t="shared" ref="EG4:EG67" si="74">IFERROR(IF($A4="","",IF(OR(I4=0,J4=0,K4=0,L4=0),"",IF(OR(F4&gt;=410,L4&gt;=140),"",L4+$O4))),"")</f>
        <v>12.000019999999999</v>
      </c>
      <c r="EH4" s="1">
        <f>IF(EG4="","",IF(A4="","",RANK(EG4,$EG$3:$EG154,1)))</f>
        <v>2</v>
      </c>
      <c r="EI4" s="1">
        <f t="shared" ref="EI4:EI67" si="75">D4</f>
        <v>1</v>
      </c>
      <c r="EJ4">
        <v>2</v>
      </c>
      <c r="EK4" s="1">
        <f>IFERROR(IF($A4="","",VLOOKUP(EJ4,$EH$3:EJ$153,2,FALSE)),"")</f>
        <v>1</v>
      </c>
      <c r="EU4" s="13">
        <v>2</v>
      </c>
      <c r="EV4" s="1" t="str">
        <f t="shared" si="1"/>
        <v>フェルトベルク　　　　　　　　　　　</v>
      </c>
      <c r="EW4" s="4" t="str">
        <f t="shared" si="1"/>
        <v>未検出</v>
      </c>
      <c r="EX4" s="4">
        <f t="shared" si="2"/>
        <v>2</v>
      </c>
      <c r="EY4" s="4">
        <f t="shared" si="2"/>
        <v>87</v>
      </c>
      <c r="EZ4" s="4">
        <f t="shared" si="3"/>
        <v>12</v>
      </c>
      <c r="FA4" s="1">
        <f t="shared" si="4"/>
        <v>7</v>
      </c>
      <c r="FB4" s="1" t="str">
        <f t="shared" si="5"/>
        <v/>
      </c>
      <c r="FC4" s="1" t="str">
        <f t="shared" si="6"/>
        <v/>
      </c>
      <c r="FD4" s="1" t="str">
        <f t="shared" si="7"/>
        <v/>
      </c>
      <c r="FE4" s="1" t="str">
        <f t="shared" si="8"/>
        <v/>
      </c>
      <c r="FF4" s="1" t="str">
        <f t="shared" si="9"/>
        <v/>
      </c>
      <c r="FG4" s="1" t="str">
        <f t="shared" si="10"/>
        <v/>
      </c>
      <c r="FH4" s="1" t="str">
        <f t="shared" si="11"/>
        <v/>
      </c>
      <c r="FI4" s="1" t="str">
        <f t="shared" si="12"/>
        <v/>
      </c>
    </row>
    <row r="5" spans="1:183" ht="18.75">
      <c r="A5" s="1" t="s">
        <v>88</v>
      </c>
      <c r="B5" s="1">
        <v>20190529</v>
      </c>
      <c r="C5" s="1" t="s">
        <v>91</v>
      </c>
      <c r="D5" s="1">
        <v>2</v>
      </c>
      <c r="E5" s="30">
        <v>55.6</v>
      </c>
      <c r="F5" s="30">
        <v>40.299999999999997</v>
      </c>
      <c r="G5" s="30">
        <v>25.5</v>
      </c>
      <c r="H5" s="30">
        <v>12</v>
      </c>
      <c r="I5" s="30">
        <v>15.3</v>
      </c>
      <c r="J5" s="30">
        <v>14.8</v>
      </c>
      <c r="K5" s="30">
        <v>13.5</v>
      </c>
      <c r="L5" s="30">
        <v>12</v>
      </c>
      <c r="M5" s="1" t="str">
        <f t="shared" si="13"/>
        <v>2019/05/29</v>
      </c>
      <c r="N5" s="4" t="str">
        <f t="shared" si="14"/>
        <v/>
      </c>
      <c r="O5">
        <v>3.0000000000000004E-5</v>
      </c>
      <c r="P5" s="1" t="str">
        <f t="shared" si="15"/>
        <v/>
      </c>
      <c r="Q5" s="1" t="str">
        <f t="shared" si="16"/>
        <v/>
      </c>
      <c r="R5" s="1">
        <f t="shared" si="17"/>
        <v>2</v>
      </c>
      <c r="S5">
        <v>3</v>
      </c>
      <c r="T5" s="1" t="str">
        <f>IFERROR(IF($A5="","",VLOOKUP(S5,$Q$3:S$153,2,FALSE)),"")</f>
        <v/>
      </c>
      <c r="U5" s="1">
        <f t="shared" si="18"/>
        <v>55.600030000000004</v>
      </c>
      <c r="V5" s="1">
        <f t="shared" si="19"/>
        <v>80</v>
      </c>
      <c r="W5" s="1">
        <f t="shared" si="20"/>
        <v>2</v>
      </c>
      <c r="X5">
        <v>3</v>
      </c>
      <c r="Y5" s="1">
        <f>IFERROR(IF($A5="","",VLOOKUP(X5,$V$3:X$153,2,FALSE)),"")</f>
        <v>6</v>
      </c>
      <c r="Z5" s="1" t="str">
        <f t="shared" si="21"/>
        <v/>
      </c>
      <c r="AA5" s="1" t="str">
        <f t="shared" si="22"/>
        <v/>
      </c>
      <c r="AB5" s="1">
        <f t="shared" si="23"/>
        <v>2</v>
      </c>
      <c r="AC5">
        <v>3</v>
      </c>
      <c r="AD5" s="1" t="str">
        <f>IFERROR(IF($A5="","",VLOOKUP(AC5,$AA$3:AC$153,2,FALSE)),"")</f>
        <v/>
      </c>
      <c r="AE5" s="1">
        <f t="shared" si="24"/>
        <v>40.30003</v>
      </c>
      <c r="AF5" s="1">
        <f t="shared" si="25"/>
        <v>87</v>
      </c>
      <c r="AG5" s="1">
        <f t="shared" si="26"/>
        <v>2</v>
      </c>
      <c r="AH5">
        <v>3</v>
      </c>
      <c r="AI5" s="1">
        <f>IFERROR(IF($A5="","",VLOOKUP(AH5,$AF$3:AH$153,2,FALSE)),"")</f>
        <v>5</v>
      </c>
      <c r="AJ5" s="1" t="str">
        <f t="shared" si="27"/>
        <v/>
      </c>
      <c r="AK5" s="1" t="str">
        <f t="shared" si="28"/>
        <v/>
      </c>
      <c r="AL5" s="1">
        <f t="shared" si="29"/>
        <v>2</v>
      </c>
      <c r="AM5">
        <v>3</v>
      </c>
      <c r="AN5" s="1" t="str">
        <f>IFERROR(IF($A5="","",VLOOKUP(AM5,$AK$3:AM$153,2,FALSE)),"")</f>
        <v/>
      </c>
      <c r="AO5" s="1">
        <f t="shared" si="30"/>
        <v>25.500029999999999</v>
      </c>
      <c r="AP5" s="1">
        <f t="shared" si="31"/>
        <v>70</v>
      </c>
      <c r="AQ5" s="1">
        <f t="shared" si="32"/>
        <v>2</v>
      </c>
      <c r="AR5">
        <v>3</v>
      </c>
      <c r="AS5" s="1">
        <f>IFERROR(IF($A5="","",VLOOKUP(AR5,$AP$3:AR$153,2,FALSE)),"")</f>
        <v>6</v>
      </c>
      <c r="AT5" s="1">
        <f t="shared" si="33"/>
        <v>0.5</v>
      </c>
      <c r="AU5" s="1">
        <f t="shared" si="34"/>
        <v>1.3000000000000007</v>
      </c>
      <c r="AV5" s="1">
        <f t="shared" si="35"/>
        <v>1.5</v>
      </c>
      <c r="AW5" s="1">
        <f t="shared" si="36"/>
        <v>3.3000000000000007</v>
      </c>
      <c r="AX5" s="1">
        <f t="shared" si="37"/>
        <v>1.1000300000000003</v>
      </c>
      <c r="AY5" s="1">
        <f t="shared" si="38"/>
        <v>15</v>
      </c>
      <c r="AZ5" s="1">
        <f t="shared" si="39"/>
        <v>2</v>
      </c>
      <c r="BA5">
        <v>3</v>
      </c>
      <c r="BB5" s="1">
        <f>IFERROR(IF($A5="","",VLOOKUP(BA5,$AY$3:BA$153,2,FALSE)),"")</f>
        <v>4</v>
      </c>
      <c r="BC5" s="1">
        <f t="shared" si="40"/>
        <v>1.8000300000000007</v>
      </c>
      <c r="BD5" s="1">
        <f t="shared" si="41"/>
        <v>119</v>
      </c>
      <c r="BE5" s="1">
        <f t="shared" si="42"/>
        <v>2</v>
      </c>
      <c r="BF5">
        <v>3</v>
      </c>
      <c r="BG5" s="1">
        <f>IFERROR(IF($A5="","",VLOOKUP(BF5,$BD$3:BF$153,2,FALSE)),"")</f>
        <v>1</v>
      </c>
      <c r="BH5" s="1" t="str">
        <f t="shared" si="43"/>
        <v/>
      </c>
      <c r="BI5" s="1" t="str">
        <f>IF(A5="","",IF(BH5="","",RANK(BH5,$BH$3:$BH155,1)))</f>
        <v/>
      </c>
      <c r="BJ5" s="1">
        <f t="shared" si="44"/>
        <v>2</v>
      </c>
      <c r="BK5">
        <v>3</v>
      </c>
      <c r="BL5" s="1" t="str">
        <f>IFERROR(IF($A5="","",VLOOKUP(BK5,$BI$3:BK$153,2,FALSE)),"")</f>
        <v/>
      </c>
      <c r="BM5" s="1">
        <f t="shared" si="45"/>
        <v>1.6350000000000007</v>
      </c>
      <c r="BN5" s="1">
        <f>IF(A5="","",IF(BM5="","",RANK(BM5,$BM$3:$BM155,1)))</f>
        <v>98</v>
      </c>
      <c r="BO5" s="1">
        <f t="shared" si="46"/>
        <v>2</v>
      </c>
      <c r="BP5">
        <v>3</v>
      </c>
      <c r="BQ5" s="1" t="str">
        <f>IFERROR(IF($A5="","",VLOOKUP(BP5,$BN$3:BP$153,2,FALSE)),"")</f>
        <v/>
      </c>
      <c r="BR5" s="1">
        <f t="shared" si="47"/>
        <v>2</v>
      </c>
      <c r="BS5" s="1" t="str">
        <f t="shared" si="48"/>
        <v>フェルトベルク　　　　　　　　　　　</v>
      </c>
      <c r="BT5" s="25">
        <v>3</v>
      </c>
      <c r="BU5" s="1" t="str">
        <f>IFERROR(IF($A5="","",VLOOKUP(BT5,$BR$3:BT$300,2,FALSE)),"")</f>
        <v>ディアボレット　　　　　　　　　　　</v>
      </c>
      <c r="BV5" s="4" t="str">
        <f t="shared" si="49"/>
        <v>未検出</v>
      </c>
      <c r="BW5" s="4">
        <f t="shared" si="50"/>
        <v>3</v>
      </c>
      <c r="BX5" s="4">
        <f t="array" ref="BX5">IFERROR(VALUE(INDEX(BW:BW,SMALL(IF($BW$3:$BW$20&lt;&gt;"",ROW($BW$3:$BW$20),999),ROW(A3)))&amp;""),"")</f>
        <v>3</v>
      </c>
      <c r="BY5" s="4">
        <f t="shared" si="51"/>
        <v>57</v>
      </c>
      <c r="BZ5" s="1" t="str">
        <f t="shared" si="0"/>
        <v/>
      </c>
      <c r="CA5" s="1">
        <f t="array" ref="CA5">IFERROR(VALUE(INDEX(BZ:BZ,SMALL(IF($BZ$3:$BZ$20&lt;&gt;"",ROW($BZ$3:$BZ$20),999),ROW(A3)))&amp;""),"")</f>
        <v>13</v>
      </c>
      <c r="CD5" s="1" t="str">
        <f t="shared" si="52"/>
        <v/>
      </c>
      <c r="CE5" s="1" t="str">
        <f>IF(A5="","",IF(CD5="","",RANK(CD5,$CD$3:$CD155,1)))</f>
        <v/>
      </c>
      <c r="CF5" s="1">
        <f t="shared" si="53"/>
        <v>2</v>
      </c>
      <c r="CG5">
        <v>3</v>
      </c>
      <c r="CH5" s="1" t="str">
        <f>IFERROR(IF($A5="","",VLOOKUP(CG5,$CE$3:CG$153,2,FALSE)),"")</f>
        <v/>
      </c>
      <c r="CI5" s="1" t="str">
        <f t="shared" si="54"/>
        <v/>
      </c>
      <c r="CJ5" s="1" t="str">
        <f>IF(A5="","",IF(CI5="","",RANK(CI5,$CI$3:$CI155,1)))</f>
        <v/>
      </c>
      <c r="CK5" s="1">
        <f t="shared" si="55"/>
        <v>2</v>
      </c>
      <c r="CL5">
        <v>3</v>
      </c>
      <c r="CM5" s="1" t="str">
        <f>IFERROR(IF($A5="","",VLOOKUP(CL5,$CJ$3:CL$153,2,FALSE)),"")</f>
        <v/>
      </c>
      <c r="CN5" s="1" t="str">
        <f t="shared" si="56"/>
        <v/>
      </c>
      <c r="CO5" s="1" t="str">
        <f>IF(A5="","",IF(CN5="","",RANK(CN5,$CN$3:$CN155,1)))</f>
        <v/>
      </c>
      <c r="CP5" s="1">
        <f t="shared" si="57"/>
        <v>2</v>
      </c>
      <c r="CQ5">
        <v>3</v>
      </c>
      <c r="CR5" s="1" t="str">
        <f>IFERROR(IF($A5="","",VLOOKUP(CQ5,$CO$3:CQ$153,2,FALSE)),"")</f>
        <v/>
      </c>
      <c r="CS5" s="1" t="str">
        <f t="shared" si="58"/>
        <v/>
      </c>
      <c r="CT5" s="1" t="str">
        <f>IF(A5="","",IF(CS5="","",RANK(CS5,$CS$3:$CS155,1)))</f>
        <v/>
      </c>
      <c r="CU5" s="1">
        <f t="shared" si="59"/>
        <v>2</v>
      </c>
      <c r="CV5">
        <v>3</v>
      </c>
      <c r="CW5" s="1" t="str">
        <f>IFERROR(IF($A5="","",VLOOKUP(CV5,$CT$3:CV$153,2,FALSE)),"")</f>
        <v/>
      </c>
      <c r="CX5" s="1" t="str">
        <f t="shared" si="60"/>
        <v/>
      </c>
      <c r="CY5" s="1" t="str">
        <f>IF(CX5="","",IF(A5="","",RANK(CX5,$CX$3:$CX155,1)))</f>
        <v/>
      </c>
      <c r="CZ5" s="1">
        <f t="shared" si="61"/>
        <v>2</v>
      </c>
      <c r="DA5">
        <v>3</v>
      </c>
      <c r="DB5" s="1" t="str">
        <f>IFERROR(IF($A5="","",VLOOKUP(DA5,$CY$3:DA$153,2,FALSE)),"")</f>
        <v/>
      </c>
      <c r="DC5" s="1" t="str">
        <f t="shared" si="62"/>
        <v/>
      </c>
      <c r="DD5" s="1" t="str">
        <f>IF(DC5="","",IF(A5="","",RANK(DC5,$DC$3:$DC155,1)))</f>
        <v/>
      </c>
      <c r="DE5" s="1">
        <f t="shared" si="63"/>
        <v>2</v>
      </c>
      <c r="DF5">
        <v>3</v>
      </c>
      <c r="DG5" s="1" t="str">
        <f>IFERROR(IF($A5="","",VLOOKUP(DF5,$DD$3:DF$153,2,FALSE)),"")</f>
        <v/>
      </c>
      <c r="DH5" s="1" t="str">
        <f t="shared" si="64"/>
        <v/>
      </c>
      <c r="DI5" s="1" t="str">
        <f>IF(DH5="","",IF(A5="","",RANK(DH5,$DH$3:$DH155,1)))</f>
        <v/>
      </c>
      <c r="DJ5" s="1">
        <f t="shared" si="65"/>
        <v>2</v>
      </c>
      <c r="DK5">
        <v>3</v>
      </c>
      <c r="DL5" s="1" t="str">
        <f>IFERROR(IF($A5="","",VLOOKUP(DK5,$DI$3:DK$153,2,FALSE)),"")</f>
        <v/>
      </c>
      <c r="DM5" s="1" t="str">
        <f t="shared" si="66"/>
        <v/>
      </c>
      <c r="DN5" s="1" t="str">
        <f>IF(DM5="","",IF(A5="","",RANK(DM5,$DM$3:$DM155,1)))</f>
        <v/>
      </c>
      <c r="DO5" s="1">
        <f t="shared" si="67"/>
        <v>2</v>
      </c>
      <c r="DP5">
        <v>3</v>
      </c>
      <c r="DQ5" s="1" t="str">
        <f>IFERROR(IF($A5="","",VLOOKUP(DP5,$DN$3:DP$153,2,FALSE)),"")</f>
        <v/>
      </c>
      <c r="DR5" s="1">
        <f t="shared" si="68"/>
        <v>15.300030000000001</v>
      </c>
      <c r="DS5" s="1">
        <f>IF(DR5="","",IF(A5="","",RANK(DR5,$DR$3:$DR155,1)))</f>
        <v>60</v>
      </c>
      <c r="DT5" s="1">
        <f t="shared" si="69"/>
        <v>2</v>
      </c>
      <c r="DU5">
        <v>3</v>
      </c>
      <c r="DV5" s="1">
        <f>IFERROR(IF($A5="","",VLOOKUP(DU5,$DS$3:DU$153,2,FALSE)),"")</f>
        <v>7</v>
      </c>
      <c r="DW5" s="1">
        <f t="shared" si="70"/>
        <v>14.800030000000001</v>
      </c>
      <c r="DX5" s="1">
        <f>IF(DW5="","",IF(A5="","",RANK(DW5,$DW$3:$DW155,1)))</f>
        <v>112</v>
      </c>
      <c r="DY5" s="1">
        <f t="shared" si="71"/>
        <v>2</v>
      </c>
      <c r="DZ5">
        <v>3</v>
      </c>
      <c r="EA5" s="1">
        <f>IFERROR(IF($A5="","",VLOOKUP(DZ5,$DX$3:DZ$153,2,FALSE)),"")</f>
        <v>7</v>
      </c>
      <c r="EB5" s="1">
        <f t="shared" si="72"/>
        <v>13.500030000000001</v>
      </c>
      <c r="EC5" s="1">
        <f>IF(EB5="","",IF(A5="","",RANK(EB5,$EB$3:$EB155,1)))</f>
        <v>105</v>
      </c>
      <c r="ED5" s="1">
        <f t="shared" si="73"/>
        <v>2</v>
      </c>
      <c r="EE5">
        <v>3</v>
      </c>
      <c r="EF5" s="1">
        <f>IFERROR(IF($A5="","",VLOOKUP(EE5,$EC$3:EE$153,2,FALSE)),"")</f>
        <v>7</v>
      </c>
      <c r="EG5" s="1">
        <f t="shared" si="74"/>
        <v>12.000030000000001</v>
      </c>
      <c r="EH5" s="1">
        <f>IF(EG5="","",IF(A5="","",RANK(EG5,$EG$3:$EG155,1)))</f>
        <v>3</v>
      </c>
      <c r="EI5" s="1">
        <f t="shared" si="75"/>
        <v>2</v>
      </c>
      <c r="EJ5">
        <v>3</v>
      </c>
      <c r="EK5" s="1">
        <f>IFERROR(IF($A5="","",VLOOKUP(EJ5,$EH$3:EJ$153,2,FALSE)),"")</f>
        <v>2</v>
      </c>
      <c r="EU5" s="13">
        <v>3</v>
      </c>
      <c r="EV5" s="1" t="str">
        <f t="shared" si="1"/>
        <v>ディアボレット　　　　　　　　　　　</v>
      </c>
      <c r="EW5" s="4" t="str">
        <f t="shared" si="1"/>
        <v>未検出</v>
      </c>
      <c r="EX5" s="4">
        <f t="shared" si="2"/>
        <v>3</v>
      </c>
      <c r="EY5" s="4">
        <f t="shared" si="2"/>
        <v>57</v>
      </c>
      <c r="EZ5" s="4">
        <f t="shared" si="3"/>
        <v>13</v>
      </c>
      <c r="FA5" s="1">
        <f t="shared" si="4"/>
        <v>1</v>
      </c>
      <c r="FB5" s="1" t="str">
        <f t="shared" si="5"/>
        <v/>
      </c>
      <c r="FC5" s="1" t="str">
        <f t="shared" si="6"/>
        <v/>
      </c>
      <c r="FD5" s="1" t="str">
        <f t="shared" si="7"/>
        <v/>
      </c>
      <c r="FE5" s="1" t="str">
        <f t="shared" si="8"/>
        <v/>
      </c>
      <c r="FF5" s="1" t="str">
        <f t="shared" si="9"/>
        <v/>
      </c>
      <c r="FG5" s="1" t="str">
        <f t="shared" si="10"/>
        <v/>
      </c>
      <c r="FH5" s="1" t="str">
        <f t="shared" si="11"/>
        <v/>
      </c>
      <c r="FI5" s="1" t="str">
        <f t="shared" si="12"/>
        <v/>
      </c>
    </row>
    <row r="6" spans="1:183" ht="18.75">
      <c r="A6" s="1" t="s">
        <v>88</v>
      </c>
      <c r="B6" s="1">
        <v>20190710</v>
      </c>
      <c r="C6" s="1" t="s">
        <v>95</v>
      </c>
      <c r="D6" s="1">
        <v>6</v>
      </c>
      <c r="E6" s="30">
        <v>52.9</v>
      </c>
      <c r="F6" s="30">
        <v>37.9</v>
      </c>
      <c r="G6" s="30">
        <v>24.4</v>
      </c>
      <c r="H6" s="30">
        <v>12</v>
      </c>
      <c r="I6" s="30">
        <v>15</v>
      </c>
      <c r="J6" s="30">
        <v>13.5</v>
      </c>
      <c r="K6" s="30">
        <v>12.4</v>
      </c>
      <c r="L6" s="30">
        <v>12</v>
      </c>
      <c r="M6" s="1" t="str">
        <f t="shared" si="13"/>
        <v>2019/07/10</v>
      </c>
      <c r="N6" s="4" t="str">
        <f t="shared" si="14"/>
        <v/>
      </c>
      <c r="O6">
        <v>4.0000000000000003E-5</v>
      </c>
      <c r="P6" s="1" t="str">
        <f t="shared" si="15"/>
        <v/>
      </c>
      <c r="Q6" s="1" t="str">
        <f t="shared" si="16"/>
        <v/>
      </c>
      <c r="R6" s="1">
        <f t="shared" si="17"/>
        <v>6</v>
      </c>
      <c r="S6">
        <v>4</v>
      </c>
      <c r="T6" s="1" t="str">
        <f>IFERROR(IF($A6="","",VLOOKUP(S6,$Q$3:S$153,2,FALSE)),"")</f>
        <v/>
      </c>
      <c r="U6" s="1">
        <f t="shared" si="18"/>
        <v>52.900039999999997</v>
      </c>
      <c r="V6" s="1">
        <f t="shared" si="19"/>
        <v>22</v>
      </c>
      <c r="W6" s="1">
        <f t="shared" si="20"/>
        <v>6</v>
      </c>
      <c r="X6">
        <v>4</v>
      </c>
      <c r="Y6" s="1">
        <f>IFERROR(IF($A6="","",VLOOKUP(X6,$V$3:X$153,2,FALSE)),"")</f>
        <v>7</v>
      </c>
      <c r="Z6" s="1" t="str">
        <f t="shared" si="21"/>
        <v/>
      </c>
      <c r="AA6" s="1" t="str">
        <f t="shared" si="22"/>
        <v/>
      </c>
      <c r="AB6" s="1">
        <f t="shared" si="23"/>
        <v>6</v>
      </c>
      <c r="AC6">
        <v>4</v>
      </c>
      <c r="AD6" s="1" t="str">
        <f>IFERROR(IF($A6="","",VLOOKUP(AC6,$AA$3:AC$153,2,FALSE)),"")</f>
        <v/>
      </c>
      <c r="AE6" s="1">
        <f t="shared" si="24"/>
        <v>37.900039999999997</v>
      </c>
      <c r="AF6" s="1">
        <f t="shared" si="25"/>
        <v>18</v>
      </c>
      <c r="AG6" s="1">
        <f t="shared" si="26"/>
        <v>6</v>
      </c>
      <c r="AH6">
        <v>4</v>
      </c>
      <c r="AI6" s="1">
        <f>IFERROR(IF($A6="","",VLOOKUP(AH6,$AF$3:AH$153,2,FALSE)),"")</f>
        <v>7</v>
      </c>
      <c r="AJ6" s="1" t="str">
        <f t="shared" si="27"/>
        <v/>
      </c>
      <c r="AK6" s="1" t="str">
        <f t="shared" si="28"/>
        <v/>
      </c>
      <c r="AL6" s="1">
        <f t="shared" si="29"/>
        <v>6</v>
      </c>
      <c r="AM6">
        <v>4</v>
      </c>
      <c r="AN6" s="1" t="str">
        <f>IFERROR(IF($A6="","",VLOOKUP(AM6,$AK$3:AM$153,2,FALSE)),"")</f>
        <v/>
      </c>
      <c r="AO6" s="1">
        <f t="shared" si="30"/>
        <v>24.400039999999997</v>
      </c>
      <c r="AP6" s="1">
        <f t="shared" si="31"/>
        <v>3</v>
      </c>
      <c r="AQ6" s="1">
        <f t="shared" si="32"/>
        <v>6</v>
      </c>
      <c r="AR6">
        <v>4</v>
      </c>
      <c r="AS6" s="1">
        <f>IFERROR(IF($A6="","",VLOOKUP(AR6,$AP$3:AR$153,2,FALSE)),"")</f>
        <v>1</v>
      </c>
      <c r="AT6" s="1">
        <f t="shared" si="33"/>
        <v>1.5</v>
      </c>
      <c r="AU6" s="1">
        <f t="shared" si="34"/>
        <v>1.0999999999999996</v>
      </c>
      <c r="AV6" s="1">
        <f t="shared" si="35"/>
        <v>0.40000000000000036</v>
      </c>
      <c r="AW6" s="1">
        <f t="shared" si="36"/>
        <v>3</v>
      </c>
      <c r="AX6" s="1">
        <f t="shared" si="37"/>
        <v>1.00004</v>
      </c>
      <c r="AY6" s="1">
        <f t="shared" si="38"/>
        <v>19</v>
      </c>
      <c r="AZ6" s="1">
        <f t="shared" si="39"/>
        <v>6</v>
      </c>
      <c r="BA6">
        <v>4</v>
      </c>
      <c r="BB6" s="1">
        <f>IFERROR(IF($A6="","",VLOOKUP(BA6,$AY$3:BA$153,2,FALSE)),"")</f>
        <v>1</v>
      </c>
      <c r="BC6" s="1">
        <f t="shared" si="40"/>
        <v>2.6000399999999995</v>
      </c>
      <c r="BD6" s="1">
        <f t="shared" si="41"/>
        <v>70</v>
      </c>
      <c r="BE6" s="1">
        <f t="shared" si="42"/>
        <v>6</v>
      </c>
      <c r="BF6">
        <v>4</v>
      </c>
      <c r="BG6" s="1">
        <f>IFERROR(IF($A6="","",VLOOKUP(BF6,$BD$3:BF$153,2,FALSE)),"")</f>
        <v>1</v>
      </c>
      <c r="BH6" s="1" t="str">
        <f t="shared" si="43"/>
        <v/>
      </c>
      <c r="BI6" s="1" t="str">
        <f>IF(A6="","",IF(BH6="","",RANK(BH6,$BH$3:$BH156,1)))</f>
        <v/>
      </c>
      <c r="BJ6" s="1">
        <f t="shared" si="44"/>
        <v>6</v>
      </c>
      <c r="BK6">
        <v>4</v>
      </c>
      <c r="BL6" s="1" t="str">
        <f>IFERROR(IF($A6="","",VLOOKUP(BK6,$BI$3:BK$153,2,FALSE)),"")</f>
        <v/>
      </c>
      <c r="BM6" s="1">
        <f t="shared" si="45"/>
        <v>1.3518749999999997</v>
      </c>
      <c r="BN6" s="1">
        <f>IF(A6="","",IF(BM6="","",RANK(BM6,$BM$3:$BM156,1)))</f>
        <v>88</v>
      </c>
      <c r="BO6" s="1">
        <f t="shared" si="46"/>
        <v>6</v>
      </c>
      <c r="BP6">
        <v>4</v>
      </c>
      <c r="BQ6" s="1">
        <f>IFERROR(IF($A6="","",VLOOKUP(BP6,$BN$3:BP$153,2,FALSE)),"")</f>
        <v>8</v>
      </c>
      <c r="BR6" s="1">
        <f t="shared" si="47"/>
        <v>6</v>
      </c>
      <c r="BS6" s="1" t="str">
        <f t="shared" si="48"/>
        <v>ミカエルシチー　　　　　　　　　　　</v>
      </c>
      <c r="BT6" s="25">
        <v>4</v>
      </c>
      <c r="BU6" s="1" t="str">
        <f>IFERROR(IF($A6="","",VLOOKUP(BT6,$BR$3:BT$300,2,FALSE)),"")</f>
        <v>ウィズ　　　　　　　　　　　　　　　</v>
      </c>
      <c r="BV6" s="4" t="str">
        <f t="shared" si="49"/>
        <v>未検出</v>
      </c>
      <c r="BW6" s="4">
        <f t="shared" si="50"/>
        <v>4</v>
      </c>
      <c r="BX6" s="4">
        <f t="array" ref="BX6">IFERROR(VALUE(INDEX(BW:BW,SMALL(IF($BW$3:$BW$20&lt;&gt;"",ROW($BW$3:$BW$20),999),ROW(A4)))&amp;""),"")</f>
        <v>4</v>
      </c>
      <c r="BY6" s="4">
        <f t="shared" si="51"/>
        <v>21</v>
      </c>
      <c r="BZ6" s="1" t="str">
        <f t="shared" si="0"/>
        <v/>
      </c>
      <c r="CA6" s="1">
        <f t="array" ref="CA6">IFERROR(VALUE(INDEX(BZ:BZ,SMALL(IF($BZ$3:$BZ$20&lt;&gt;"",ROW($BZ$3:$BZ$20),999),ROW(A4)))&amp;""),"")</f>
        <v>14</v>
      </c>
      <c r="CD6" s="1" t="str">
        <f t="shared" si="52"/>
        <v/>
      </c>
      <c r="CE6" s="1" t="str">
        <f>IF(A6="","",IF(CD6="","",RANK(CD6,$CD$3:$CD156,1)))</f>
        <v/>
      </c>
      <c r="CF6" s="1">
        <f t="shared" si="53"/>
        <v>6</v>
      </c>
      <c r="CG6">
        <v>4</v>
      </c>
      <c r="CH6" s="1" t="str">
        <f>IFERROR(IF($A6="","",VLOOKUP(CG6,$CE$3:CG$153,2,FALSE)),"")</f>
        <v/>
      </c>
      <c r="CI6" s="1" t="str">
        <f t="shared" si="54"/>
        <v/>
      </c>
      <c r="CJ6" s="1" t="str">
        <f>IF(A6="","",IF(CI6="","",RANK(CI6,$CI$3:$CI156,1)))</f>
        <v/>
      </c>
      <c r="CK6" s="1">
        <f t="shared" si="55"/>
        <v>6</v>
      </c>
      <c r="CL6">
        <v>4</v>
      </c>
      <c r="CM6" s="1" t="str">
        <f>IFERROR(IF($A6="","",VLOOKUP(CL6,$CJ$3:CL$153,2,FALSE)),"")</f>
        <v/>
      </c>
      <c r="CN6" s="1" t="str">
        <f t="shared" si="56"/>
        <v/>
      </c>
      <c r="CO6" s="1" t="str">
        <f>IF(A6="","",IF(CN6="","",RANK(CN6,$CN$3:$CN156,1)))</f>
        <v/>
      </c>
      <c r="CP6" s="1">
        <f t="shared" si="57"/>
        <v>6</v>
      </c>
      <c r="CQ6">
        <v>4</v>
      </c>
      <c r="CR6" s="1" t="str">
        <f>IFERROR(IF($A6="","",VLOOKUP(CQ6,$CO$3:CQ$153,2,FALSE)),"")</f>
        <v/>
      </c>
      <c r="CS6" s="1" t="str">
        <f t="shared" si="58"/>
        <v/>
      </c>
      <c r="CT6" s="1" t="str">
        <f>IF(A6="","",IF(CS6="","",RANK(CS6,$CS$3:$CS156,1)))</f>
        <v/>
      </c>
      <c r="CU6" s="1">
        <f t="shared" si="59"/>
        <v>6</v>
      </c>
      <c r="CV6">
        <v>4</v>
      </c>
      <c r="CW6" s="1" t="str">
        <f>IFERROR(IF($A6="","",VLOOKUP(CV6,$CT$3:CV$153,2,FALSE)),"")</f>
        <v/>
      </c>
      <c r="CX6" s="1" t="str">
        <f t="shared" si="60"/>
        <v/>
      </c>
      <c r="CY6" s="1" t="str">
        <f>IF(CX6="","",IF(A6="","",RANK(CX6,$CX$3:$CX156,1)))</f>
        <v/>
      </c>
      <c r="CZ6" s="1">
        <f t="shared" si="61"/>
        <v>6</v>
      </c>
      <c r="DA6">
        <v>4</v>
      </c>
      <c r="DB6" s="1" t="str">
        <f>IFERROR(IF($A6="","",VLOOKUP(DA6,$CY$3:DA$153,2,FALSE)),"")</f>
        <v/>
      </c>
      <c r="DC6" s="1" t="str">
        <f t="shared" si="62"/>
        <v/>
      </c>
      <c r="DD6" s="1" t="str">
        <f>IF(DC6="","",IF(A6="","",RANK(DC6,$DC$3:$DC156,1)))</f>
        <v/>
      </c>
      <c r="DE6" s="1">
        <f t="shared" si="63"/>
        <v>6</v>
      </c>
      <c r="DF6">
        <v>4</v>
      </c>
      <c r="DG6" s="1" t="str">
        <f>IFERROR(IF($A6="","",VLOOKUP(DF6,$DD$3:DF$153,2,FALSE)),"")</f>
        <v/>
      </c>
      <c r="DH6" s="1" t="str">
        <f t="shared" si="64"/>
        <v/>
      </c>
      <c r="DI6" s="1" t="str">
        <f>IF(DH6="","",IF(A6="","",RANK(DH6,$DH$3:$DH156,1)))</f>
        <v/>
      </c>
      <c r="DJ6" s="1">
        <f t="shared" si="65"/>
        <v>6</v>
      </c>
      <c r="DK6">
        <v>4</v>
      </c>
      <c r="DL6" s="1" t="str">
        <f>IFERROR(IF($A6="","",VLOOKUP(DK6,$DI$3:DK$153,2,FALSE)),"")</f>
        <v/>
      </c>
      <c r="DM6" s="1" t="str">
        <f t="shared" si="66"/>
        <v/>
      </c>
      <c r="DN6" s="1" t="str">
        <f>IF(DM6="","",IF(A6="","",RANK(DM6,$DM$3:$DM156,1)))</f>
        <v/>
      </c>
      <c r="DO6" s="1">
        <f t="shared" si="67"/>
        <v>6</v>
      </c>
      <c r="DP6">
        <v>4</v>
      </c>
      <c r="DQ6" s="1" t="str">
        <f>IFERROR(IF($A6="","",VLOOKUP(DP6,$DN$3:DP$153,2,FALSE)),"")</f>
        <v/>
      </c>
      <c r="DR6" s="1">
        <f t="shared" si="68"/>
        <v>15.00004</v>
      </c>
      <c r="DS6" s="1">
        <f>IF(DR6="","",IF(A6="","",RANK(DR6,$DR$3:$DR156,1)))</f>
        <v>48</v>
      </c>
      <c r="DT6" s="1">
        <f t="shared" si="69"/>
        <v>6</v>
      </c>
      <c r="DU6">
        <v>4</v>
      </c>
      <c r="DV6" s="1">
        <f>IFERROR(IF($A6="","",VLOOKUP(DU6,$DS$3:DU$153,2,FALSE)),"")</f>
        <v>1</v>
      </c>
      <c r="DW6" s="1">
        <f t="shared" si="70"/>
        <v>13.50004</v>
      </c>
      <c r="DX6" s="1">
        <f>IF(DW6="","",IF(A6="","",RANK(DW6,$DW$3:$DW156,1)))</f>
        <v>36</v>
      </c>
      <c r="DY6" s="1">
        <f t="shared" si="71"/>
        <v>6</v>
      </c>
      <c r="DZ6">
        <v>4</v>
      </c>
      <c r="EA6" s="1">
        <f>IFERROR(IF($A6="","",VLOOKUP(DZ6,$DX$3:DZ$153,2,FALSE)),"")</f>
        <v>7</v>
      </c>
      <c r="EB6" s="1">
        <f t="shared" si="72"/>
        <v>12.400040000000001</v>
      </c>
      <c r="EC6" s="1">
        <f>IF(EB6="","",IF(A6="","",RANK(EB6,$EB$3:$EB156,1)))</f>
        <v>31</v>
      </c>
      <c r="ED6" s="1">
        <f t="shared" si="73"/>
        <v>6</v>
      </c>
      <c r="EE6">
        <v>4</v>
      </c>
      <c r="EF6" s="1">
        <f>IFERROR(IF($A6="","",VLOOKUP(EE6,$EC$3:EE$153,2,FALSE)),"")</f>
        <v>7</v>
      </c>
      <c r="EG6" s="1">
        <f t="shared" si="74"/>
        <v>12.00004</v>
      </c>
      <c r="EH6" s="1">
        <f>IF(EG6="","",IF(A6="","",RANK(EG6,$EG$3:$EG156,1)))</f>
        <v>4</v>
      </c>
      <c r="EI6" s="1">
        <f t="shared" si="75"/>
        <v>6</v>
      </c>
      <c r="EJ6">
        <v>4</v>
      </c>
      <c r="EK6" s="1">
        <f>IFERROR(IF($A6="","",VLOOKUP(EJ6,$EH$3:EJ$153,2,FALSE)),"")</f>
        <v>6</v>
      </c>
      <c r="EU6" s="13">
        <v>4</v>
      </c>
      <c r="EV6" s="1" t="str">
        <f t="shared" si="1"/>
        <v>ウィズ　　　　　　　　　　　　　　　</v>
      </c>
      <c r="EW6" s="4" t="str">
        <f t="shared" si="1"/>
        <v>未検出</v>
      </c>
      <c r="EX6" s="4">
        <f t="shared" si="2"/>
        <v>4</v>
      </c>
      <c r="EY6" s="4">
        <f t="shared" si="2"/>
        <v>21</v>
      </c>
      <c r="EZ6" s="4">
        <f t="shared" si="3"/>
        <v>14</v>
      </c>
      <c r="FA6" s="1">
        <f t="shared" si="4"/>
        <v>1</v>
      </c>
      <c r="FB6" s="1" t="str">
        <f t="shared" si="5"/>
        <v/>
      </c>
      <c r="FC6" s="1" t="str">
        <f t="shared" si="6"/>
        <v/>
      </c>
      <c r="FD6" s="1" t="str">
        <f t="shared" si="7"/>
        <v/>
      </c>
      <c r="FE6" s="1" t="str">
        <f t="shared" si="8"/>
        <v/>
      </c>
      <c r="FF6" s="1" t="str">
        <f t="shared" si="9"/>
        <v/>
      </c>
      <c r="FG6" s="1" t="str">
        <f t="shared" si="10"/>
        <v/>
      </c>
      <c r="FH6" s="1" t="str">
        <f t="shared" si="11"/>
        <v/>
      </c>
      <c r="FI6" s="1" t="str">
        <f t="shared" si="12"/>
        <v/>
      </c>
    </row>
    <row r="7" spans="1:183" ht="18.75">
      <c r="A7" s="1" t="s">
        <v>88</v>
      </c>
      <c r="B7" s="1">
        <v>20190707</v>
      </c>
      <c r="C7" s="1" t="s">
        <v>93</v>
      </c>
      <c r="D7" s="1">
        <v>4</v>
      </c>
      <c r="E7" s="30">
        <v>57.1</v>
      </c>
      <c r="F7" s="30">
        <v>40.4</v>
      </c>
      <c r="G7" s="30">
        <v>25.3</v>
      </c>
      <c r="H7" s="30">
        <v>12.1</v>
      </c>
      <c r="I7" s="30">
        <v>16.7</v>
      </c>
      <c r="J7" s="30">
        <v>15.1</v>
      </c>
      <c r="K7" s="30">
        <v>13.2</v>
      </c>
      <c r="L7" s="30">
        <v>12.1</v>
      </c>
      <c r="M7" s="1" t="str">
        <f t="shared" si="13"/>
        <v>2019/07/07</v>
      </c>
      <c r="N7" s="4" t="str">
        <f t="shared" si="14"/>
        <v/>
      </c>
      <c r="O7">
        <v>5.0000000000000002E-5</v>
      </c>
      <c r="P7" s="1" t="str">
        <f t="shared" si="15"/>
        <v/>
      </c>
      <c r="Q7" s="1" t="str">
        <f t="shared" si="16"/>
        <v/>
      </c>
      <c r="R7" s="1">
        <f t="shared" si="17"/>
        <v>4</v>
      </c>
      <c r="S7">
        <v>5</v>
      </c>
      <c r="T7" s="1" t="str">
        <f>IFERROR(IF($A7="","",VLOOKUP(S7,$Q$3:S$153,2,FALSE)),"")</f>
        <v/>
      </c>
      <c r="U7" s="1">
        <f t="shared" si="18"/>
        <v>57.100050000000003</v>
      </c>
      <c r="V7" s="1">
        <f t="shared" si="19"/>
        <v>103</v>
      </c>
      <c r="W7" s="1">
        <f t="shared" si="20"/>
        <v>4</v>
      </c>
      <c r="X7">
        <v>5</v>
      </c>
      <c r="Y7" s="1">
        <f>IFERROR(IF($A7="","",VLOOKUP(X7,$V$3:X$153,2,FALSE)),"")</f>
        <v>4</v>
      </c>
      <c r="Z7" s="1" t="str">
        <f t="shared" si="21"/>
        <v/>
      </c>
      <c r="AA7" s="1" t="str">
        <f t="shared" si="22"/>
        <v/>
      </c>
      <c r="AB7" s="1">
        <f t="shared" si="23"/>
        <v>4</v>
      </c>
      <c r="AC7">
        <v>5</v>
      </c>
      <c r="AD7" s="1" t="str">
        <f>IFERROR(IF($A7="","",VLOOKUP(AC7,$AA$3:AC$153,2,FALSE)),"")</f>
        <v/>
      </c>
      <c r="AE7" s="1">
        <f t="shared" si="24"/>
        <v>40.40005</v>
      </c>
      <c r="AF7" s="1">
        <f t="shared" si="25"/>
        <v>90</v>
      </c>
      <c r="AG7" s="1">
        <f t="shared" si="26"/>
        <v>4</v>
      </c>
      <c r="AH7">
        <v>5</v>
      </c>
      <c r="AI7" s="1">
        <f>IFERROR(IF($A7="","",VLOOKUP(AH7,$AF$3:AH$153,2,FALSE)),"")</f>
        <v>7</v>
      </c>
      <c r="AJ7" s="1" t="str">
        <f t="shared" si="27"/>
        <v/>
      </c>
      <c r="AK7" s="1" t="str">
        <f t="shared" si="28"/>
        <v/>
      </c>
      <c r="AL7" s="1">
        <f t="shared" si="29"/>
        <v>4</v>
      </c>
      <c r="AM7">
        <v>5</v>
      </c>
      <c r="AN7" s="1" t="str">
        <f>IFERROR(IF($A7="","",VLOOKUP(AM7,$AK$3:AM$153,2,FALSE)),"")</f>
        <v/>
      </c>
      <c r="AO7" s="1">
        <f t="shared" si="30"/>
        <v>25.300050000000002</v>
      </c>
      <c r="AP7" s="1">
        <f t="shared" si="31"/>
        <v>57</v>
      </c>
      <c r="AQ7" s="1">
        <f t="shared" si="32"/>
        <v>4</v>
      </c>
      <c r="AR7">
        <v>5</v>
      </c>
      <c r="AS7" s="1">
        <f>IFERROR(IF($A7="","",VLOOKUP(AR7,$AP$3:AR$153,2,FALSE)),"")</f>
        <v>7</v>
      </c>
      <c r="AT7" s="1">
        <f t="shared" si="33"/>
        <v>1.5999999999999996</v>
      </c>
      <c r="AU7" s="1">
        <f t="shared" si="34"/>
        <v>1.9000000000000004</v>
      </c>
      <c r="AV7" s="1">
        <f t="shared" si="35"/>
        <v>1.0999999999999996</v>
      </c>
      <c r="AW7" s="1">
        <f t="shared" si="36"/>
        <v>4.5999999999999996</v>
      </c>
      <c r="AX7" s="1">
        <f t="shared" si="37"/>
        <v>1.5333833333333333</v>
      </c>
      <c r="AY7" s="1">
        <f t="shared" si="38"/>
        <v>3</v>
      </c>
      <c r="AZ7" s="1">
        <f t="shared" si="39"/>
        <v>4</v>
      </c>
      <c r="BA7">
        <v>5</v>
      </c>
      <c r="BB7" s="1">
        <f>IFERROR(IF($A7="","",VLOOKUP(BA7,$AY$3:BA$153,2,FALSE)),"")</f>
        <v>9</v>
      </c>
      <c r="BC7" s="1">
        <f t="shared" si="40"/>
        <v>3.5000499999999999</v>
      </c>
      <c r="BD7" s="1">
        <f t="shared" si="41"/>
        <v>37</v>
      </c>
      <c r="BE7" s="1">
        <f t="shared" si="42"/>
        <v>4</v>
      </c>
      <c r="BF7">
        <v>5</v>
      </c>
      <c r="BG7" s="1">
        <f>IFERROR(IF($A7="","",VLOOKUP(BF7,$BD$3:BF$153,2,FALSE)),"")</f>
        <v>1</v>
      </c>
      <c r="BH7" s="1" t="str">
        <f t="shared" si="43"/>
        <v/>
      </c>
      <c r="BI7" s="1" t="str">
        <f>IF(A7="","",IF(BH7="","",RANK(BH7,$BH$3:$BH157,1)))</f>
        <v/>
      </c>
      <c r="BJ7" s="1">
        <f t="shared" si="44"/>
        <v>4</v>
      </c>
      <c r="BK7">
        <v>5</v>
      </c>
      <c r="BL7" s="1" t="str">
        <f>IFERROR(IF($A7="","",VLOOKUP(BK7,$BI$3:BK$153,2,FALSE)),"")</f>
        <v/>
      </c>
      <c r="BM7" s="1">
        <f t="shared" si="45"/>
        <v>3.1118749999999693</v>
      </c>
      <c r="BN7" s="1">
        <f>IF(A7="","",IF(BM7="","",RANK(BM7,$BM$3:$BM157,1)))</f>
        <v>134</v>
      </c>
      <c r="BO7" s="1">
        <f t="shared" si="46"/>
        <v>4</v>
      </c>
      <c r="BP7">
        <v>5</v>
      </c>
      <c r="BQ7" s="1">
        <f>IFERROR(IF($A7="","",VLOOKUP(BP7,$BN$3:BP$153,2,FALSE)),"")</f>
        <v>6</v>
      </c>
      <c r="BR7" s="1">
        <f t="shared" si="47"/>
        <v>4</v>
      </c>
      <c r="BS7" s="1" t="str">
        <f t="shared" si="48"/>
        <v>ウィズ　　　　　　　　　　　　　　　</v>
      </c>
      <c r="BT7" s="25">
        <v>5</v>
      </c>
      <c r="BU7" s="1" t="str">
        <f>IFERROR(IF($A7="","",VLOOKUP(BT7,$BR$3:BT$300,2,FALSE)),"")</f>
        <v>シグナライズ　　　　　　　　　　　　</v>
      </c>
      <c r="BV7" s="4" t="str">
        <f t="shared" si="49"/>
        <v>未検出</v>
      </c>
      <c r="BW7" s="4">
        <f t="shared" si="50"/>
        <v>5</v>
      </c>
      <c r="BX7" s="4">
        <f t="array" ref="BX7">IFERROR(VALUE(INDEX(BW:BW,SMALL(IF($BW$3:$BW$20&lt;&gt;"",ROW($BW$3:$BW$20),999),ROW(A5)))&amp;""),"")</f>
        <v>5</v>
      </c>
      <c r="BY7" s="4">
        <f t="shared" si="51"/>
        <v>36</v>
      </c>
      <c r="BZ7" s="1" t="str">
        <f t="shared" si="0"/>
        <v/>
      </c>
      <c r="CA7" s="1">
        <f t="array" ref="CA7">IFERROR(VALUE(INDEX(BZ:BZ,SMALL(IF($BZ$3:$BZ$20&lt;&gt;"",ROW($BZ$3:$BZ$20),999),ROW(A5)))&amp;""),"")</f>
        <v>15</v>
      </c>
      <c r="CD7" s="1" t="str">
        <f t="shared" si="52"/>
        <v/>
      </c>
      <c r="CE7" s="1" t="str">
        <f>IF(A7="","",IF(CD7="","",RANK(CD7,$CD$3:$CD157,1)))</f>
        <v/>
      </c>
      <c r="CF7" s="1">
        <f t="shared" si="53"/>
        <v>4</v>
      </c>
      <c r="CG7">
        <v>5</v>
      </c>
      <c r="CH7" s="1" t="str">
        <f>IFERROR(IF($A7="","",VLOOKUP(CG7,$CE$3:CG$153,2,FALSE)),"")</f>
        <v/>
      </c>
      <c r="CI7" s="1" t="str">
        <f t="shared" si="54"/>
        <v/>
      </c>
      <c r="CJ7" s="1" t="str">
        <f>IF(A7="","",IF(CI7="","",RANK(CI7,$CI$3:$CI157,1)))</f>
        <v/>
      </c>
      <c r="CK7" s="1">
        <f t="shared" si="55"/>
        <v>4</v>
      </c>
      <c r="CL7">
        <v>5</v>
      </c>
      <c r="CM7" s="1" t="str">
        <f>IFERROR(IF($A7="","",VLOOKUP(CL7,$CJ$3:CL$153,2,FALSE)),"")</f>
        <v/>
      </c>
      <c r="CN7" s="1" t="str">
        <f t="shared" si="56"/>
        <v/>
      </c>
      <c r="CO7" s="1" t="str">
        <f>IF(A7="","",IF(CN7="","",RANK(CN7,$CN$3:$CN157,1)))</f>
        <v/>
      </c>
      <c r="CP7" s="1">
        <f t="shared" si="57"/>
        <v>4</v>
      </c>
      <c r="CQ7">
        <v>5</v>
      </c>
      <c r="CR7" s="1" t="str">
        <f>IFERROR(IF($A7="","",VLOOKUP(CQ7,$CO$3:CQ$153,2,FALSE)),"")</f>
        <v/>
      </c>
      <c r="CS7" s="1" t="str">
        <f t="shared" si="58"/>
        <v/>
      </c>
      <c r="CT7" s="1" t="str">
        <f>IF(A7="","",IF(CS7="","",RANK(CS7,$CS$3:$CS157,1)))</f>
        <v/>
      </c>
      <c r="CU7" s="1">
        <f t="shared" si="59"/>
        <v>4</v>
      </c>
      <c r="CV7">
        <v>5</v>
      </c>
      <c r="CW7" s="1" t="str">
        <f>IFERROR(IF($A7="","",VLOOKUP(CV7,$CT$3:CV$153,2,FALSE)),"")</f>
        <v/>
      </c>
      <c r="CX7" s="1" t="str">
        <f t="shared" si="60"/>
        <v/>
      </c>
      <c r="CY7" s="1" t="str">
        <f>IF(CX7="","",IF(A7="","",RANK(CX7,$CX$3:$CX157,1)))</f>
        <v/>
      </c>
      <c r="CZ7" s="1">
        <f t="shared" si="61"/>
        <v>4</v>
      </c>
      <c r="DA7">
        <v>5</v>
      </c>
      <c r="DB7" s="1" t="str">
        <f>IFERROR(IF($A7="","",VLOOKUP(DA7,$CY$3:DA$153,2,FALSE)),"")</f>
        <v/>
      </c>
      <c r="DC7" s="1" t="str">
        <f t="shared" si="62"/>
        <v/>
      </c>
      <c r="DD7" s="1" t="str">
        <f>IF(DC7="","",IF(A7="","",RANK(DC7,$DC$3:$DC157,1)))</f>
        <v/>
      </c>
      <c r="DE7" s="1">
        <f t="shared" si="63"/>
        <v>4</v>
      </c>
      <c r="DF7">
        <v>5</v>
      </c>
      <c r="DG7" s="1" t="str">
        <f>IFERROR(IF($A7="","",VLOOKUP(DF7,$DD$3:DF$153,2,FALSE)),"")</f>
        <v/>
      </c>
      <c r="DH7" s="1" t="str">
        <f t="shared" si="64"/>
        <v/>
      </c>
      <c r="DI7" s="1" t="str">
        <f>IF(DH7="","",IF(A7="","",RANK(DH7,$DH$3:$DH157,1)))</f>
        <v/>
      </c>
      <c r="DJ7" s="1">
        <f t="shared" si="65"/>
        <v>4</v>
      </c>
      <c r="DK7">
        <v>5</v>
      </c>
      <c r="DL7" s="1" t="str">
        <f>IFERROR(IF($A7="","",VLOOKUP(DK7,$DI$3:DK$153,2,FALSE)),"")</f>
        <v/>
      </c>
      <c r="DM7" s="1" t="str">
        <f t="shared" si="66"/>
        <v/>
      </c>
      <c r="DN7" s="1" t="str">
        <f>IF(DM7="","",IF(A7="","",RANK(DM7,$DM$3:$DM157,1)))</f>
        <v/>
      </c>
      <c r="DO7" s="1">
        <f t="shared" si="67"/>
        <v>4</v>
      </c>
      <c r="DP7">
        <v>5</v>
      </c>
      <c r="DQ7" s="1" t="str">
        <f>IFERROR(IF($A7="","",VLOOKUP(DP7,$DN$3:DP$153,2,FALSE)),"")</f>
        <v/>
      </c>
      <c r="DR7" s="1">
        <f t="shared" si="68"/>
        <v>16.700050000000001</v>
      </c>
      <c r="DS7" s="1">
        <f>IF(DR7="","",IF(A7="","",RANK(DR7,$DR$3:$DR157,1)))</f>
        <v>119</v>
      </c>
      <c r="DT7" s="1">
        <f t="shared" si="69"/>
        <v>4</v>
      </c>
      <c r="DU7">
        <v>5</v>
      </c>
      <c r="DV7" s="1">
        <f>IFERROR(IF($A7="","",VLOOKUP(DU7,$DS$3:DU$153,2,FALSE)),"")</f>
        <v>6</v>
      </c>
      <c r="DW7" s="1">
        <f t="shared" si="70"/>
        <v>15.10005</v>
      </c>
      <c r="DX7" s="1">
        <f>IF(DW7="","",IF(A7="","",RANK(DW7,$DW$3:$DW157,1)))</f>
        <v>118</v>
      </c>
      <c r="DY7" s="1">
        <f t="shared" si="71"/>
        <v>4</v>
      </c>
      <c r="DZ7">
        <v>5</v>
      </c>
      <c r="EA7" s="1">
        <f>IFERROR(IF($A7="","",VLOOKUP(DZ7,$DX$3:DZ$153,2,FALSE)),"")</f>
        <v>9</v>
      </c>
      <c r="EB7" s="1">
        <f t="shared" si="72"/>
        <v>13.200049999999999</v>
      </c>
      <c r="EC7" s="1">
        <f>IF(EB7="","",IF(A7="","",RANK(EB7,$EB$3:$EB157,1)))</f>
        <v>89</v>
      </c>
      <c r="ED7" s="1">
        <f t="shared" si="73"/>
        <v>4</v>
      </c>
      <c r="EE7">
        <v>5</v>
      </c>
      <c r="EF7" s="1">
        <f>IFERROR(IF($A7="","",VLOOKUP(EE7,$EC$3:EE$153,2,FALSE)),"")</f>
        <v>1</v>
      </c>
      <c r="EG7" s="1">
        <f t="shared" si="74"/>
        <v>12.10005</v>
      </c>
      <c r="EH7" s="1">
        <f>IF(EG7="","",IF(A7="","",RANK(EG7,$EG$3:$EG157,1)))</f>
        <v>5</v>
      </c>
      <c r="EI7" s="1">
        <f t="shared" si="75"/>
        <v>4</v>
      </c>
      <c r="EJ7">
        <v>5</v>
      </c>
      <c r="EK7" s="1">
        <f>IFERROR(IF($A7="","",VLOOKUP(EJ7,$EH$3:EJ$153,2,FALSE)),"")</f>
        <v>4</v>
      </c>
      <c r="EU7" s="13">
        <v>5</v>
      </c>
      <c r="EV7" s="1" t="str">
        <f t="shared" si="1"/>
        <v>シグナライズ　　　　　　　　　　　　</v>
      </c>
      <c r="EW7" s="4" t="str">
        <f t="shared" si="1"/>
        <v>未検出</v>
      </c>
      <c r="EX7" s="4">
        <f t="shared" si="2"/>
        <v>5</v>
      </c>
      <c r="EY7" s="4">
        <f t="shared" si="2"/>
        <v>36</v>
      </c>
      <c r="EZ7" s="4">
        <f t="shared" si="3"/>
        <v>15</v>
      </c>
      <c r="FA7" s="1">
        <f t="shared" si="4"/>
        <v>1</v>
      </c>
      <c r="FB7" s="1" t="str">
        <f t="shared" si="5"/>
        <v/>
      </c>
      <c r="FC7" s="1" t="str">
        <f t="shared" si="6"/>
        <v/>
      </c>
      <c r="FD7" s="1" t="str">
        <f t="shared" si="7"/>
        <v/>
      </c>
      <c r="FE7" s="1" t="str">
        <f t="shared" si="8"/>
        <v/>
      </c>
      <c r="FF7" s="1" t="str">
        <f t="shared" si="9"/>
        <v/>
      </c>
      <c r="FG7" s="1" t="str">
        <f t="shared" si="10"/>
        <v/>
      </c>
      <c r="FH7" s="1" t="str">
        <f t="shared" si="11"/>
        <v/>
      </c>
      <c r="FI7" s="1" t="str">
        <f t="shared" si="12"/>
        <v/>
      </c>
    </row>
    <row r="8" spans="1:183" ht="18.75">
      <c r="A8" s="1" t="s">
        <v>88</v>
      </c>
      <c r="B8" s="1">
        <v>20190206</v>
      </c>
      <c r="C8" s="1" t="s">
        <v>98</v>
      </c>
      <c r="D8" s="1">
        <v>9</v>
      </c>
      <c r="E8" s="30">
        <v>55.1</v>
      </c>
      <c r="F8" s="30">
        <v>38.6</v>
      </c>
      <c r="G8" s="30">
        <v>25</v>
      </c>
      <c r="H8" s="30">
        <v>12.2</v>
      </c>
      <c r="I8" s="30">
        <v>16.5</v>
      </c>
      <c r="J8" s="30">
        <v>13.6</v>
      </c>
      <c r="K8" s="30">
        <v>12.8</v>
      </c>
      <c r="L8" s="30">
        <v>12.2</v>
      </c>
      <c r="M8" s="1" t="str">
        <f t="shared" si="13"/>
        <v>2019/02/06</v>
      </c>
      <c r="N8" s="4" t="str">
        <f t="shared" si="14"/>
        <v/>
      </c>
      <c r="O8">
        <v>6.0000000000000002E-5</v>
      </c>
      <c r="P8" s="1" t="str">
        <f t="shared" si="15"/>
        <v/>
      </c>
      <c r="Q8" s="1" t="str">
        <f t="shared" si="16"/>
        <v/>
      </c>
      <c r="R8" s="1">
        <f t="shared" si="17"/>
        <v>9</v>
      </c>
      <c r="S8">
        <v>6</v>
      </c>
      <c r="T8" s="1" t="str">
        <f>IFERROR(IF($A8="","",VLOOKUP(S8,$Q$3:S$153,2,FALSE)),"")</f>
        <v/>
      </c>
      <c r="U8" s="1">
        <f t="shared" si="18"/>
        <v>55.100059999999999</v>
      </c>
      <c r="V8" s="1">
        <f t="shared" si="19"/>
        <v>74</v>
      </c>
      <c r="W8" s="1">
        <f t="shared" si="20"/>
        <v>9</v>
      </c>
      <c r="X8">
        <v>6</v>
      </c>
      <c r="Y8" s="1">
        <f>IFERROR(IF($A8="","",VLOOKUP(X8,$V$3:X$153,2,FALSE)),"")</f>
        <v>5</v>
      </c>
      <c r="Z8" s="1" t="str">
        <f t="shared" si="21"/>
        <v/>
      </c>
      <c r="AA8" s="1" t="str">
        <f t="shared" si="22"/>
        <v/>
      </c>
      <c r="AB8" s="1">
        <f t="shared" si="23"/>
        <v>9</v>
      </c>
      <c r="AC8">
        <v>6</v>
      </c>
      <c r="AD8" s="1" t="str">
        <f>IFERROR(IF($A8="","",VLOOKUP(AC8,$AA$3:AC$153,2,FALSE)),"")</f>
        <v/>
      </c>
      <c r="AE8" s="1">
        <f t="shared" si="24"/>
        <v>38.600059999999999</v>
      </c>
      <c r="AF8" s="1">
        <f t="shared" si="25"/>
        <v>43</v>
      </c>
      <c r="AG8" s="1">
        <f t="shared" si="26"/>
        <v>9</v>
      </c>
      <c r="AH8">
        <v>6</v>
      </c>
      <c r="AI8" s="1">
        <f>IFERROR(IF($A8="","",VLOOKUP(AH8,$AF$3:AH$153,2,FALSE)),"")</f>
        <v>9</v>
      </c>
      <c r="AJ8" s="1" t="str">
        <f t="shared" si="27"/>
        <v/>
      </c>
      <c r="AK8" s="1" t="str">
        <f t="shared" si="28"/>
        <v/>
      </c>
      <c r="AL8" s="1">
        <f t="shared" si="29"/>
        <v>9</v>
      </c>
      <c r="AM8">
        <v>6</v>
      </c>
      <c r="AN8" s="1" t="str">
        <f>IFERROR(IF($A8="","",VLOOKUP(AM8,$AK$3:AM$153,2,FALSE)),"")</f>
        <v/>
      </c>
      <c r="AO8" s="1">
        <f t="shared" si="30"/>
        <v>25.000060000000001</v>
      </c>
      <c r="AP8" s="1">
        <f t="shared" si="31"/>
        <v>41</v>
      </c>
      <c r="AQ8" s="1">
        <f t="shared" si="32"/>
        <v>9</v>
      </c>
      <c r="AR8">
        <v>6</v>
      </c>
      <c r="AS8" s="1">
        <f>IFERROR(IF($A8="","",VLOOKUP(AR8,$AP$3:AR$153,2,FALSE)),"")</f>
        <v>1</v>
      </c>
      <c r="AT8" s="1">
        <f t="shared" si="33"/>
        <v>2.9000000000000004</v>
      </c>
      <c r="AU8" s="1">
        <f t="shared" si="34"/>
        <v>0.79999999999999893</v>
      </c>
      <c r="AV8" s="1">
        <f t="shared" si="35"/>
        <v>0.60000000000000142</v>
      </c>
      <c r="AW8" s="1">
        <f t="shared" si="36"/>
        <v>4.3000000000000007</v>
      </c>
      <c r="AX8" s="1">
        <f t="shared" si="37"/>
        <v>1.4333933333333335</v>
      </c>
      <c r="AY8" s="1">
        <f t="shared" si="38"/>
        <v>5</v>
      </c>
      <c r="AZ8" s="1">
        <f t="shared" si="39"/>
        <v>9</v>
      </c>
      <c r="BA8">
        <v>6</v>
      </c>
      <c r="BB8" s="1">
        <f>IFERROR(IF($A8="","",VLOOKUP(BA8,$AY$3:BA$153,2,FALSE)),"")</f>
        <v>9</v>
      </c>
      <c r="BC8" s="1">
        <f t="shared" si="40"/>
        <v>3.7000599999999992</v>
      </c>
      <c r="BD8" s="1">
        <f t="shared" si="41"/>
        <v>31</v>
      </c>
      <c r="BE8" s="1">
        <f t="shared" si="42"/>
        <v>9</v>
      </c>
      <c r="BF8">
        <v>6</v>
      </c>
      <c r="BG8" s="1">
        <f>IFERROR(IF($A8="","",VLOOKUP(BF8,$BD$3:BF$153,2,FALSE)),"")</f>
        <v>1</v>
      </c>
      <c r="BH8" s="1" t="str">
        <f t="shared" si="43"/>
        <v/>
      </c>
      <c r="BI8" s="1" t="str">
        <f>IF(A8="","",IF(BH8="","",RANK(BH8,$BH$3:$BH158,1)))</f>
        <v/>
      </c>
      <c r="BJ8" s="1">
        <f t="shared" si="44"/>
        <v>9</v>
      </c>
      <c r="BK8">
        <v>6</v>
      </c>
      <c r="BL8" s="1" t="str">
        <f>IFERROR(IF($A8="","",VLOOKUP(BK8,$BI$3:BK$153,2,FALSE)),"")</f>
        <v/>
      </c>
      <c r="BM8" s="1">
        <f t="shared" si="45"/>
        <v>2.7218749999998977</v>
      </c>
      <c r="BN8" s="1">
        <f>IF(A8="","",IF(BM8="","",RANK(BM8,$BM$3:$BM158,1)))</f>
        <v>126</v>
      </c>
      <c r="BO8" s="1">
        <f t="shared" si="46"/>
        <v>9</v>
      </c>
      <c r="BP8">
        <v>6</v>
      </c>
      <c r="BQ8" s="1">
        <f>IFERROR(IF($A8="","",VLOOKUP(BP8,$BN$3:BP$153,2,FALSE)),"")</f>
        <v>2</v>
      </c>
      <c r="BR8" s="1">
        <f t="shared" si="47"/>
        <v>9</v>
      </c>
      <c r="BS8" s="1" t="str">
        <f t="shared" si="48"/>
        <v>メイショウイサナ　　　　　　　　　　</v>
      </c>
      <c r="BT8" s="25">
        <v>6</v>
      </c>
      <c r="BU8" s="1" t="str">
        <f>IFERROR(IF($A8="","",VLOOKUP(BT8,$BR$3:BT$300,2,FALSE)),"")</f>
        <v>ミカエルシチー　　　　　　　　　　　</v>
      </c>
      <c r="BV8" s="4" t="str">
        <f t="shared" si="49"/>
        <v>未検出</v>
      </c>
      <c r="BW8" s="4">
        <f t="shared" si="50"/>
        <v>6</v>
      </c>
      <c r="BX8" s="4">
        <f t="array" ref="BX8">IFERROR(VALUE(INDEX(BW:BW,SMALL(IF($BW$3:$BW$20&lt;&gt;"",ROW($BW$3:$BW$20),999),ROW(A6)))&amp;""),"")</f>
        <v>6</v>
      </c>
      <c r="BY8" s="4">
        <f t="shared" si="51"/>
        <v>26</v>
      </c>
      <c r="BZ8" s="1" t="str">
        <f t="shared" si="0"/>
        <v/>
      </c>
      <c r="CA8" s="1">
        <f t="array" ref="CA8">IFERROR(VALUE(INDEX(BZ:BZ,SMALL(IF($BZ$3:$BZ$20&lt;&gt;"",ROW($BZ$3:$BZ$20),999),ROW(A6)))&amp;""),"")</f>
        <v>16</v>
      </c>
      <c r="CD8" s="1" t="str">
        <f t="shared" si="52"/>
        <v/>
      </c>
      <c r="CE8" s="1" t="str">
        <f>IF(A8="","",IF(CD8="","",RANK(CD8,$CD$3:$CD158,1)))</f>
        <v/>
      </c>
      <c r="CF8" s="1">
        <f t="shared" si="53"/>
        <v>9</v>
      </c>
      <c r="CG8">
        <v>6</v>
      </c>
      <c r="CH8" s="1" t="str">
        <f>IFERROR(IF($A8="","",VLOOKUP(CG8,$CE$3:CG$153,2,FALSE)),"")</f>
        <v/>
      </c>
      <c r="CI8" s="1" t="str">
        <f t="shared" si="54"/>
        <v/>
      </c>
      <c r="CJ8" s="1" t="str">
        <f>IF(A8="","",IF(CI8="","",RANK(CI8,$CI$3:$CI158,1)))</f>
        <v/>
      </c>
      <c r="CK8" s="1">
        <f t="shared" si="55"/>
        <v>9</v>
      </c>
      <c r="CL8">
        <v>6</v>
      </c>
      <c r="CM8" s="1" t="str">
        <f>IFERROR(IF($A8="","",VLOOKUP(CL8,$CJ$3:CL$153,2,FALSE)),"")</f>
        <v/>
      </c>
      <c r="CN8" s="1" t="str">
        <f t="shared" si="56"/>
        <v/>
      </c>
      <c r="CO8" s="1" t="str">
        <f>IF(A8="","",IF(CN8="","",RANK(CN8,$CN$3:$CN158,1)))</f>
        <v/>
      </c>
      <c r="CP8" s="1">
        <f t="shared" si="57"/>
        <v>9</v>
      </c>
      <c r="CQ8">
        <v>6</v>
      </c>
      <c r="CR8" s="1" t="str">
        <f>IFERROR(IF($A8="","",VLOOKUP(CQ8,$CO$3:CQ$153,2,FALSE)),"")</f>
        <v/>
      </c>
      <c r="CS8" s="1" t="str">
        <f t="shared" si="58"/>
        <v/>
      </c>
      <c r="CT8" s="1" t="str">
        <f>IF(A8="","",IF(CS8="","",RANK(CS8,$CS$3:$CS158,1)))</f>
        <v/>
      </c>
      <c r="CU8" s="1">
        <f t="shared" si="59"/>
        <v>9</v>
      </c>
      <c r="CV8">
        <v>6</v>
      </c>
      <c r="CW8" s="1" t="str">
        <f>IFERROR(IF($A8="","",VLOOKUP(CV8,$CT$3:CV$153,2,FALSE)),"")</f>
        <v/>
      </c>
      <c r="CX8" s="1" t="str">
        <f t="shared" si="60"/>
        <v/>
      </c>
      <c r="CY8" s="1" t="str">
        <f>IF(CX8="","",IF(A8="","",RANK(CX8,$CX$3:$CX158,1)))</f>
        <v/>
      </c>
      <c r="CZ8" s="1">
        <f t="shared" si="61"/>
        <v>9</v>
      </c>
      <c r="DA8">
        <v>6</v>
      </c>
      <c r="DB8" s="1" t="str">
        <f>IFERROR(IF($A8="","",VLOOKUP(DA8,$CY$3:DA$153,2,FALSE)),"")</f>
        <v/>
      </c>
      <c r="DC8" s="1" t="str">
        <f t="shared" si="62"/>
        <v/>
      </c>
      <c r="DD8" s="1" t="str">
        <f>IF(DC8="","",IF(A8="","",RANK(DC8,$DC$3:$DC158,1)))</f>
        <v/>
      </c>
      <c r="DE8" s="1">
        <f t="shared" si="63"/>
        <v>9</v>
      </c>
      <c r="DF8">
        <v>6</v>
      </c>
      <c r="DG8" s="1" t="str">
        <f>IFERROR(IF($A8="","",VLOOKUP(DF8,$DD$3:DF$153,2,FALSE)),"")</f>
        <v/>
      </c>
      <c r="DH8" s="1" t="str">
        <f t="shared" si="64"/>
        <v/>
      </c>
      <c r="DI8" s="1" t="str">
        <f>IF(DH8="","",IF(A8="","",RANK(DH8,$DH$3:$DH158,1)))</f>
        <v/>
      </c>
      <c r="DJ8" s="1">
        <f t="shared" si="65"/>
        <v>9</v>
      </c>
      <c r="DK8">
        <v>6</v>
      </c>
      <c r="DL8" s="1" t="str">
        <f>IFERROR(IF($A8="","",VLOOKUP(DK8,$DI$3:DK$153,2,FALSE)),"")</f>
        <v/>
      </c>
      <c r="DM8" s="1" t="str">
        <f t="shared" si="66"/>
        <v/>
      </c>
      <c r="DN8" s="1" t="str">
        <f>IF(DM8="","",IF(A8="","",RANK(DM8,$DM$3:$DM158,1)))</f>
        <v/>
      </c>
      <c r="DO8" s="1">
        <f t="shared" si="67"/>
        <v>9</v>
      </c>
      <c r="DP8">
        <v>6</v>
      </c>
      <c r="DQ8" s="1" t="str">
        <f>IFERROR(IF($A8="","",VLOOKUP(DP8,$DN$3:DP$153,2,FALSE)),"")</f>
        <v/>
      </c>
      <c r="DR8" s="1">
        <f t="shared" si="68"/>
        <v>16.500060000000001</v>
      </c>
      <c r="DS8" s="1">
        <f>IF(DR8="","",IF(A8="","",RANK(DR8,$DR$3:$DR158,1)))</f>
        <v>110</v>
      </c>
      <c r="DT8" s="1">
        <f t="shared" si="69"/>
        <v>9</v>
      </c>
      <c r="DU8">
        <v>6</v>
      </c>
      <c r="DV8" s="1">
        <f>IFERROR(IF($A8="","",VLOOKUP(DU8,$DS$3:DU$153,2,FALSE)),"")</f>
        <v>7</v>
      </c>
      <c r="DW8" s="1">
        <f t="shared" si="70"/>
        <v>13.600059999999999</v>
      </c>
      <c r="DX8" s="1">
        <f>IF(DW8="","",IF(A8="","",RANK(DW8,$DW$3:$DW158,1)))</f>
        <v>42</v>
      </c>
      <c r="DY8" s="1">
        <f t="shared" si="71"/>
        <v>9</v>
      </c>
      <c r="DZ8">
        <v>6</v>
      </c>
      <c r="EA8" s="1">
        <f>IFERROR(IF($A8="","",VLOOKUP(DZ8,$DX$3:DZ$153,2,FALSE)),"")</f>
        <v>1</v>
      </c>
      <c r="EB8" s="1">
        <f t="shared" si="72"/>
        <v>12.80006</v>
      </c>
      <c r="EC8" s="1">
        <f>IF(EB8="","",IF(A8="","",RANK(EB8,$EB$3:$EB158,1)))</f>
        <v>71</v>
      </c>
      <c r="ED8" s="1">
        <f t="shared" si="73"/>
        <v>9</v>
      </c>
      <c r="EE8">
        <v>6</v>
      </c>
      <c r="EF8" s="1">
        <f>IFERROR(IF($A8="","",VLOOKUP(EE8,$EC$3:EE$153,2,FALSE)),"")</f>
        <v>1</v>
      </c>
      <c r="EG8" s="1">
        <f t="shared" si="74"/>
        <v>12.200059999999999</v>
      </c>
      <c r="EH8" s="1">
        <f>IF(EG8="","",IF(A8="","",RANK(EG8,$EG$3:$EG158,1)))</f>
        <v>6</v>
      </c>
      <c r="EI8" s="1">
        <f t="shared" si="75"/>
        <v>9</v>
      </c>
      <c r="EJ8">
        <v>6</v>
      </c>
      <c r="EK8" s="1">
        <f>IFERROR(IF($A8="","",VLOOKUP(EJ8,$EH$3:EJ$153,2,FALSE)),"")</f>
        <v>9</v>
      </c>
      <c r="EU8" s="13">
        <v>6</v>
      </c>
      <c r="EV8" s="1" t="str">
        <f t="shared" si="1"/>
        <v>ミカエルシチー　　　　　　　　　　　</v>
      </c>
      <c r="EW8" s="4" t="str">
        <f t="shared" si="1"/>
        <v>未検出</v>
      </c>
      <c r="EX8" s="4">
        <f t="shared" si="2"/>
        <v>6</v>
      </c>
      <c r="EY8" s="4">
        <f t="shared" si="2"/>
        <v>26</v>
      </c>
      <c r="EZ8" s="4">
        <f t="shared" si="3"/>
        <v>16</v>
      </c>
      <c r="FA8" s="1">
        <f t="shared" si="4"/>
        <v>1</v>
      </c>
      <c r="FB8" s="1" t="str">
        <f t="shared" si="5"/>
        <v/>
      </c>
      <c r="FC8" s="1" t="str">
        <f t="shared" si="6"/>
        <v/>
      </c>
      <c r="FD8" s="1" t="str">
        <f t="shared" si="7"/>
        <v/>
      </c>
      <c r="FE8" s="1" t="str">
        <f t="shared" si="8"/>
        <v/>
      </c>
      <c r="FF8" s="1" t="str">
        <f t="shared" si="9"/>
        <v/>
      </c>
      <c r="FG8" s="1" t="str">
        <f t="shared" si="10"/>
        <v/>
      </c>
      <c r="FH8" s="1" t="str">
        <f t="shared" si="11"/>
        <v/>
      </c>
      <c r="FI8" s="1" t="str">
        <f t="shared" si="12"/>
        <v/>
      </c>
    </row>
    <row r="9" spans="1:183" ht="18.75">
      <c r="A9" s="1" t="s">
        <v>88</v>
      </c>
      <c r="B9" s="1">
        <v>20190220</v>
      </c>
      <c r="C9" s="1" t="s">
        <v>99</v>
      </c>
      <c r="D9" s="1">
        <v>10</v>
      </c>
      <c r="E9" s="30">
        <v>52.6</v>
      </c>
      <c r="F9" s="30">
        <v>38.299999999999997</v>
      </c>
      <c r="G9" s="30">
        <v>24.9</v>
      </c>
      <c r="H9" s="30">
        <v>12.2</v>
      </c>
      <c r="I9" s="30">
        <v>14.3</v>
      </c>
      <c r="J9" s="30">
        <v>13.4</v>
      </c>
      <c r="K9" s="30">
        <v>12.7</v>
      </c>
      <c r="L9" s="30">
        <v>12.2</v>
      </c>
      <c r="M9" s="1" t="str">
        <f t="shared" si="13"/>
        <v>2019/02/20</v>
      </c>
      <c r="N9" s="4" t="str">
        <f t="shared" si="14"/>
        <v/>
      </c>
      <c r="O9">
        <v>7.0000000000000007E-5</v>
      </c>
      <c r="P9" s="1" t="str">
        <f t="shared" si="15"/>
        <v/>
      </c>
      <c r="Q9" s="1" t="str">
        <f t="shared" si="16"/>
        <v/>
      </c>
      <c r="R9" s="1">
        <f t="shared" si="17"/>
        <v>10</v>
      </c>
      <c r="S9">
        <v>7</v>
      </c>
      <c r="T9" s="1" t="str">
        <f>IFERROR(IF($A9="","",VLOOKUP(S9,$Q$3:S$153,2,FALSE)),"")</f>
        <v/>
      </c>
      <c r="U9" s="1">
        <f t="shared" si="18"/>
        <v>52.600070000000002</v>
      </c>
      <c r="V9" s="1">
        <f t="shared" si="19"/>
        <v>18</v>
      </c>
      <c r="W9" s="1">
        <f t="shared" si="20"/>
        <v>10</v>
      </c>
      <c r="X9">
        <v>7</v>
      </c>
      <c r="Y9" s="1">
        <f>IFERROR(IF($A9="","",VLOOKUP(X9,$V$3:X$153,2,FALSE)),"")</f>
        <v>7</v>
      </c>
      <c r="Z9" s="1" t="str">
        <f t="shared" si="21"/>
        <v/>
      </c>
      <c r="AA9" s="1" t="str">
        <f t="shared" si="22"/>
        <v/>
      </c>
      <c r="AB9" s="1">
        <f t="shared" si="23"/>
        <v>10</v>
      </c>
      <c r="AC9">
        <v>7</v>
      </c>
      <c r="AD9" s="1" t="str">
        <f>IFERROR(IF($A9="","",VLOOKUP(AC9,$AA$3:AC$153,2,FALSE)),"")</f>
        <v/>
      </c>
      <c r="AE9" s="1">
        <f t="shared" si="24"/>
        <v>38.300069999999998</v>
      </c>
      <c r="AF9" s="1">
        <f t="shared" si="25"/>
        <v>31</v>
      </c>
      <c r="AG9" s="1">
        <f t="shared" si="26"/>
        <v>10</v>
      </c>
      <c r="AH9">
        <v>7</v>
      </c>
      <c r="AI9" s="1">
        <f>IFERROR(IF($A9="","",VLOOKUP(AH9,$AF$3:AH$153,2,FALSE)),"")</f>
        <v>7</v>
      </c>
      <c r="AJ9" s="1" t="str">
        <f t="shared" si="27"/>
        <v/>
      </c>
      <c r="AK9" s="1" t="str">
        <f t="shared" si="28"/>
        <v/>
      </c>
      <c r="AL9" s="1">
        <f t="shared" si="29"/>
        <v>10</v>
      </c>
      <c r="AM9">
        <v>7</v>
      </c>
      <c r="AN9" s="1" t="str">
        <f>IFERROR(IF($A9="","",VLOOKUP(AM9,$AK$3:AM$153,2,FALSE)),"")</f>
        <v/>
      </c>
      <c r="AO9" s="1">
        <f t="shared" si="30"/>
        <v>24.900069999999999</v>
      </c>
      <c r="AP9" s="1">
        <f t="shared" si="31"/>
        <v>35</v>
      </c>
      <c r="AQ9" s="1">
        <f t="shared" si="32"/>
        <v>10</v>
      </c>
      <c r="AR9">
        <v>7</v>
      </c>
      <c r="AS9" s="1">
        <f>IFERROR(IF($A9="","",VLOOKUP(AR9,$AP$3:AR$153,2,FALSE)),"")</f>
        <v>1</v>
      </c>
      <c r="AT9" s="1">
        <f t="shared" si="33"/>
        <v>0.90000000000000036</v>
      </c>
      <c r="AU9" s="1">
        <f t="shared" si="34"/>
        <v>0.70000000000000107</v>
      </c>
      <c r="AV9" s="1">
        <f t="shared" si="35"/>
        <v>0.5</v>
      </c>
      <c r="AW9" s="1">
        <f t="shared" si="36"/>
        <v>2.1000000000000014</v>
      </c>
      <c r="AX9" s="1">
        <f t="shared" si="37"/>
        <v>0.70007000000000053</v>
      </c>
      <c r="AY9" s="1">
        <f t="shared" si="38"/>
        <v>22</v>
      </c>
      <c r="AZ9" s="1">
        <f t="shared" si="39"/>
        <v>10</v>
      </c>
      <c r="BA9">
        <v>7</v>
      </c>
      <c r="BB9" s="1">
        <f>IFERROR(IF($A9="","",VLOOKUP(BA9,$AY$3:BA$153,2,FALSE)),"")</f>
        <v>9</v>
      </c>
      <c r="BC9" s="1">
        <f t="shared" si="40"/>
        <v>1.6000700000000014</v>
      </c>
      <c r="BD9" s="1">
        <f t="shared" si="41"/>
        <v>127</v>
      </c>
      <c r="BE9" s="1">
        <f t="shared" si="42"/>
        <v>10</v>
      </c>
      <c r="BF9">
        <v>7</v>
      </c>
      <c r="BG9" s="1">
        <f>IFERROR(IF($A9="","",VLOOKUP(BF9,$BD$3:BF$153,2,FALSE)),"")</f>
        <v>1</v>
      </c>
      <c r="BH9" s="1" t="str">
        <f t="shared" si="43"/>
        <v/>
      </c>
      <c r="BI9" s="1" t="str">
        <f>IF(A9="","",IF(BH9="","",RANK(BH9,$BH$3:$BH159,1)))</f>
        <v/>
      </c>
      <c r="BJ9" s="1">
        <f t="shared" si="44"/>
        <v>10</v>
      </c>
      <c r="BK9">
        <v>7</v>
      </c>
      <c r="BL9" s="1" t="str">
        <f>IFERROR(IF($A9="","",VLOOKUP(BK9,$BI$3:BK$153,2,FALSE)),"")</f>
        <v/>
      </c>
      <c r="BM9" s="1">
        <f t="shared" si="45"/>
        <v>0.62250000000000094</v>
      </c>
      <c r="BN9" s="1">
        <f>IF(A9="","",IF(BM9="","",RANK(BM9,$BM$3:$BM159,1)))</f>
        <v>32</v>
      </c>
      <c r="BO9" s="1">
        <f t="shared" si="46"/>
        <v>10</v>
      </c>
      <c r="BP9">
        <v>7</v>
      </c>
      <c r="BQ9" s="1">
        <f>IFERROR(IF($A9="","",VLOOKUP(BP9,$BN$3:BP$153,2,FALSE)),"")</f>
        <v>2</v>
      </c>
      <c r="BR9" s="1">
        <f t="shared" si="47"/>
        <v>10</v>
      </c>
      <c r="BS9" s="1" t="str">
        <f t="shared" si="48"/>
        <v>コンパウンダー　　　　　　　　　　　</v>
      </c>
      <c r="BT9" s="25">
        <v>7</v>
      </c>
      <c r="BU9" s="1" t="str">
        <f>IFERROR(IF($A9="","",VLOOKUP(BT9,$BR$3:BT$300,2,FALSE)),"")</f>
        <v>サヤカチャン　　　　　　　　　　　　</v>
      </c>
      <c r="BV9" s="4" t="str">
        <f t="shared" si="49"/>
        <v>未検出</v>
      </c>
      <c r="BW9" s="4">
        <f t="shared" si="50"/>
        <v>7</v>
      </c>
      <c r="BX9" s="4">
        <f t="array" ref="BX9">IFERROR(VALUE(INDEX(BW:BW,SMALL(IF($BW$3:$BW$20&lt;&gt;"",ROW($BW$3:$BW$20),999),ROW(A7)))&amp;""),"")</f>
        <v>7</v>
      </c>
      <c r="BY9" s="4">
        <f t="shared" si="51"/>
        <v>49</v>
      </c>
      <c r="BZ9" s="1" t="str">
        <f t="shared" si="0"/>
        <v/>
      </c>
      <c r="CA9" s="1">
        <f t="array" ref="CA9">IFERROR(VALUE(INDEX(BZ:BZ,SMALL(IF($BZ$3:$BZ$20&lt;&gt;"",ROW($BZ$3:$BZ$20),999),ROW(A7)))&amp;""),"")</f>
        <v>17</v>
      </c>
      <c r="CD9" s="1" t="str">
        <f t="shared" si="52"/>
        <v/>
      </c>
      <c r="CE9" s="1" t="str">
        <f>IF(A9="","",IF(CD9="","",RANK(CD9,$CD$3:$CD159,1)))</f>
        <v/>
      </c>
      <c r="CF9" s="1">
        <f t="shared" si="53"/>
        <v>10</v>
      </c>
      <c r="CG9">
        <v>7</v>
      </c>
      <c r="CH9" s="1" t="str">
        <f>IFERROR(IF($A9="","",VLOOKUP(CG9,$CE$3:CG$153,2,FALSE)),"")</f>
        <v/>
      </c>
      <c r="CI9" s="1" t="str">
        <f t="shared" si="54"/>
        <v/>
      </c>
      <c r="CJ9" s="1" t="str">
        <f>IF(A9="","",IF(CI9="","",RANK(CI9,$CI$3:$CI159,1)))</f>
        <v/>
      </c>
      <c r="CK9" s="1">
        <f t="shared" si="55"/>
        <v>10</v>
      </c>
      <c r="CL9">
        <v>7</v>
      </c>
      <c r="CM9" s="1" t="str">
        <f>IFERROR(IF($A9="","",VLOOKUP(CL9,$CJ$3:CL$153,2,FALSE)),"")</f>
        <v/>
      </c>
      <c r="CN9" s="1" t="str">
        <f t="shared" si="56"/>
        <v/>
      </c>
      <c r="CO9" s="1" t="str">
        <f>IF(A9="","",IF(CN9="","",RANK(CN9,$CN$3:$CN159,1)))</f>
        <v/>
      </c>
      <c r="CP9" s="1">
        <f t="shared" si="57"/>
        <v>10</v>
      </c>
      <c r="CQ9">
        <v>7</v>
      </c>
      <c r="CR9" s="1" t="str">
        <f>IFERROR(IF($A9="","",VLOOKUP(CQ9,$CO$3:CQ$153,2,FALSE)),"")</f>
        <v/>
      </c>
      <c r="CS9" s="1" t="str">
        <f t="shared" si="58"/>
        <v/>
      </c>
      <c r="CT9" s="1" t="str">
        <f>IF(A9="","",IF(CS9="","",RANK(CS9,$CS$3:$CS159,1)))</f>
        <v/>
      </c>
      <c r="CU9" s="1">
        <f t="shared" si="59"/>
        <v>10</v>
      </c>
      <c r="CV9">
        <v>7</v>
      </c>
      <c r="CW9" s="1" t="str">
        <f>IFERROR(IF($A9="","",VLOOKUP(CV9,$CT$3:CV$153,2,FALSE)),"")</f>
        <v/>
      </c>
      <c r="CX9" s="1" t="str">
        <f t="shared" si="60"/>
        <v/>
      </c>
      <c r="CY9" s="1" t="str">
        <f>IF(CX9="","",IF(A9="","",RANK(CX9,$CX$3:$CX159,1)))</f>
        <v/>
      </c>
      <c r="CZ9" s="1">
        <f t="shared" si="61"/>
        <v>10</v>
      </c>
      <c r="DA9">
        <v>7</v>
      </c>
      <c r="DB9" s="1" t="str">
        <f>IFERROR(IF($A9="","",VLOOKUP(DA9,$CY$3:DA$153,2,FALSE)),"")</f>
        <v/>
      </c>
      <c r="DC9" s="1" t="str">
        <f t="shared" si="62"/>
        <v/>
      </c>
      <c r="DD9" s="1" t="str">
        <f>IF(DC9="","",IF(A9="","",RANK(DC9,$DC$3:$DC159,1)))</f>
        <v/>
      </c>
      <c r="DE9" s="1">
        <f t="shared" si="63"/>
        <v>10</v>
      </c>
      <c r="DF9">
        <v>7</v>
      </c>
      <c r="DG9" s="1" t="str">
        <f>IFERROR(IF($A9="","",VLOOKUP(DF9,$DD$3:DF$153,2,FALSE)),"")</f>
        <v/>
      </c>
      <c r="DH9" s="1" t="str">
        <f t="shared" si="64"/>
        <v/>
      </c>
      <c r="DI9" s="1" t="str">
        <f>IF(DH9="","",IF(A9="","",RANK(DH9,$DH$3:$DH159,1)))</f>
        <v/>
      </c>
      <c r="DJ9" s="1">
        <f t="shared" si="65"/>
        <v>10</v>
      </c>
      <c r="DK9">
        <v>7</v>
      </c>
      <c r="DL9" s="1" t="str">
        <f>IFERROR(IF($A9="","",VLOOKUP(DK9,$DI$3:DK$153,2,FALSE)),"")</f>
        <v/>
      </c>
      <c r="DM9" s="1" t="str">
        <f t="shared" si="66"/>
        <v/>
      </c>
      <c r="DN9" s="1" t="str">
        <f>IF(DM9="","",IF(A9="","",RANK(DM9,$DM$3:$DM159,1)))</f>
        <v/>
      </c>
      <c r="DO9" s="1">
        <f t="shared" si="67"/>
        <v>10</v>
      </c>
      <c r="DP9">
        <v>7</v>
      </c>
      <c r="DQ9" s="1" t="str">
        <f>IFERROR(IF($A9="","",VLOOKUP(DP9,$DN$3:DP$153,2,FALSE)),"")</f>
        <v/>
      </c>
      <c r="DR9" s="1">
        <f t="shared" si="68"/>
        <v>14.30007</v>
      </c>
      <c r="DS9" s="1">
        <f>IF(DR9="","",IF(A9="","",RANK(DR9,$DR$3:$DR159,1)))</f>
        <v>14</v>
      </c>
      <c r="DT9" s="1">
        <f t="shared" si="69"/>
        <v>10</v>
      </c>
      <c r="DU9">
        <v>7</v>
      </c>
      <c r="DV9" s="1">
        <f>IFERROR(IF($A9="","",VLOOKUP(DU9,$DS$3:DU$153,2,FALSE)),"")</f>
        <v>8</v>
      </c>
      <c r="DW9" s="1">
        <f t="shared" si="70"/>
        <v>13.400069999999999</v>
      </c>
      <c r="DX9" s="1">
        <f>IF(DW9="","",IF(A9="","",RANK(DW9,$DW$3:$DW159,1)))</f>
        <v>30</v>
      </c>
      <c r="DY9" s="1">
        <f t="shared" si="71"/>
        <v>10</v>
      </c>
      <c r="DZ9">
        <v>7</v>
      </c>
      <c r="EA9" s="1">
        <f>IFERROR(IF($A9="","",VLOOKUP(DZ9,$DX$3:DZ$153,2,FALSE)),"")</f>
        <v>4</v>
      </c>
      <c r="EB9" s="1">
        <f t="shared" si="72"/>
        <v>12.700069999999998</v>
      </c>
      <c r="EC9" s="1">
        <f>IF(EB9="","",IF(A9="","",RANK(EB9,$EB$3:$EB159,1)))</f>
        <v>63</v>
      </c>
      <c r="ED9" s="1">
        <f t="shared" si="73"/>
        <v>10</v>
      </c>
      <c r="EE9">
        <v>7</v>
      </c>
      <c r="EF9" s="1">
        <f>IFERROR(IF($A9="","",VLOOKUP(EE9,$EC$3:EE$153,2,FALSE)),"")</f>
        <v>7</v>
      </c>
      <c r="EG9" s="1">
        <f t="shared" si="74"/>
        <v>12.200069999999998</v>
      </c>
      <c r="EH9" s="1">
        <f>IF(EG9="","",IF(A9="","",RANK(EG9,$EG$3:$EG159,1)))</f>
        <v>7</v>
      </c>
      <c r="EI9" s="1">
        <f t="shared" si="75"/>
        <v>10</v>
      </c>
      <c r="EJ9">
        <v>7</v>
      </c>
      <c r="EK9" s="1">
        <f>IFERROR(IF($A9="","",VLOOKUP(EJ9,$EH$3:EJ$153,2,FALSE)),"")</f>
        <v>10</v>
      </c>
      <c r="EU9" s="13">
        <v>7</v>
      </c>
      <c r="EV9" s="1" t="str">
        <f t="shared" si="1"/>
        <v>サヤカチャン　　　　　　　　　　　　</v>
      </c>
      <c r="EW9" s="4" t="str">
        <f t="shared" si="1"/>
        <v>未検出</v>
      </c>
      <c r="EX9" s="4">
        <f t="shared" si="2"/>
        <v>7</v>
      </c>
      <c r="EY9" s="4">
        <f t="shared" si="2"/>
        <v>49</v>
      </c>
      <c r="EZ9" s="4">
        <f t="shared" si="3"/>
        <v>17</v>
      </c>
      <c r="FA9" s="1">
        <f t="shared" si="4"/>
        <v>1</v>
      </c>
      <c r="FB9" s="1" t="str">
        <f t="shared" si="5"/>
        <v/>
      </c>
      <c r="FC9" s="1" t="str">
        <f t="shared" si="6"/>
        <v/>
      </c>
      <c r="FD9" s="1" t="str">
        <f t="shared" si="7"/>
        <v/>
      </c>
      <c r="FE9" s="1" t="str">
        <f t="shared" si="8"/>
        <v/>
      </c>
      <c r="FF9" s="1" t="str">
        <f t="shared" si="9"/>
        <v/>
      </c>
      <c r="FG9" s="1" t="str">
        <f t="shared" si="10"/>
        <v/>
      </c>
      <c r="FH9" s="1" t="str">
        <f t="shared" si="11"/>
        <v/>
      </c>
      <c r="FI9" s="1" t="str">
        <f t="shared" si="12"/>
        <v/>
      </c>
    </row>
    <row r="10" spans="1:183" ht="18.75">
      <c r="A10" s="1" t="s">
        <v>88</v>
      </c>
      <c r="B10" s="1">
        <v>20190224</v>
      </c>
      <c r="C10" s="1" t="s">
        <v>96</v>
      </c>
      <c r="D10" s="1">
        <v>7</v>
      </c>
      <c r="E10" s="30">
        <v>61.6</v>
      </c>
      <c r="F10" s="30">
        <v>42.4</v>
      </c>
      <c r="G10" s="30">
        <v>25</v>
      </c>
      <c r="H10" s="30">
        <v>12.2</v>
      </c>
      <c r="I10" s="30">
        <v>19.2</v>
      </c>
      <c r="J10" s="30">
        <v>17.399999999999999</v>
      </c>
      <c r="K10" s="30">
        <v>12.8</v>
      </c>
      <c r="L10" s="30">
        <v>12.2</v>
      </c>
      <c r="M10" s="1" t="str">
        <f t="shared" si="13"/>
        <v>2019/02/24</v>
      </c>
      <c r="N10" s="4" t="str">
        <f t="shared" si="14"/>
        <v/>
      </c>
      <c r="O10">
        <v>8.0000000000000007E-5</v>
      </c>
      <c r="P10" s="1" t="str">
        <f t="shared" si="15"/>
        <v/>
      </c>
      <c r="Q10" s="1" t="str">
        <f t="shared" si="16"/>
        <v/>
      </c>
      <c r="R10" s="1">
        <f t="shared" si="17"/>
        <v>7</v>
      </c>
      <c r="S10">
        <v>9</v>
      </c>
      <c r="T10" s="1" t="str">
        <f>IFERROR(IF($A10="","",VLOOKUP(S10,$Q$3:S$153,2,FALSE)),"")</f>
        <v/>
      </c>
      <c r="U10" s="1">
        <f t="shared" si="18"/>
        <v>61.600079999999998</v>
      </c>
      <c r="V10" s="1">
        <f t="shared" si="19"/>
        <v>134</v>
      </c>
      <c r="W10" s="1">
        <f t="shared" si="20"/>
        <v>7</v>
      </c>
      <c r="X10">
        <v>9</v>
      </c>
      <c r="Y10" s="1">
        <f>IFERROR(IF($A10="","",VLOOKUP(X10,$V$3:X$153,2,FALSE)),"")</f>
        <v>7</v>
      </c>
      <c r="Z10" s="1" t="str">
        <f t="shared" si="21"/>
        <v/>
      </c>
      <c r="AA10" s="1" t="str">
        <f t="shared" si="22"/>
        <v/>
      </c>
      <c r="AB10" s="1">
        <f t="shared" si="23"/>
        <v>7</v>
      </c>
      <c r="AC10">
        <v>9</v>
      </c>
      <c r="AD10" s="1" t="str">
        <f>IFERROR(IF($A10="","",VLOOKUP(AC10,$AA$3:AC$153,2,FALSE)),"")</f>
        <v/>
      </c>
      <c r="AE10" s="1">
        <f t="shared" si="24"/>
        <v>42.400079999999996</v>
      </c>
      <c r="AF10" s="1">
        <f t="shared" si="25"/>
        <v>120</v>
      </c>
      <c r="AG10" s="1">
        <f t="shared" si="26"/>
        <v>7</v>
      </c>
      <c r="AH10">
        <v>9</v>
      </c>
      <c r="AI10" s="1">
        <f>IFERROR(IF($A10="","",VLOOKUP(AH10,$AF$3:AH$153,2,FALSE)),"")</f>
        <v>1</v>
      </c>
      <c r="AJ10" s="1" t="str">
        <f t="shared" si="27"/>
        <v/>
      </c>
      <c r="AK10" s="1" t="str">
        <f t="shared" si="28"/>
        <v/>
      </c>
      <c r="AL10" s="1">
        <f t="shared" si="29"/>
        <v>7</v>
      </c>
      <c r="AM10">
        <v>9</v>
      </c>
      <c r="AN10" s="1" t="str">
        <f>IFERROR(IF($A10="","",VLOOKUP(AM10,$AK$3:AM$153,2,FALSE)),"")</f>
        <v/>
      </c>
      <c r="AO10" s="1">
        <f t="shared" si="30"/>
        <v>25.000080000000001</v>
      </c>
      <c r="AP10" s="1">
        <f t="shared" si="31"/>
        <v>42</v>
      </c>
      <c r="AQ10" s="1">
        <f t="shared" si="32"/>
        <v>7</v>
      </c>
      <c r="AR10">
        <v>9</v>
      </c>
      <c r="AS10" s="1">
        <f>IFERROR(IF($A10="","",VLOOKUP(AR10,$AP$3:AR$153,2,FALSE)),"")</f>
        <v>7</v>
      </c>
      <c r="AT10" s="1">
        <f t="shared" si="33"/>
        <v>1.8000000000000007</v>
      </c>
      <c r="AU10" s="1">
        <f t="shared" si="34"/>
        <v>4.5999999999999979</v>
      </c>
      <c r="AV10" s="1">
        <f t="shared" si="35"/>
        <v>0.60000000000000142</v>
      </c>
      <c r="AW10" s="1">
        <f t="shared" si="36"/>
        <v>7</v>
      </c>
      <c r="AX10" s="1">
        <f t="shared" si="37"/>
        <v>2.3334133333333336</v>
      </c>
      <c r="AY10" s="1">
        <f t="shared" si="38"/>
        <v>2</v>
      </c>
      <c r="AZ10" s="1">
        <f t="shared" si="39"/>
        <v>7</v>
      </c>
      <c r="BA10">
        <v>9</v>
      </c>
      <c r="BB10" s="1">
        <f>IFERROR(IF($A10="","",VLOOKUP(BA10,$AY$3:BA$153,2,FALSE)),"")</f>
        <v>5</v>
      </c>
      <c r="BC10" s="1">
        <f t="shared" si="40"/>
        <v>6.4000799999999982</v>
      </c>
      <c r="BD10" s="1">
        <f t="shared" si="41"/>
        <v>2</v>
      </c>
      <c r="BE10" s="1">
        <f t="shared" si="42"/>
        <v>7</v>
      </c>
      <c r="BF10">
        <v>9</v>
      </c>
      <c r="BG10" s="1">
        <f>IFERROR(IF($A10="","",VLOOKUP(BF10,$BD$3:BF$153,2,FALSE)),"")</f>
        <v>9</v>
      </c>
      <c r="BH10" s="1" t="str">
        <f t="shared" si="43"/>
        <v/>
      </c>
      <c r="BI10" s="1" t="str">
        <f>IF(A10="","",IF(BH10="","",RANK(BH10,$BH$3:$BH160,1)))</f>
        <v/>
      </c>
      <c r="BJ10" s="1">
        <f t="shared" si="44"/>
        <v>7</v>
      </c>
      <c r="BK10">
        <v>9</v>
      </c>
      <c r="BL10" s="1" t="str">
        <f>IFERROR(IF($A10="","",VLOOKUP(BK10,$BI$3:BK$153,2,FALSE)),"")</f>
        <v/>
      </c>
      <c r="BM10" s="1">
        <f t="shared" si="45"/>
        <v>8.8600000000000136</v>
      </c>
      <c r="BN10" s="1">
        <f>IF(A10="","",IF(BM10="","",RANK(BM10,$BM$3:$BM160,1)))</f>
        <v>150</v>
      </c>
      <c r="BO10" s="1">
        <f t="shared" si="46"/>
        <v>7</v>
      </c>
      <c r="BP10">
        <v>9</v>
      </c>
      <c r="BQ10" s="1">
        <f>IFERROR(IF($A10="","",VLOOKUP(BP10,$BN$3:BP$153,2,FALSE)),"")</f>
        <v>8</v>
      </c>
      <c r="BR10" s="1">
        <f t="shared" si="47"/>
        <v>7</v>
      </c>
      <c r="BS10" s="1" t="str">
        <f t="shared" si="48"/>
        <v>サヤカチャン　　　　　　　　　　　　</v>
      </c>
      <c r="BT10" s="25">
        <v>8</v>
      </c>
      <c r="BU10" s="1" t="str">
        <f>IFERROR(IF($A10="","",VLOOKUP(BT10,$BR$3:BT$300,2,FALSE)),"")</f>
        <v>タマモメイトウ　　　　　　　　　　　</v>
      </c>
      <c r="BV10" s="4" t="str">
        <f t="shared" si="49"/>
        <v>未検出</v>
      </c>
      <c r="BW10" s="4">
        <f t="shared" si="50"/>
        <v>8</v>
      </c>
      <c r="BX10" s="4">
        <f t="array" ref="BX10">IFERROR(VALUE(INDEX(BW:BW,SMALL(IF($BW$3:$BW$20&lt;&gt;"",ROW($BW$3:$BW$20),999),ROW(A8)))&amp;""),"")</f>
        <v>8</v>
      </c>
      <c r="BY10" s="4">
        <f t="shared" si="51"/>
        <v>39</v>
      </c>
      <c r="BZ10" s="1" t="str">
        <f t="shared" si="0"/>
        <v/>
      </c>
      <c r="CA10" s="1">
        <f t="array" ref="CA10">IFERROR(VALUE(INDEX(BZ:BZ,SMALL(IF($BZ$3:$BZ$20&lt;&gt;"",ROW($BZ$3:$BZ$20),999),ROW(A8)))&amp;""),"")</f>
        <v>18</v>
      </c>
      <c r="CD10" s="1" t="str">
        <f t="shared" si="52"/>
        <v/>
      </c>
      <c r="CE10" s="1" t="str">
        <f>IF(A10="","",IF(CD10="","",RANK(CD10,$CD$3:$CD160,1)))</f>
        <v/>
      </c>
      <c r="CF10" s="1">
        <f t="shared" si="53"/>
        <v>7</v>
      </c>
      <c r="CG10">
        <v>9</v>
      </c>
      <c r="CH10" s="1" t="str">
        <f>IFERROR(IF($A10="","",VLOOKUP(CG10,$CE$3:CG$153,2,FALSE)),"")</f>
        <v/>
      </c>
      <c r="CI10" s="1" t="str">
        <f t="shared" si="54"/>
        <v/>
      </c>
      <c r="CJ10" s="1" t="str">
        <f>IF(A10="","",IF(CI10="","",RANK(CI10,$CI$3:$CI160,1)))</f>
        <v/>
      </c>
      <c r="CK10" s="1">
        <f t="shared" si="55"/>
        <v>7</v>
      </c>
      <c r="CL10">
        <v>9</v>
      </c>
      <c r="CM10" s="1" t="str">
        <f>IFERROR(IF($A10="","",VLOOKUP(CL10,$CJ$3:CL$153,2,FALSE)),"")</f>
        <v/>
      </c>
      <c r="CN10" s="1" t="str">
        <f t="shared" si="56"/>
        <v/>
      </c>
      <c r="CO10" s="1" t="str">
        <f>IF(A10="","",IF(CN10="","",RANK(CN10,$CN$3:$CN160,1)))</f>
        <v/>
      </c>
      <c r="CP10" s="1">
        <f t="shared" si="57"/>
        <v>7</v>
      </c>
      <c r="CQ10">
        <v>9</v>
      </c>
      <c r="CR10" s="1" t="str">
        <f>IFERROR(IF($A10="","",VLOOKUP(CQ10,$CO$3:CQ$153,2,FALSE)),"")</f>
        <v/>
      </c>
      <c r="CS10" s="1" t="str">
        <f t="shared" si="58"/>
        <v/>
      </c>
      <c r="CT10" s="1" t="str">
        <f>IF(A10="","",IF(CS10="","",RANK(CS10,$CS$3:$CS160,1)))</f>
        <v/>
      </c>
      <c r="CU10" s="1">
        <f t="shared" si="59"/>
        <v>7</v>
      </c>
      <c r="CV10">
        <v>9</v>
      </c>
      <c r="CW10" s="1" t="str">
        <f>IFERROR(IF($A10="","",VLOOKUP(CV10,$CT$3:CV$153,2,FALSE)),"")</f>
        <v/>
      </c>
      <c r="CX10" s="1" t="str">
        <f t="shared" si="60"/>
        <v/>
      </c>
      <c r="CY10" s="1" t="str">
        <f>IF(CX10="","",IF(A10="","",RANK(CX10,$CX$3:$CX160,1)))</f>
        <v/>
      </c>
      <c r="CZ10" s="1">
        <f t="shared" si="61"/>
        <v>7</v>
      </c>
      <c r="DA10">
        <v>9</v>
      </c>
      <c r="DB10" s="1" t="str">
        <f>IFERROR(IF($A10="","",VLOOKUP(DA10,$CY$3:DA$153,2,FALSE)),"")</f>
        <v/>
      </c>
      <c r="DC10" s="1" t="str">
        <f t="shared" si="62"/>
        <v/>
      </c>
      <c r="DD10" s="1" t="str">
        <f>IF(DC10="","",IF(A10="","",RANK(DC10,$DC$3:$DC160,1)))</f>
        <v/>
      </c>
      <c r="DE10" s="1">
        <f t="shared" si="63"/>
        <v>7</v>
      </c>
      <c r="DF10">
        <v>9</v>
      </c>
      <c r="DG10" s="1" t="str">
        <f>IFERROR(IF($A10="","",VLOOKUP(DF10,$DD$3:DF$153,2,FALSE)),"")</f>
        <v/>
      </c>
      <c r="DH10" s="1" t="str">
        <f t="shared" si="64"/>
        <v/>
      </c>
      <c r="DI10" s="1" t="str">
        <f>IF(DH10="","",IF(A10="","",RANK(DH10,$DH$3:$DH160,1)))</f>
        <v/>
      </c>
      <c r="DJ10" s="1">
        <f t="shared" si="65"/>
        <v>7</v>
      </c>
      <c r="DK10">
        <v>9</v>
      </c>
      <c r="DL10" s="1" t="str">
        <f>IFERROR(IF($A10="","",VLOOKUP(DK10,$DI$3:DK$153,2,FALSE)),"")</f>
        <v/>
      </c>
      <c r="DM10" s="1" t="str">
        <f t="shared" si="66"/>
        <v/>
      </c>
      <c r="DN10" s="1" t="str">
        <f>IF(DM10="","",IF(A10="","",RANK(DM10,$DM$3:$DM160,1)))</f>
        <v/>
      </c>
      <c r="DO10" s="1">
        <f t="shared" si="67"/>
        <v>7</v>
      </c>
      <c r="DP10">
        <v>9</v>
      </c>
      <c r="DQ10" s="1" t="str">
        <f>IFERROR(IF($A10="","",VLOOKUP(DP10,$DN$3:DP$153,2,FALSE)),"")</f>
        <v/>
      </c>
      <c r="DR10" s="1">
        <f t="shared" si="68"/>
        <v>19.20008</v>
      </c>
      <c r="DS10" s="1">
        <f>IF(DR10="","",IF(A10="","",RANK(DR10,$DR$3:$DR160,1)))</f>
        <v>149</v>
      </c>
      <c r="DT10" s="1">
        <f t="shared" si="69"/>
        <v>7</v>
      </c>
      <c r="DU10">
        <v>9</v>
      </c>
      <c r="DV10" s="1">
        <f>IFERROR(IF($A10="","",VLOOKUP(DU10,$DS$3:DU$153,2,FALSE)),"")</f>
        <v>6</v>
      </c>
      <c r="DW10" s="1">
        <f t="shared" si="70"/>
        <v>17.400079999999999</v>
      </c>
      <c r="DX10" s="1">
        <f>IF(DW10="","",IF(A10="","",RANK(DW10,$DW$3:$DW160,1)))</f>
        <v>150</v>
      </c>
      <c r="DY10" s="1">
        <f t="shared" si="71"/>
        <v>7</v>
      </c>
      <c r="DZ10">
        <v>9</v>
      </c>
      <c r="EA10" s="1">
        <f>IFERROR(IF($A10="","",VLOOKUP(DZ10,$DX$3:DZ$153,2,FALSE)),"")</f>
        <v>7</v>
      </c>
      <c r="EB10" s="1">
        <f t="shared" si="72"/>
        <v>12.800080000000001</v>
      </c>
      <c r="EC10" s="1">
        <f>IF(EB10="","",IF(A10="","",RANK(EB10,$EB$3:$EB160,1)))</f>
        <v>72</v>
      </c>
      <c r="ED10" s="1">
        <f t="shared" si="73"/>
        <v>7</v>
      </c>
      <c r="EE10">
        <v>9</v>
      </c>
      <c r="EF10" s="1">
        <f>IFERROR(IF($A10="","",VLOOKUP(EE10,$EC$3:EE$153,2,FALSE)),"")</f>
        <v>4</v>
      </c>
      <c r="EG10" s="1">
        <f t="shared" si="74"/>
        <v>12.20008</v>
      </c>
      <c r="EH10" s="1">
        <f>IF(EG10="","",IF(A10="","",RANK(EG10,$EG$3:$EG160,1)))</f>
        <v>8</v>
      </c>
      <c r="EI10" s="1">
        <f t="shared" si="75"/>
        <v>7</v>
      </c>
      <c r="EJ10">
        <v>9</v>
      </c>
      <c r="EK10" s="1">
        <f>IFERROR(IF($A10="","",VLOOKUP(EJ10,$EH$3:EJ$153,2,FALSE)),"")</f>
        <v>7</v>
      </c>
      <c r="EU10" s="13">
        <v>8</v>
      </c>
      <c r="EV10" s="1" t="str">
        <f t="shared" si="1"/>
        <v>タマモメイトウ　　　　　　　　　　　</v>
      </c>
      <c r="EW10" s="4" t="str">
        <f t="shared" si="1"/>
        <v>未検出</v>
      </c>
      <c r="EX10" s="4">
        <f t="shared" si="2"/>
        <v>8</v>
      </c>
      <c r="EY10" s="4">
        <f t="shared" si="2"/>
        <v>39</v>
      </c>
      <c r="EZ10" s="4">
        <f t="shared" si="3"/>
        <v>18</v>
      </c>
      <c r="FA10" s="1">
        <f t="shared" si="4"/>
        <v>9</v>
      </c>
      <c r="FB10" s="1" t="str">
        <f t="shared" si="5"/>
        <v/>
      </c>
      <c r="FC10" s="1" t="str">
        <f t="shared" si="6"/>
        <v/>
      </c>
      <c r="FD10" s="1" t="str">
        <f t="shared" si="7"/>
        <v/>
      </c>
      <c r="FE10" s="1" t="str">
        <f t="shared" si="8"/>
        <v/>
      </c>
      <c r="FF10" s="1" t="str">
        <f t="shared" si="9"/>
        <v/>
      </c>
      <c r="FG10" s="1" t="str">
        <f t="shared" si="10"/>
        <v/>
      </c>
      <c r="FH10" s="1" t="str">
        <f t="shared" si="11"/>
        <v/>
      </c>
      <c r="FI10" s="1" t="str">
        <f t="shared" si="12"/>
        <v/>
      </c>
    </row>
    <row r="11" spans="1:183" ht="18.75">
      <c r="A11" s="1" t="s">
        <v>88</v>
      </c>
      <c r="B11" s="1">
        <v>20190224</v>
      </c>
      <c r="C11" s="1" t="s">
        <v>96</v>
      </c>
      <c r="D11" s="1">
        <v>7</v>
      </c>
      <c r="E11" s="30">
        <v>61.6</v>
      </c>
      <c r="F11" s="30">
        <v>42.4</v>
      </c>
      <c r="G11" s="30">
        <v>25</v>
      </c>
      <c r="H11" s="30">
        <v>12.2</v>
      </c>
      <c r="I11" s="30">
        <v>19.2</v>
      </c>
      <c r="J11" s="30">
        <v>17.399999999999999</v>
      </c>
      <c r="K11" s="30">
        <v>12.8</v>
      </c>
      <c r="L11" s="30">
        <v>12.2</v>
      </c>
      <c r="M11" s="1" t="str">
        <f t="shared" si="13"/>
        <v>2019/02/24</v>
      </c>
      <c r="N11" s="4" t="str">
        <f t="shared" si="14"/>
        <v/>
      </c>
      <c r="O11">
        <v>9.0000000000000006E-5</v>
      </c>
      <c r="P11" s="1" t="str">
        <f t="shared" si="15"/>
        <v/>
      </c>
      <c r="Q11" s="1" t="str">
        <f t="shared" si="16"/>
        <v/>
      </c>
      <c r="R11" s="1">
        <f t="shared" si="17"/>
        <v>7</v>
      </c>
      <c r="S11">
        <v>9</v>
      </c>
      <c r="T11" s="1" t="str">
        <f>IFERROR(IF($A11="","",VLOOKUP(S11,$Q$3:S$153,2,FALSE)),"")</f>
        <v/>
      </c>
      <c r="U11" s="1">
        <f t="shared" si="18"/>
        <v>61.600090000000002</v>
      </c>
      <c r="V11" s="1">
        <f t="shared" si="19"/>
        <v>135</v>
      </c>
      <c r="W11" s="1">
        <f t="shared" si="20"/>
        <v>7</v>
      </c>
      <c r="X11">
        <v>9</v>
      </c>
      <c r="Y11" s="1">
        <f>IFERROR(IF($A11="","",VLOOKUP(X11,$V$3:X$153,2,FALSE)),"")</f>
        <v>7</v>
      </c>
      <c r="Z11" s="1" t="str">
        <f t="shared" si="21"/>
        <v/>
      </c>
      <c r="AA11" s="1" t="str">
        <f t="shared" si="22"/>
        <v/>
      </c>
      <c r="AB11" s="1">
        <f t="shared" si="23"/>
        <v>7</v>
      </c>
      <c r="AC11">
        <v>9</v>
      </c>
      <c r="AD11" s="1" t="str">
        <f>IFERROR(IF($A11="","",VLOOKUP(AC11,$AA$3:AC$153,2,FALSE)),"")</f>
        <v/>
      </c>
      <c r="AE11" s="1">
        <f t="shared" si="24"/>
        <v>42.400089999999999</v>
      </c>
      <c r="AF11" s="1">
        <f t="shared" si="25"/>
        <v>121</v>
      </c>
      <c r="AG11" s="1">
        <f t="shared" si="26"/>
        <v>7</v>
      </c>
      <c r="AH11">
        <v>9</v>
      </c>
      <c r="AI11" s="1">
        <f>IFERROR(IF($A11="","",VLOOKUP(AH11,$AF$3:AH$153,2,FALSE)),"")</f>
        <v>1</v>
      </c>
      <c r="AJ11" s="1" t="str">
        <f t="shared" si="27"/>
        <v/>
      </c>
      <c r="AK11" s="1" t="str">
        <f t="shared" si="28"/>
        <v/>
      </c>
      <c r="AL11" s="1">
        <f t="shared" si="29"/>
        <v>7</v>
      </c>
      <c r="AM11">
        <v>9</v>
      </c>
      <c r="AN11" s="1" t="str">
        <f>IFERROR(IF($A11="","",VLOOKUP(AM11,$AK$3:AM$153,2,FALSE)),"")</f>
        <v/>
      </c>
      <c r="AO11" s="1">
        <f t="shared" si="30"/>
        <v>25.00009</v>
      </c>
      <c r="AP11" s="1">
        <f t="shared" si="31"/>
        <v>43</v>
      </c>
      <c r="AQ11" s="1">
        <f t="shared" si="32"/>
        <v>7</v>
      </c>
      <c r="AR11">
        <v>9</v>
      </c>
      <c r="AS11" s="1">
        <f>IFERROR(IF($A11="","",VLOOKUP(AR11,$AP$3:AR$153,2,FALSE)),"")</f>
        <v>7</v>
      </c>
      <c r="AT11" s="1">
        <f t="shared" si="33"/>
        <v>1.8000000000000007</v>
      </c>
      <c r="AU11" s="1">
        <f t="shared" si="34"/>
        <v>4.5999999999999979</v>
      </c>
      <c r="AV11" s="1">
        <f t="shared" si="35"/>
        <v>0.60000000000000142</v>
      </c>
      <c r="AW11" s="1">
        <f t="shared" si="36"/>
        <v>7</v>
      </c>
      <c r="AX11" s="1">
        <f t="shared" si="37"/>
        <v>2.3334233333333336</v>
      </c>
      <c r="AY11" s="1">
        <f t="shared" si="38"/>
        <v>1</v>
      </c>
      <c r="AZ11" s="1">
        <f t="shared" si="39"/>
        <v>7</v>
      </c>
      <c r="BA11">
        <v>9</v>
      </c>
      <c r="BB11" s="1">
        <f>IFERROR(IF($A11="","",VLOOKUP(BA11,$AY$3:BA$153,2,FALSE)),"")</f>
        <v>5</v>
      </c>
      <c r="BC11" s="1">
        <f t="shared" si="40"/>
        <v>6.4000899999999987</v>
      </c>
      <c r="BD11" s="1">
        <f t="shared" si="41"/>
        <v>1</v>
      </c>
      <c r="BE11" s="1">
        <f t="shared" si="42"/>
        <v>7</v>
      </c>
      <c r="BF11">
        <v>9</v>
      </c>
      <c r="BG11" s="1">
        <f>IFERROR(IF($A11="","",VLOOKUP(BF11,$BD$3:BF$153,2,FALSE)),"")</f>
        <v>9</v>
      </c>
      <c r="BH11" s="1" t="str">
        <f t="shared" si="43"/>
        <v/>
      </c>
      <c r="BI11" s="1" t="str">
        <f>IF(A11="","",IF(BH11="","",RANK(BH11,$BH$3:$BH161,1)))</f>
        <v/>
      </c>
      <c r="BJ11" s="1">
        <f t="shared" si="44"/>
        <v>7</v>
      </c>
      <c r="BK11">
        <v>9</v>
      </c>
      <c r="BL11" s="1" t="str">
        <f>IFERROR(IF($A11="","",VLOOKUP(BK11,$BI$3:BK$153,2,FALSE)),"")</f>
        <v/>
      </c>
      <c r="BM11" s="1">
        <f t="shared" si="45"/>
        <v>8.8600000000000136</v>
      </c>
      <c r="BN11" s="1">
        <f>IF(A11="","",IF(BM11="","",RANK(BM11,$BM$3:$BM161,1)))</f>
        <v>150</v>
      </c>
      <c r="BO11" s="1">
        <f t="shared" si="46"/>
        <v>7</v>
      </c>
      <c r="BP11">
        <v>9</v>
      </c>
      <c r="BQ11" s="1">
        <f>IFERROR(IF($A11="","",VLOOKUP(BP11,$BN$3:BP$153,2,FALSE)),"")</f>
        <v>8</v>
      </c>
      <c r="BR11" s="1">
        <f t="shared" si="47"/>
        <v>7</v>
      </c>
      <c r="BS11" s="1" t="str">
        <f t="shared" si="48"/>
        <v>サヤカチャン　　　　　　　　　　　　</v>
      </c>
      <c r="BT11" s="25">
        <v>9</v>
      </c>
      <c r="BU11" s="1" t="str">
        <f>IFERROR(IF($A11="","",VLOOKUP(BT11,$BR$3:BT$300,2,FALSE)),"")</f>
        <v>メイショウイサナ　　　　　　　　　　</v>
      </c>
      <c r="BV11" s="4" t="str">
        <f t="shared" si="49"/>
        <v>未検出</v>
      </c>
      <c r="BW11" s="4">
        <f t="shared" si="50"/>
        <v>9</v>
      </c>
      <c r="BX11" s="4">
        <f t="array" ref="BX11">IFERROR(VALUE(INDEX(BW:BW,SMALL(IF($BW$3:$BW$20&lt;&gt;"",ROW($BW$3:$BW$20),999),ROW(A9)))&amp;""),"")</f>
        <v>9</v>
      </c>
      <c r="BY11" s="4">
        <f t="shared" si="51"/>
        <v>39</v>
      </c>
      <c r="BZ11" s="1" t="str">
        <f t="shared" si="0"/>
        <v/>
      </c>
      <c r="CA11" s="1" t="str">
        <f t="array" ref="CA11">IFERROR(VALUE(INDEX(BZ:BZ,SMALL(IF($BZ$3:$BZ$20&lt;&gt;"",ROW($BZ$3:$BZ$20),999),ROW(A9)))&amp;""),"")</f>
        <v/>
      </c>
      <c r="CD11" s="1" t="str">
        <f t="shared" si="52"/>
        <v/>
      </c>
      <c r="CE11" s="1" t="str">
        <f>IF(A11="","",IF(CD11="","",RANK(CD11,$CD$3:$CD161,1)))</f>
        <v/>
      </c>
      <c r="CF11" s="1">
        <f t="shared" si="53"/>
        <v>7</v>
      </c>
      <c r="CG11">
        <v>9</v>
      </c>
      <c r="CH11" s="1" t="str">
        <f>IFERROR(IF($A11="","",VLOOKUP(CG11,$CE$3:CG$153,2,FALSE)),"")</f>
        <v/>
      </c>
      <c r="CI11" s="1" t="str">
        <f t="shared" si="54"/>
        <v/>
      </c>
      <c r="CJ11" s="1" t="str">
        <f>IF(A11="","",IF(CI11="","",RANK(CI11,$CI$3:$CI161,1)))</f>
        <v/>
      </c>
      <c r="CK11" s="1">
        <f t="shared" si="55"/>
        <v>7</v>
      </c>
      <c r="CL11">
        <v>9</v>
      </c>
      <c r="CM11" s="1" t="str">
        <f>IFERROR(IF($A11="","",VLOOKUP(CL11,$CJ$3:CL$153,2,FALSE)),"")</f>
        <v/>
      </c>
      <c r="CN11" s="1" t="str">
        <f t="shared" si="56"/>
        <v/>
      </c>
      <c r="CO11" s="1" t="str">
        <f>IF(A11="","",IF(CN11="","",RANK(CN11,$CN$3:$CN161,1)))</f>
        <v/>
      </c>
      <c r="CP11" s="1">
        <f t="shared" si="57"/>
        <v>7</v>
      </c>
      <c r="CQ11">
        <v>9</v>
      </c>
      <c r="CR11" s="1" t="str">
        <f>IFERROR(IF($A11="","",VLOOKUP(CQ11,$CO$3:CQ$153,2,FALSE)),"")</f>
        <v/>
      </c>
      <c r="CS11" s="1" t="str">
        <f t="shared" si="58"/>
        <v/>
      </c>
      <c r="CT11" s="1" t="str">
        <f>IF(A11="","",IF(CS11="","",RANK(CS11,$CS$3:$CS161,1)))</f>
        <v/>
      </c>
      <c r="CU11" s="1">
        <f t="shared" si="59"/>
        <v>7</v>
      </c>
      <c r="CV11">
        <v>9</v>
      </c>
      <c r="CW11" s="1" t="str">
        <f>IFERROR(IF($A11="","",VLOOKUP(CV11,$CT$3:CV$153,2,FALSE)),"")</f>
        <v/>
      </c>
      <c r="CX11" s="1" t="str">
        <f t="shared" si="60"/>
        <v/>
      </c>
      <c r="CY11" s="1" t="str">
        <f>IF(CX11="","",IF(A11="","",RANK(CX11,$CX$3:$CX161,1)))</f>
        <v/>
      </c>
      <c r="CZ11" s="1">
        <f t="shared" si="61"/>
        <v>7</v>
      </c>
      <c r="DA11">
        <v>9</v>
      </c>
      <c r="DB11" s="1" t="str">
        <f>IFERROR(IF($A11="","",VLOOKUP(DA11,$CY$3:DA$153,2,FALSE)),"")</f>
        <v/>
      </c>
      <c r="DC11" s="1" t="str">
        <f t="shared" si="62"/>
        <v/>
      </c>
      <c r="DD11" s="1" t="str">
        <f>IF(DC11="","",IF(A11="","",RANK(DC11,$DC$3:$DC161,1)))</f>
        <v/>
      </c>
      <c r="DE11" s="1">
        <f t="shared" si="63"/>
        <v>7</v>
      </c>
      <c r="DF11">
        <v>9</v>
      </c>
      <c r="DG11" s="1" t="str">
        <f>IFERROR(IF($A11="","",VLOOKUP(DF11,$DD$3:DF$153,2,FALSE)),"")</f>
        <v/>
      </c>
      <c r="DH11" s="1" t="str">
        <f t="shared" si="64"/>
        <v/>
      </c>
      <c r="DI11" s="1" t="str">
        <f>IF(DH11="","",IF(A11="","",RANK(DH11,$DH$3:$DH161,1)))</f>
        <v/>
      </c>
      <c r="DJ11" s="1">
        <f t="shared" si="65"/>
        <v>7</v>
      </c>
      <c r="DK11">
        <v>9</v>
      </c>
      <c r="DL11" s="1" t="str">
        <f>IFERROR(IF($A11="","",VLOOKUP(DK11,$DI$3:DK$153,2,FALSE)),"")</f>
        <v/>
      </c>
      <c r="DM11" s="1" t="str">
        <f t="shared" si="66"/>
        <v/>
      </c>
      <c r="DN11" s="1" t="str">
        <f>IF(DM11="","",IF(A11="","",RANK(DM11,$DM$3:$DM161,1)))</f>
        <v/>
      </c>
      <c r="DO11" s="1">
        <f t="shared" si="67"/>
        <v>7</v>
      </c>
      <c r="DP11">
        <v>9</v>
      </c>
      <c r="DQ11" s="1" t="str">
        <f>IFERROR(IF($A11="","",VLOOKUP(DP11,$DN$3:DP$153,2,FALSE)),"")</f>
        <v/>
      </c>
      <c r="DR11" s="1">
        <f t="shared" si="68"/>
        <v>19.200089999999999</v>
      </c>
      <c r="DS11" s="1">
        <f>IF(DR11="","",IF(A11="","",RANK(DR11,$DR$3:$DR161,1)))</f>
        <v>150</v>
      </c>
      <c r="DT11" s="1">
        <f t="shared" si="69"/>
        <v>7</v>
      </c>
      <c r="DU11">
        <v>9</v>
      </c>
      <c r="DV11" s="1">
        <f>IFERROR(IF($A11="","",VLOOKUP(DU11,$DS$3:DU$153,2,FALSE)),"")</f>
        <v>6</v>
      </c>
      <c r="DW11" s="1">
        <f t="shared" si="70"/>
        <v>17.400089999999999</v>
      </c>
      <c r="DX11" s="1">
        <f>IF(DW11="","",IF(A11="","",RANK(DW11,$DW$3:$DW161,1)))</f>
        <v>151</v>
      </c>
      <c r="DY11" s="1">
        <f t="shared" si="71"/>
        <v>7</v>
      </c>
      <c r="DZ11">
        <v>9</v>
      </c>
      <c r="EA11" s="1">
        <f>IFERROR(IF($A11="","",VLOOKUP(DZ11,$DX$3:DZ$153,2,FALSE)),"")</f>
        <v>7</v>
      </c>
      <c r="EB11" s="1">
        <f t="shared" si="72"/>
        <v>12.800090000000001</v>
      </c>
      <c r="EC11" s="1">
        <f>IF(EB11="","",IF(A11="","",RANK(EB11,$EB$3:$EB161,1)))</f>
        <v>73</v>
      </c>
      <c r="ED11" s="1">
        <f t="shared" si="73"/>
        <v>7</v>
      </c>
      <c r="EE11">
        <v>9</v>
      </c>
      <c r="EF11" s="1">
        <f>IFERROR(IF($A11="","",VLOOKUP(EE11,$EC$3:EE$153,2,FALSE)),"")</f>
        <v>4</v>
      </c>
      <c r="EG11" s="1">
        <f t="shared" si="74"/>
        <v>12.200089999999999</v>
      </c>
      <c r="EH11" s="1">
        <f>IF(EG11="","",IF(A11="","",RANK(EG11,$EG$3:$EG161,1)))</f>
        <v>9</v>
      </c>
      <c r="EI11" s="1">
        <f t="shared" si="75"/>
        <v>7</v>
      </c>
      <c r="EJ11">
        <v>9</v>
      </c>
      <c r="EK11" s="1">
        <f>IFERROR(IF($A11="","",VLOOKUP(EJ11,$EH$3:EJ$153,2,FALSE)),"")</f>
        <v>7</v>
      </c>
      <c r="EU11" s="13">
        <v>9</v>
      </c>
      <c r="EV11" s="1" t="str">
        <f t="shared" si="1"/>
        <v>メイショウイサナ　　　　　　　　　　</v>
      </c>
      <c r="EW11" s="4" t="str">
        <f t="shared" si="1"/>
        <v>未検出</v>
      </c>
      <c r="EX11" s="4">
        <f t="shared" si="2"/>
        <v>9</v>
      </c>
      <c r="EY11" s="4">
        <f t="shared" si="2"/>
        <v>39</v>
      </c>
      <c r="EZ11" s="4" t="str">
        <f t="shared" si="3"/>
        <v/>
      </c>
      <c r="FA11" s="1">
        <f t="shared" si="4"/>
        <v>9</v>
      </c>
      <c r="FB11" s="1" t="str">
        <f t="shared" si="5"/>
        <v/>
      </c>
      <c r="FC11" s="1" t="str">
        <f t="shared" si="6"/>
        <v/>
      </c>
      <c r="FD11" s="1" t="str">
        <f t="shared" si="7"/>
        <v/>
      </c>
      <c r="FE11" s="1" t="str">
        <f t="shared" si="8"/>
        <v/>
      </c>
      <c r="FF11" s="1" t="str">
        <f t="shared" si="9"/>
        <v/>
      </c>
      <c r="FG11" s="1" t="str">
        <f t="shared" si="10"/>
        <v/>
      </c>
      <c r="FH11" s="1" t="str">
        <f t="shared" si="11"/>
        <v/>
      </c>
      <c r="FI11" s="1" t="str">
        <f t="shared" si="12"/>
        <v/>
      </c>
    </row>
    <row r="12" spans="1:183" ht="18.75">
      <c r="A12" s="1" t="s">
        <v>88</v>
      </c>
      <c r="B12" s="1">
        <v>20190227</v>
      </c>
      <c r="C12" s="1" t="s">
        <v>98</v>
      </c>
      <c r="D12" s="1">
        <v>9</v>
      </c>
      <c r="E12" s="30">
        <v>54.6</v>
      </c>
      <c r="F12" s="30">
        <v>38.299999999999997</v>
      </c>
      <c r="G12" s="30">
        <v>24.7</v>
      </c>
      <c r="H12" s="30">
        <v>12.2</v>
      </c>
      <c r="I12" s="30">
        <v>16.3</v>
      </c>
      <c r="J12" s="30">
        <v>13.6</v>
      </c>
      <c r="K12" s="30">
        <v>12.5</v>
      </c>
      <c r="L12" s="30">
        <v>12.2</v>
      </c>
      <c r="M12" s="1" t="str">
        <f t="shared" si="13"/>
        <v>2019/02/27</v>
      </c>
      <c r="N12" s="4" t="str">
        <f t="shared" si="14"/>
        <v/>
      </c>
      <c r="O12">
        <v>1E-4</v>
      </c>
      <c r="P12" s="1" t="str">
        <f t="shared" si="15"/>
        <v/>
      </c>
      <c r="Q12" s="1" t="str">
        <f t="shared" si="16"/>
        <v/>
      </c>
      <c r="R12" s="1">
        <f t="shared" si="17"/>
        <v>9</v>
      </c>
      <c r="S12">
        <v>10</v>
      </c>
      <c r="T12" s="1" t="str">
        <f>IFERROR(IF($A12="","",VLOOKUP(S12,$Q$3:S$153,2,FALSE)),"")</f>
        <v/>
      </c>
      <c r="U12" s="1">
        <f t="shared" si="18"/>
        <v>54.600100000000005</v>
      </c>
      <c r="V12" s="1">
        <f t="shared" si="19"/>
        <v>63</v>
      </c>
      <c r="W12" s="1">
        <f t="shared" si="20"/>
        <v>9</v>
      </c>
      <c r="X12">
        <v>10</v>
      </c>
      <c r="Y12" s="1">
        <f>IFERROR(IF($A12="","",VLOOKUP(X12,$V$3:X$153,2,FALSE)),"")</f>
        <v>7</v>
      </c>
      <c r="Z12" s="1" t="str">
        <f t="shared" si="21"/>
        <v/>
      </c>
      <c r="AA12" s="1" t="str">
        <f t="shared" si="22"/>
        <v/>
      </c>
      <c r="AB12" s="1">
        <f t="shared" si="23"/>
        <v>9</v>
      </c>
      <c r="AC12">
        <v>10</v>
      </c>
      <c r="AD12" s="1" t="str">
        <f>IFERROR(IF($A12="","",VLOOKUP(AC12,$AA$3:AC$153,2,FALSE)),"")</f>
        <v/>
      </c>
      <c r="AE12" s="1">
        <f t="shared" si="24"/>
        <v>38.3001</v>
      </c>
      <c r="AF12" s="1">
        <f t="shared" si="25"/>
        <v>32</v>
      </c>
      <c r="AG12" s="1">
        <f t="shared" si="26"/>
        <v>9</v>
      </c>
      <c r="AH12">
        <v>10</v>
      </c>
      <c r="AI12" s="1">
        <f>IFERROR(IF($A12="","",VLOOKUP(AH12,$AF$3:AH$153,2,FALSE)),"")</f>
        <v>6</v>
      </c>
      <c r="AJ12" s="1" t="str">
        <f t="shared" si="27"/>
        <v/>
      </c>
      <c r="AK12" s="1" t="str">
        <f t="shared" si="28"/>
        <v/>
      </c>
      <c r="AL12" s="1">
        <f t="shared" si="29"/>
        <v>9</v>
      </c>
      <c r="AM12">
        <v>10</v>
      </c>
      <c r="AN12" s="1" t="str">
        <f>IFERROR(IF($A12="","",VLOOKUP(AM12,$AK$3:AM$153,2,FALSE)),"")</f>
        <v/>
      </c>
      <c r="AO12" s="1">
        <f t="shared" si="30"/>
        <v>24.700099999999999</v>
      </c>
      <c r="AP12" s="1">
        <f t="shared" si="31"/>
        <v>17</v>
      </c>
      <c r="AQ12" s="1">
        <f t="shared" si="32"/>
        <v>9</v>
      </c>
      <c r="AR12">
        <v>10</v>
      </c>
      <c r="AS12" s="1">
        <f>IFERROR(IF($A12="","",VLOOKUP(AR12,$AP$3:AR$153,2,FALSE)),"")</f>
        <v>2</v>
      </c>
      <c r="AT12" s="1">
        <f t="shared" si="33"/>
        <v>2.7000000000000011</v>
      </c>
      <c r="AU12" s="1">
        <f t="shared" si="34"/>
        <v>1.0999999999999996</v>
      </c>
      <c r="AV12" s="1">
        <f t="shared" si="35"/>
        <v>0.30000000000000071</v>
      </c>
      <c r="AW12" s="1">
        <f t="shared" si="36"/>
        <v>4.1000000000000014</v>
      </c>
      <c r="AX12" s="1">
        <f t="shared" si="37"/>
        <v>1.3667666666666671</v>
      </c>
      <c r="AY12" s="1">
        <f t="shared" si="38"/>
        <v>7</v>
      </c>
      <c r="AZ12" s="1">
        <f t="shared" si="39"/>
        <v>9</v>
      </c>
      <c r="BA12">
        <v>10</v>
      </c>
      <c r="BB12" s="1">
        <f>IFERROR(IF($A12="","",VLOOKUP(BA12,$AY$3:BA$153,2,FALSE)),"")</f>
        <v>9</v>
      </c>
      <c r="BC12" s="1">
        <f t="shared" si="40"/>
        <v>3.8001000000000009</v>
      </c>
      <c r="BD12" s="1">
        <f t="shared" si="41"/>
        <v>28</v>
      </c>
      <c r="BE12" s="1">
        <f t="shared" si="42"/>
        <v>9</v>
      </c>
      <c r="BF12">
        <v>10</v>
      </c>
      <c r="BG12" s="1">
        <f>IFERROR(IF($A12="","",VLOOKUP(BF12,$BD$3:BF$153,2,FALSE)),"")</f>
        <v>9</v>
      </c>
      <c r="BH12" s="1" t="str">
        <f t="shared" si="43"/>
        <v/>
      </c>
      <c r="BI12" s="1" t="str">
        <f>IF(A12="","",IF(BH12="","",RANK(BH12,$BH$3:$BH162,1)))</f>
        <v/>
      </c>
      <c r="BJ12" s="1">
        <f t="shared" si="44"/>
        <v>9</v>
      </c>
      <c r="BK12">
        <v>10</v>
      </c>
      <c r="BL12" s="1" t="str">
        <f>IFERROR(IF($A12="","",VLOOKUP(BK12,$BI$3:BK$153,2,FALSE)),"")</f>
        <v/>
      </c>
      <c r="BM12" s="1">
        <f t="shared" si="45"/>
        <v>2.6125000000000398</v>
      </c>
      <c r="BN12" s="1">
        <f>IF(A12="","",IF(BM12="","",RANK(BM12,$BM$3:$BM162,1)))</f>
        <v>124</v>
      </c>
      <c r="BO12" s="1">
        <f t="shared" si="46"/>
        <v>9</v>
      </c>
      <c r="BP12">
        <v>10</v>
      </c>
      <c r="BQ12" s="1">
        <f>IFERROR(IF($A12="","",VLOOKUP(BP12,$BN$3:BP$153,2,FALSE)),"")</f>
        <v>6</v>
      </c>
      <c r="BR12" s="1">
        <f t="shared" si="47"/>
        <v>9</v>
      </c>
      <c r="BS12" s="1" t="str">
        <f t="shared" si="48"/>
        <v>メイショウイサナ　　　　　　　　　　</v>
      </c>
      <c r="BT12" s="25">
        <v>10</v>
      </c>
      <c r="BU12" s="1" t="str">
        <f>IFERROR(IF($A12="","",VLOOKUP(BT12,$BR$3:BT$300,2,FALSE)),"")</f>
        <v>コンパウンダー　　　　　　　　　　　</v>
      </c>
      <c r="BV12" s="4" t="str">
        <f t="shared" si="49"/>
        <v>未検出</v>
      </c>
      <c r="BW12" s="4">
        <f t="shared" si="50"/>
        <v>10</v>
      </c>
      <c r="BX12" s="4">
        <f t="array" ref="BX12">IFERROR(VALUE(INDEX(BW:BW,SMALL(IF($BW$3:$BW$20&lt;&gt;"",ROW($BW$3:$BW$20),999),ROW(A10)))&amp;""),"")</f>
        <v>10</v>
      </c>
      <c r="BY12" s="4">
        <f t="shared" si="51"/>
        <v>46</v>
      </c>
      <c r="BZ12" s="1" t="str">
        <f t="shared" si="0"/>
        <v/>
      </c>
      <c r="CA12" s="1" t="str">
        <f t="array" ref="CA12">IFERROR(VALUE(INDEX(BZ:BZ,SMALL(IF($BZ$3:$BZ$20&lt;&gt;"",ROW($BZ$3:$BZ$20),999),ROW(A10)))&amp;""),"")</f>
        <v/>
      </c>
      <c r="CD12" s="1" t="str">
        <f t="shared" si="52"/>
        <v/>
      </c>
      <c r="CE12" s="1" t="str">
        <f>IF(A12="","",IF(CD12="","",RANK(CD12,$CD$3:$CD162,1)))</f>
        <v/>
      </c>
      <c r="CF12" s="1">
        <f t="shared" si="53"/>
        <v>9</v>
      </c>
      <c r="CG12">
        <v>10</v>
      </c>
      <c r="CH12" s="1" t="str">
        <f>IFERROR(IF($A12="","",VLOOKUP(CG12,$CE$3:CG$153,2,FALSE)),"")</f>
        <v/>
      </c>
      <c r="CI12" s="1" t="str">
        <f t="shared" si="54"/>
        <v/>
      </c>
      <c r="CJ12" s="1" t="str">
        <f>IF(A12="","",IF(CI12="","",RANK(CI12,$CI$3:$CI162,1)))</f>
        <v/>
      </c>
      <c r="CK12" s="1">
        <f t="shared" si="55"/>
        <v>9</v>
      </c>
      <c r="CL12">
        <v>10</v>
      </c>
      <c r="CM12" s="1" t="str">
        <f>IFERROR(IF($A12="","",VLOOKUP(CL12,$CJ$3:CL$153,2,FALSE)),"")</f>
        <v/>
      </c>
      <c r="CN12" s="1" t="str">
        <f t="shared" si="56"/>
        <v/>
      </c>
      <c r="CO12" s="1" t="str">
        <f>IF(A12="","",IF(CN12="","",RANK(CN12,$CN$3:$CN162,1)))</f>
        <v/>
      </c>
      <c r="CP12" s="1">
        <f t="shared" si="57"/>
        <v>9</v>
      </c>
      <c r="CQ12">
        <v>10</v>
      </c>
      <c r="CR12" s="1" t="str">
        <f>IFERROR(IF($A12="","",VLOOKUP(CQ12,$CO$3:CQ$153,2,FALSE)),"")</f>
        <v/>
      </c>
      <c r="CS12" s="1" t="str">
        <f t="shared" si="58"/>
        <v/>
      </c>
      <c r="CT12" s="1" t="str">
        <f>IF(A12="","",IF(CS12="","",RANK(CS12,$CS$3:$CS162,1)))</f>
        <v/>
      </c>
      <c r="CU12" s="1">
        <f t="shared" si="59"/>
        <v>9</v>
      </c>
      <c r="CV12">
        <v>10</v>
      </c>
      <c r="CW12" s="1" t="str">
        <f>IFERROR(IF($A12="","",VLOOKUP(CV12,$CT$3:CV$153,2,FALSE)),"")</f>
        <v/>
      </c>
      <c r="CX12" s="1" t="str">
        <f t="shared" si="60"/>
        <v/>
      </c>
      <c r="CY12" s="1" t="str">
        <f>IF(CX12="","",IF(A12="","",RANK(CX12,$CX$3:$CX162,1)))</f>
        <v/>
      </c>
      <c r="CZ12" s="1">
        <f t="shared" si="61"/>
        <v>9</v>
      </c>
      <c r="DA12">
        <v>10</v>
      </c>
      <c r="DB12" s="1" t="str">
        <f>IFERROR(IF($A12="","",VLOOKUP(DA12,$CY$3:DA$153,2,FALSE)),"")</f>
        <v/>
      </c>
      <c r="DC12" s="1" t="str">
        <f t="shared" si="62"/>
        <v/>
      </c>
      <c r="DD12" s="1" t="str">
        <f>IF(DC12="","",IF(A12="","",RANK(DC12,$DC$3:$DC162,1)))</f>
        <v/>
      </c>
      <c r="DE12" s="1">
        <f t="shared" si="63"/>
        <v>9</v>
      </c>
      <c r="DF12">
        <v>10</v>
      </c>
      <c r="DG12" s="1" t="str">
        <f>IFERROR(IF($A12="","",VLOOKUP(DF12,$DD$3:DF$153,2,FALSE)),"")</f>
        <v/>
      </c>
      <c r="DH12" s="1" t="str">
        <f t="shared" si="64"/>
        <v/>
      </c>
      <c r="DI12" s="1" t="str">
        <f>IF(DH12="","",IF(A12="","",RANK(DH12,$DH$3:$DH162,1)))</f>
        <v/>
      </c>
      <c r="DJ12" s="1">
        <f t="shared" si="65"/>
        <v>9</v>
      </c>
      <c r="DK12">
        <v>10</v>
      </c>
      <c r="DL12" s="1" t="str">
        <f>IFERROR(IF($A12="","",VLOOKUP(DK12,$DI$3:DK$153,2,FALSE)),"")</f>
        <v/>
      </c>
      <c r="DM12" s="1" t="str">
        <f t="shared" si="66"/>
        <v/>
      </c>
      <c r="DN12" s="1" t="str">
        <f>IF(DM12="","",IF(A12="","",RANK(DM12,$DM$3:$DM162,1)))</f>
        <v/>
      </c>
      <c r="DO12" s="1">
        <f t="shared" si="67"/>
        <v>9</v>
      </c>
      <c r="DP12">
        <v>10</v>
      </c>
      <c r="DQ12" s="1" t="str">
        <f>IFERROR(IF($A12="","",VLOOKUP(DP12,$DN$3:DP$153,2,FALSE)),"")</f>
        <v/>
      </c>
      <c r="DR12" s="1">
        <f t="shared" si="68"/>
        <v>16.3001</v>
      </c>
      <c r="DS12" s="1">
        <f>IF(DR12="","",IF(A12="","",RANK(DR12,$DR$3:$DR162,1)))</f>
        <v>106</v>
      </c>
      <c r="DT12" s="1">
        <f t="shared" si="69"/>
        <v>9</v>
      </c>
      <c r="DU12">
        <v>10</v>
      </c>
      <c r="DV12" s="1">
        <f>IFERROR(IF($A12="","",VLOOKUP(DU12,$DS$3:DU$153,2,FALSE)),"")</f>
        <v>2</v>
      </c>
      <c r="DW12" s="1">
        <f t="shared" si="70"/>
        <v>13.600099999999999</v>
      </c>
      <c r="DX12" s="1">
        <f>IF(DW12="","",IF(A12="","",RANK(DW12,$DW$3:$DW162,1)))</f>
        <v>43</v>
      </c>
      <c r="DY12" s="1">
        <f t="shared" si="71"/>
        <v>9</v>
      </c>
      <c r="DZ12">
        <v>10</v>
      </c>
      <c r="EA12" s="1">
        <f>IFERROR(IF($A12="","",VLOOKUP(DZ12,$DX$3:DZ$153,2,FALSE)),"")</f>
        <v>10</v>
      </c>
      <c r="EB12" s="1">
        <f t="shared" si="72"/>
        <v>12.5001</v>
      </c>
      <c r="EC12" s="1">
        <f>IF(EB12="","",IF(A12="","",RANK(EB12,$EB$3:$EB162,1)))</f>
        <v>44</v>
      </c>
      <c r="ED12" s="1">
        <f t="shared" si="73"/>
        <v>9</v>
      </c>
      <c r="EE12">
        <v>10</v>
      </c>
      <c r="EF12" s="1">
        <f>IFERROR(IF($A12="","",VLOOKUP(EE12,$EC$3:EE$153,2,FALSE)),"")</f>
        <v>5</v>
      </c>
      <c r="EG12" s="1">
        <f t="shared" si="74"/>
        <v>12.200099999999999</v>
      </c>
      <c r="EH12" s="1">
        <f>IF(EG12="","",IF(A12="","",RANK(EG12,$EG$3:$EG162,1)))</f>
        <v>10</v>
      </c>
      <c r="EI12" s="1">
        <f t="shared" si="75"/>
        <v>9</v>
      </c>
      <c r="EJ12">
        <v>10</v>
      </c>
      <c r="EK12" s="1">
        <f>IFERROR(IF($A12="","",VLOOKUP(EJ12,$EH$3:EJ$153,2,FALSE)),"")</f>
        <v>9</v>
      </c>
      <c r="EU12" s="13">
        <v>10</v>
      </c>
      <c r="EV12" s="1" t="str">
        <f t="shared" si="1"/>
        <v>コンパウンダー　　　　　　　　　　　</v>
      </c>
      <c r="EW12" s="4" t="str">
        <f t="shared" si="1"/>
        <v>未検出</v>
      </c>
      <c r="EX12" s="4">
        <f t="shared" si="2"/>
        <v>10</v>
      </c>
      <c r="EY12" s="4">
        <f t="shared" si="2"/>
        <v>46</v>
      </c>
      <c r="EZ12" s="4" t="str">
        <f t="shared" si="3"/>
        <v/>
      </c>
      <c r="FA12" s="1">
        <f t="shared" si="4"/>
        <v>9</v>
      </c>
      <c r="FB12" s="1" t="str">
        <f t="shared" si="5"/>
        <v/>
      </c>
      <c r="FC12" s="1" t="str">
        <f t="shared" si="6"/>
        <v/>
      </c>
      <c r="FD12" s="1" t="str">
        <f t="shared" si="7"/>
        <v/>
      </c>
      <c r="FE12" s="1" t="str">
        <f t="shared" si="8"/>
        <v/>
      </c>
      <c r="FF12" s="1" t="str">
        <f t="shared" si="9"/>
        <v/>
      </c>
      <c r="FG12" s="1" t="str">
        <f t="shared" si="10"/>
        <v/>
      </c>
      <c r="FH12" s="1" t="str">
        <f t="shared" si="11"/>
        <v/>
      </c>
      <c r="FI12" s="1" t="str">
        <f t="shared" si="12"/>
        <v/>
      </c>
    </row>
    <row r="13" spans="1:183" ht="18.75">
      <c r="A13" s="1" t="s">
        <v>88</v>
      </c>
      <c r="B13" s="1">
        <v>20190227</v>
      </c>
      <c r="C13" s="1" t="s">
        <v>98</v>
      </c>
      <c r="D13" s="1">
        <v>9</v>
      </c>
      <c r="E13" s="30">
        <v>54.6</v>
      </c>
      <c r="F13" s="30">
        <v>38.299999999999997</v>
      </c>
      <c r="G13" s="30">
        <v>24.7</v>
      </c>
      <c r="H13" s="30">
        <v>12.2</v>
      </c>
      <c r="I13" s="30">
        <v>16.3</v>
      </c>
      <c r="J13" s="30">
        <v>13.6</v>
      </c>
      <c r="K13" s="30">
        <v>12.5</v>
      </c>
      <c r="L13" s="30">
        <v>12.2</v>
      </c>
      <c r="M13" s="1" t="str">
        <f t="shared" si="13"/>
        <v>2019/02/27</v>
      </c>
      <c r="N13" s="4" t="str">
        <f t="shared" si="14"/>
        <v/>
      </c>
      <c r="O13">
        <v>1.1E-4</v>
      </c>
      <c r="P13" s="1" t="str">
        <f t="shared" si="15"/>
        <v/>
      </c>
      <c r="Q13" s="1" t="str">
        <f t="shared" si="16"/>
        <v/>
      </c>
      <c r="R13" s="1">
        <f t="shared" si="17"/>
        <v>9</v>
      </c>
      <c r="U13" s="1">
        <f t="shared" si="18"/>
        <v>54.600110000000001</v>
      </c>
      <c r="V13" s="1">
        <f t="shared" si="19"/>
        <v>64</v>
      </c>
      <c r="W13" s="1">
        <f t="shared" si="20"/>
        <v>9</v>
      </c>
      <c r="Z13" s="1" t="str">
        <f t="shared" si="21"/>
        <v/>
      </c>
      <c r="AA13" s="1" t="str">
        <f t="shared" si="22"/>
        <v/>
      </c>
      <c r="AB13" s="1">
        <f t="shared" si="23"/>
        <v>9</v>
      </c>
      <c r="AE13" s="1">
        <f t="shared" si="24"/>
        <v>38.300109999999997</v>
      </c>
      <c r="AF13" s="1">
        <f t="shared" si="25"/>
        <v>33</v>
      </c>
      <c r="AG13" s="1">
        <f t="shared" si="26"/>
        <v>9</v>
      </c>
      <c r="AJ13" s="1" t="str">
        <f t="shared" si="27"/>
        <v/>
      </c>
      <c r="AK13" s="1" t="str">
        <f t="shared" si="28"/>
        <v/>
      </c>
      <c r="AL13" s="1">
        <f t="shared" si="29"/>
        <v>9</v>
      </c>
      <c r="AO13" s="1">
        <f t="shared" si="30"/>
        <v>24.700109999999999</v>
      </c>
      <c r="AP13" s="1">
        <f t="shared" si="31"/>
        <v>18</v>
      </c>
      <c r="AQ13" s="1">
        <f t="shared" si="32"/>
        <v>9</v>
      </c>
      <c r="AT13" s="1">
        <f t="shared" si="33"/>
        <v>2.7000000000000011</v>
      </c>
      <c r="AU13" s="1">
        <f t="shared" si="34"/>
        <v>1.0999999999999996</v>
      </c>
      <c r="AV13" s="1">
        <f t="shared" si="35"/>
        <v>0.30000000000000071</v>
      </c>
      <c r="AW13" s="1">
        <f t="shared" si="36"/>
        <v>4.1000000000000014</v>
      </c>
      <c r="AX13" s="1">
        <f t="shared" si="37"/>
        <v>1.3667766666666672</v>
      </c>
      <c r="AY13" s="1">
        <f t="shared" si="38"/>
        <v>6</v>
      </c>
      <c r="AZ13" s="1">
        <f t="shared" si="39"/>
        <v>9</v>
      </c>
      <c r="BC13" s="1">
        <f t="shared" si="40"/>
        <v>3.8001100000000005</v>
      </c>
      <c r="BD13" s="1">
        <f t="shared" si="41"/>
        <v>27</v>
      </c>
      <c r="BE13" s="1">
        <f t="shared" si="42"/>
        <v>9</v>
      </c>
      <c r="BH13" s="1" t="str">
        <f t="shared" si="43"/>
        <v/>
      </c>
      <c r="BI13" s="1" t="str">
        <f>IF(A13="","",IF(BH13="","",RANK(BH13,$BH$3:$BH163,1)))</f>
        <v/>
      </c>
      <c r="BJ13" s="1">
        <f t="shared" si="44"/>
        <v>9</v>
      </c>
      <c r="BM13" s="1">
        <f t="shared" si="45"/>
        <v>2.6125000000000398</v>
      </c>
      <c r="BN13" s="1">
        <f>IF(A13="","",IF(BM13="","",RANK(BM13,$BM$3:$BM163,1)))</f>
        <v>124</v>
      </c>
      <c r="BO13" s="1">
        <f t="shared" si="46"/>
        <v>9</v>
      </c>
      <c r="BR13" s="1">
        <f t="shared" si="47"/>
        <v>9</v>
      </c>
      <c r="BS13" s="1" t="str">
        <f t="shared" si="48"/>
        <v>メイショウイサナ　　　　　　　　　　</v>
      </c>
      <c r="BT13" s="25">
        <v>11</v>
      </c>
      <c r="BU13" s="1" t="str">
        <f>IFERROR(IF($A13="","",VLOOKUP(BT13,$BR$3:BT$300,2,FALSE)),"")</f>
        <v/>
      </c>
      <c r="BV13" s="4" t="str">
        <f t="shared" si="49"/>
        <v>未検出</v>
      </c>
      <c r="BW13" s="4">
        <f t="shared" si="50"/>
        <v>11</v>
      </c>
      <c r="BX13" s="4">
        <f t="array" ref="BX13">IFERROR(VALUE(INDEX(BW:BW,SMALL(IF($BW$3:$BW$20&lt;&gt;"",ROW($BW$3:$BW$20),999),ROW(A11)))&amp;""),"")</f>
        <v>11</v>
      </c>
      <c r="BY13" s="4" t="str">
        <f t="shared" si="51"/>
        <v>未検出</v>
      </c>
      <c r="BZ13" s="1">
        <f t="shared" si="0"/>
        <v>11</v>
      </c>
      <c r="CA13" s="1" t="str">
        <f t="array" ref="CA13">IFERROR(VALUE(INDEX(BZ:BZ,SMALL(IF($BZ$3:$BZ$20&lt;&gt;"",ROW($BZ$3:$BZ$20),999),ROW(A11)))&amp;""),"")</f>
        <v/>
      </c>
      <c r="CD13" s="1" t="str">
        <f t="shared" si="52"/>
        <v/>
      </c>
      <c r="CE13" s="1" t="str">
        <f>IF(A13="","",IF(CD13="","",RANK(CD13,$CD$3:$CD163,1)))</f>
        <v/>
      </c>
      <c r="CF13" s="1">
        <f t="shared" si="53"/>
        <v>9</v>
      </c>
      <c r="CI13" s="1" t="str">
        <f t="shared" si="54"/>
        <v/>
      </c>
      <c r="CJ13" s="1" t="str">
        <f>IF(A13="","",IF(CI13="","",RANK(CI13,$CI$3:$CI163,1)))</f>
        <v/>
      </c>
      <c r="CK13" s="1">
        <f t="shared" si="55"/>
        <v>9</v>
      </c>
      <c r="CN13" s="1" t="str">
        <f t="shared" si="56"/>
        <v/>
      </c>
      <c r="CO13" s="1" t="str">
        <f>IF(A13="","",IF(CN13="","",RANK(CN13,$CN$3:$CN163,1)))</f>
        <v/>
      </c>
      <c r="CP13" s="1">
        <f t="shared" si="57"/>
        <v>9</v>
      </c>
      <c r="CS13" s="1" t="str">
        <f t="shared" si="58"/>
        <v/>
      </c>
      <c r="CT13" s="1" t="str">
        <f>IF(A13="","",IF(CS13="","",RANK(CS13,$CS$3:$CS163,1)))</f>
        <v/>
      </c>
      <c r="CU13" s="1">
        <f t="shared" si="59"/>
        <v>9</v>
      </c>
      <c r="CX13" s="1" t="str">
        <f t="shared" si="60"/>
        <v/>
      </c>
      <c r="CY13" s="1" t="str">
        <f>IF(CX13="","",IF(A13="","",RANK(CX13,$CX$3:$CX163,1)))</f>
        <v/>
      </c>
      <c r="CZ13" s="1">
        <f t="shared" si="61"/>
        <v>9</v>
      </c>
      <c r="DC13" s="1" t="str">
        <f t="shared" si="62"/>
        <v/>
      </c>
      <c r="DD13" s="1" t="str">
        <f>IF(DC13="","",IF(A13="","",RANK(DC13,$DC$3:$DC163,1)))</f>
        <v/>
      </c>
      <c r="DE13" s="1">
        <f t="shared" si="63"/>
        <v>9</v>
      </c>
      <c r="DH13" s="1" t="str">
        <f t="shared" si="64"/>
        <v/>
      </c>
      <c r="DI13" s="1" t="str">
        <f>IF(DH13="","",IF(A13="","",RANK(DH13,$DH$3:$DH163,1)))</f>
        <v/>
      </c>
      <c r="DJ13" s="1">
        <f t="shared" si="65"/>
        <v>9</v>
      </c>
      <c r="DM13" s="1" t="str">
        <f t="shared" si="66"/>
        <v/>
      </c>
      <c r="DN13" s="1" t="str">
        <f>IF(DM13="","",IF(A13="","",RANK(DM13,$DM$3:$DM163,1)))</f>
        <v/>
      </c>
      <c r="DO13" s="1">
        <f t="shared" si="67"/>
        <v>9</v>
      </c>
      <c r="DR13" s="1">
        <f t="shared" si="68"/>
        <v>16.30011</v>
      </c>
      <c r="DS13" s="1">
        <f>IF(DR13="","",IF(A13="","",RANK(DR13,$DR$3:$DR163,1)))</f>
        <v>107</v>
      </c>
      <c r="DT13" s="1">
        <f t="shared" si="69"/>
        <v>9</v>
      </c>
      <c r="DW13" s="1">
        <f t="shared" si="70"/>
        <v>13.600109999999999</v>
      </c>
      <c r="DX13" s="1">
        <f>IF(DW13="","",IF(A13="","",RANK(DW13,$DW$3:$DW163,1)))</f>
        <v>44</v>
      </c>
      <c r="DY13" s="1">
        <f t="shared" si="71"/>
        <v>9</v>
      </c>
      <c r="EB13" s="1">
        <f t="shared" si="72"/>
        <v>12.500109999999999</v>
      </c>
      <c r="EC13" s="1">
        <f>IF(EB13="","",IF(A13="","",RANK(EB13,$EB$3:$EB163,1)))</f>
        <v>45</v>
      </c>
      <c r="ED13" s="1">
        <f t="shared" si="73"/>
        <v>9</v>
      </c>
      <c r="EG13" s="1">
        <f t="shared" si="74"/>
        <v>12.200109999999999</v>
      </c>
      <c r="EH13" s="1">
        <f>IF(EG13="","",IF(A13="","",RANK(EG13,$EG$3:$EG163,1)))</f>
        <v>11</v>
      </c>
      <c r="EI13" s="1">
        <f t="shared" si="75"/>
        <v>9</v>
      </c>
      <c r="EU13" s="13">
        <v>11</v>
      </c>
      <c r="EV13" s="1" t="str">
        <f t="shared" si="1"/>
        <v/>
      </c>
      <c r="EW13" s="4" t="str">
        <f t="shared" si="1"/>
        <v>未検出</v>
      </c>
      <c r="EX13" s="4">
        <f t="shared" si="2"/>
        <v>11</v>
      </c>
      <c r="EY13" s="4" t="str">
        <f t="shared" si="2"/>
        <v>未検出</v>
      </c>
      <c r="EZ13" s="4"/>
      <c r="FA13" s="5" t="s">
        <v>34</v>
      </c>
      <c r="FB13" s="5" t="s">
        <v>39</v>
      </c>
      <c r="FC13" s="5" t="s">
        <v>20</v>
      </c>
      <c r="FD13" s="5" t="s">
        <v>24</v>
      </c>
      <c r="FE13" s="5" t="s">
        <v>27</v>
      </c>
      <c r="FF13" s="5" t="s">
        <v>78</v>
      </c>
      <c r="FG13" s="5" t="s">
        <v>79</v>
      </c>
      <c r="FH13" s="5" t="s">
        <v>80</v>
      </c>
      <c r="FI13" s="5" t="s">
        <v>87</v>
      </c>
      <c r="FJ13" s="5" t="s">
        <v>65</v>
      </c>
      <c r="FK13" s="5" t="s">
        <v>67</v>
      </c>
      <c r="FL13" s="29"/>
      <c r="FM13" s="29"/>
      <c r="FN13" s="29"/>
      <c r="FO13" s="29"/>
    </row>
    <row r="14" spans="1:183" ht="18.75">
      <c r="A14" s="1" t="s">
        <v>88</v>
      </c>
      <c r="B14" s="1">
        <v>20190307</v>
      </c>
      <c r="C14" s="1" t="s">
        <v>94</v>
      </c>
      <c r="D14" s="1">
        <v>5</v>
      </c>
      <c r="E14" s="30">
        <v>54.5</v>
      </c>
      <c r="F14" s="30">
        <v>39.1</v>
      </c>
      <c r="G14" s="30">
        <v>24.6</v>
      </c>
      <c r="H14" s="30">
        <v>12.2</v>
      </c>
      <c r="I14" s="30">
        <v>15.4</v>
      </c>
      <c r="J14" s="30">
        <v>14.5</v>
      </c>
      <c r="K14" s="30">
        <v>12.4</v>
      </c>
      <c r="L14" s="30">
        <v>12.2</v>
      </c>
      <c r="M14" s="1" t="str">
        <f t="shared" si="13"/>
        <v>2019/03/07</v>
      </c>
      <c r="N14" s="4" t="str">
        <f t="shared" si="14"/>
        <v/>
      </c>
      <c r="O14">
        <v>1.2E-4</v>
      </c>
      <c r="P14" s="1" t="str">
        <f t="shared" si="15"/>
        <v/>
      </c>
      <c r="Q14" s="1" t="str">
        <f t="shared" si="16"/>
        <v/>
      </c>
      <c r="R14" s="1">
        <f t="shared" si="17"/>
        <v>5</v>
      </c>
      <c r="U14" s="1">
        <f t="shared" si="18"/>
        <v>54.500120000000003</v>
      </c>
      <c r="V14" s="1">
        <f t="shared" si="19"/>
        <v>59</v>
      </c>
      <c r="W14" s="1">
        <f t="shared" si="20"/>
        <v>5</v>
      </c>
      <c r="Z14" s="1" t="str">
        <f t="shared" si="21"/>
        <v/>
      </c>
      <c r="AA14" s="1" t="str">
        <f t="shared" si="22"/>
        <v/>
      </c>
      <c r="AB14" s="1">
        <f t="shared" si="23"/>
        <v>5</v>
      </c>
      <c r="AE14" s="1">
        <f t="shared" si="24"/>
        <v>39.100120000000004</v>
      </c>
      <c r="AF14" s="1">
        <f t="shared" si="25"/>
        <v>62</v>
      </c>
      <c r="AG14" s="1">
        <f t="shared" si="26"/>
        <v>5</v>
      </c>
      <c r="AJ14" s="1" t="str">
        <f t="shared" si="27"/>
        <v/>
      </c>
      <c r="AK14" s="1" t="str">
        <f t="shared" si="28"/>
        <v/>
      </c>
      <c r="AL14" s="1">
        <f t="shared" si="29"/>
        <v>5</v>
      </c>
      <c r="AO14" s="1">
        <f t="shared" si="30"/>
        <v>24.60012</v>
      </c>
      <c r="AP14" s="1">
        <f t="shared" si="31"/>
        <v>12</v>
      </c>
      <c r="AQ14" s="1">
        <f t="shared" si="32"/>
        <v>5</v>
      </c>
      <c r="AT14" s="1">
        <f t="shared" si="33"/>
        <v>0.90000000000000036</v>
      </c>
      <c r="AU14" s="1">
        <f t="shared" si="34"/>
        <v>2.0999999999999996</v>
      </c>
      <c r="AV14" s="1">
        <f t="shared" si="35"/>
        <v>0.20000000000000107</v>
      </c>
      <c r="AW14" s="1">
        <f t="shared" si="36"/>
        <v>3.2000000000000011</v>
      </c>
      <c r="AX14" s="1">
        <f t="shared" si="37"/>
        <v>1.066786666666667</v>
      </c>
      <c r="AY14" s="1">
        <f t="shared" si="38"/>
        <v>18</v>
      </c>
      <c r="AZ14" s="1">
        <f t="shared" si="39"/>
        <v>5</v>
      </c>
      <c r="BC14" s="1">
        <f t="shared" si="40"/>
        <v>3.0001199999999999</v>
      </c>
      <c r="BD14" s="1">
        <f t="shared" si="41"/>
        <v>51</v>
      </c>
      <c r="BE14" s="1">
        <f t="shared" si="42"/>
        <v>5</v>
      </c>
      <c r="BH14" s="1" t="str">
        <f t="shared" si="43"/>
        <v/>
      </c>
      <c r="BI14" s="1" t="str">
        <f>IF(A14="","",IF(BH14="","",RANK(BH14,$BH$3:$BH164,1)))</f>
        <v/>
      </c>
      <c r="BJ14" s="1">
        <f t="shared" si="44"/>
        <v>5</v>
      </c>
      <c r="BM14" s="1">
        <f t="shared" si="45"/>
        <v>1.8618750000000004</v>
      </c>
      <c r="BN14" s="1">
        <f>IF(A14="","",IF(BM14="","",RANK(BM14,$BM$3:$BM164,1)))</f>
        <v>103</v>
      </c>
      <c r="BO14" s="1">
        <f t="shared" si="46"/>
        <v>5</v>
      </c>
      <c r="BR14" s="1">
        <f t="shared" si="47"/>
        <v>5</v>
      </c>
      <c r="BS14" s="1" t="str">
        <f t="shared" si="48"/>
        <v>シグナライズ　　　　　　　　　　　　</v>
      </c>
      <c r="BT14" s="25">
        <v>12</v>
      </c>
      <c r="BU14" s="1" t="str">
        <f>IFERROR(IF($A14="","",VLOOKUP(BT14,$BR$3:BT$300,2,FALSE)),"")</f>
        <v/>
      </c>
      <c r="BV14" s="4" t="str">
        <f t="shared" si="49"/>
        <v>未検出</v>
      </c>
      <c r="BW14" s="4">
        <f t="shared" si="50"/>
        <v>12</v>
      </c>
      <c r="BX14" s="4">
        <f t="array" ref="BX14">IFERROR(VALUE(INDEX(BW:BW,SMALL(IF($BW$3:$BW$20&lt;&gt;"",ROW($BW$3:$BW$20),999),ROW(A12)))&amp;""),"")</f>
        <v>12</v>
      </c>
      <c r="BY14" s="4" t="str">
        <f t="shared" si="51"/>
        <v>未検出</v>
      </c>
      <c r="BZ14" s="1">
        <f t="shared" si="0"/>
        <v>12</v>
      </c>
      <c r="CA14" s="1" t="str">
        <f t="array" ref="CA14">IFERROR(VALUE(INDEX(BZ:BZ,SMALL(IF($BZ$3:$BZ$20&lt;&gt;"",ROW($BZ$3:$BZ$20),999),ROW(A12)))&amp;""),"")</f>
        <v/>
      </c>
      <c r="CD14" s="1" t="str">
        <f t="shared" si="52"/>
        <v/>
      </c>
      <c r="CE14" s="1" t="str">
        <f>IF(A14="","",IF(CD14="","",RANK(CD14,$CD$3:$CD164,1)))</f>
        <v/>
      </c>
      <c r="CF14" s="1">
        <f t="shared" si="53"/>
        <v>5</v>
      </c>
      <c r="CI14" s="1" t="str">
        <f t="shared" si="54"/>
        <v/>
      </c>
      <c r="CJ14" s="1" t="str">
        <f>IF(A14="","",IF(CI14="","",RANK(CI14,$CI$3:$CI164,1)))</f>
        <v/>
      </c>
      <c r="CK14" s="1">
        <f t="shared" si="55"/>
        <v>5</v>
      </c>
      <c r="CN14" s="1" t="str">
        <f t="shared" si="56"/>
        <v/>
      </c>
      <c r="CO14" s="1" t="str">
        <f>IF(A14="","",IF(CN14="","",RANK(CN14,$CN$3:$CN164,1)))</f>
        <v/>
      </c>
      <c r="CP14" s="1">
        <f t="shared" si="57"/>
        <v>5</v>
      </c>
      <c r="CS14" s="1" t="str">
        <f t="shared" si="58"/>
        <v/>
      </c>
      <c r="CT14" s="1" t="str">
        <f>IF(A14="","",IF(CS14="","",RANK(CS14,$CS$3:$CS164,1)))</f>
        <v/>
      </c>
      <c r="CU14" s="1">
        <f t="shared" si="59"/>
        <v>5</v>
      </c>
      <c r="CX14" s="1" t="str">
        <f t="shared" si="60"/>
        <v/>
      </c>
      <c r="CY14" s="1" t="str">
        <f>IF(CX14="","",IF(A14="","",RANK(CX14,$CX$3:$CX164,1)))</f>
        <v/>
      </c>
      <c r="CZ14" s="1">
        <f t="shared" si="61"/>
        <v>5</v>
      </c>
      <c r="DC14" s="1" t="str">
        <f t="shared" si="62"/>
        <v/>
      </c>
      <c r="DD14" s="1" t="str">
        <f>IF(DC14="","",IF(A14="","",RANK(DC14,$DC$3:$DC164,1)))</f>
        <v/>
      </c>
      <c r="DE14" s="1">
        <f t="shared" si="63"/>
        <v>5</v>
      </c>
      <c r="DH14" s="1" t="str">
        <f t="shared" si="64"/>
        <v/>
      </c>
      <c r="DI14" s="1" t="str">
        <f>IF(DH14="","",IF(A14="","",RANK(DH14,$DH$3:$DH164,1)))</f>
        <v/>
      </c>
      <c r="DJ14" s="1">
        <f t="shared" si="65"/>
        <v>5</v>
      </c>
      <c r="DM14" s="1" t="str">
        <f t="shared" si="66"/>
        <v/>
      </c>
      <c r="DN14" s="1" t="str">
        <f>IF(DM14="","",IF(A14="","",RANK(DM14,$DM$3:$DM164,1)))</f>
        <v/>
      </c>
      <c r="DO14" s="1">
        <f t="shared" si="67"/>
        <v>5</v>
      </c>
      <c r="DR14" s="1">
        <f t="shared" si="68"/>
        <v>15.400120000000001</v>
      </c>
      <c r="DS14" s="1">
        <f>IF(DR14="","",IF(A14="","",RANK(DR14,$DR$3:$DR164,1)))</f>
        <v>62</v>
      </c>
      <c r="DT14" s="1">
        <f t="shared" si="69"/>
        <v>5</v>
      </c>
      <c r="DW14" s="1">
        <f t="shared" si="70"/>
        <v>14.500120000000001</v>
      </c>
      <c r="DX14" s="1">
        <f>IF(DW14="","",IF(A14="","",RANK(DW14,$DW$3:$DW164,1)))</f>
        <v>101</v>
      </c>
      <c r="DY14" s="1">
        <f t="shared" si="71"/>
        <v>5</v>
      </c>
      <c r="EB14" s="1">
        <f t="shared" si="72"/>
        <v>12.400120000000001</v>
      </c>
      <c r="EC14" s="1">
        <f>IF(EB14="","",IF(A14="","",RANK(EB14,$EB$3:$EB164,1)))</f>
        <v>32</v>
      </c>
      <c r="ED14" s="1">
        <f t="shared" si="73"/>
        <v>5</v>
      </c>
      <c r="EG14" s="1">
        <f t="shared" si="74"/>
        <v>12.20012</v>
      </c>
      <c r="EH14" s="1">
        <f>IF(EG14="","",IF(A14="","",RANK(EG14,$EG$3:$EG164,1)))</f>
        <v>12</v>
      </c>
      <c r="EI14" s="1">
        <f t="shared" si="75"/>
        <v>5</v>
      </c>
      <c r="EU14" s="13">
        <v>12</v>
      </c>
      <c r="EV14" s="1" t="str">
        <f t="shared" si="1"/>
        <v/>
      </c>
      <c r="EW14" s="4" t="str">
        <f t="shared" si="1"/>
        <v>未検出</v>
      </c>
      <c r="EX14" s="4">
        <f t="shared" si="2"/>
        <v>12</v>
      </c>
      <c r="EY14" s="4" t="str">
        <f t="shared" si="2"/>
        <v>未検出</v>
      </c>
      <c r="EZ14" s="4"/>
      <c r="FA14" s="1">
        <f t="shared" ref="FA14:FA23" si="76">BB3</f>
        <v>7</v>
      </c>
      <c r="FB14" s="1">
        <f t="shared" ref="FB14:FB23" si="77">BQ3</f>
        <v>8</v>
      </c>
      <c r="FC14" s="1">
        <f t="shared" ref="FC14:FC23" si="78">Y3</f>
        <v>1</v>
      </c>
      <c r="FD14" s="1">
        <f t="shared" ref="FD14:FD23" si="79">AI3</f>
        <v>4</v>
      </c>
      <c r="FE14" s="1">
        <f t="shared" ref="FE14:FE23" si="80">AS3</f>
        <v>7</v>
      </c>
      <c r="FF14" s="1">
        <f t="shared" ref="FF14:FF23" si="81">DV3</f>
        <v>7</v>
      </c>
      <c r="FG14" s="1">
        <f t="shared" ref="FG14:FG23" si="82">EA3</f>
        <v>7</v>
      </c>
      <c r="FH14" s="1">
        <f t="shared" ref="FH14:FH23" si="83">EF3</f>
        <v>7</v>
      </c>
      <c r="FI14" s="1">
        <f t="shared" ref="FI14:FI23" si="84">EK3</f>
        <v>7</v>
      </c>
      <c r="FJ14" s="1">
        <f>CM3</f>
        <v>7</v>
      </c>
      <c r="FK14" s="1">
        <f>CW3</f>
        <v>7</v>
      </c>
    </row>
    <row r="15" spans="1:183" ht="18.75">
      <c r="A15" s="1" t="s">
        <v>88</v>
      </c>
      <c r="B15" s="1">
        <v>20190612</v>
      </c>
      <c r="C15" s="1" t="s">
        <v>95</v>
      </c>
      <c r="D15" s="1">
        <v>6</v>
      </c>
      <c r="E15" s="30">
        <v>52.3</v>
      </c>
      <c r="F15" s="30">
        <v>38.200000000000003</v>
      </c>
      <c r="G15" s="30">
        <v>24.6</v>
      </c>
      <c r="H15" s="30">
        <v>12.2</v>
      </c>
      <c r="I15" s="30">
        <v>14.1</v>
      </c>
      <c r="J15" s="30">
        <v>13.6</v>
      </c>
      <c r="K15" s="30">
        <v>12.4</v>
      </c>
      <c r="L15" s="30">
        <v>12.2</v>
      </c>
      <c r="M15" s="1" t="str">
        <f t="shared" si="13"/>
        <v>2019/06/12</v>
      </c>
      <c r="N15" s="4" t="str">
        <f t="shared" si="14"/>
        <v/>
      </c>
      <c r="O15">
        <v>1.3000000000000002E-4</v>
      </c>
      <c r="P15" s="1" t="str">
        <f t="shared" si="15"/>
        <v/>
      </c>
      <c r="Q15" s="1" t="str">
        <f t="shared" si="16"/>
        <v/>
      </c>
      <c r="R15" s="1">
        <f t="shared" si="17"/>
        <v>6</v>
      </c>
      <c r="U15" s="1">
        <f t="shared" si="18"/>
        <v>52.300129999999996</v>
      </c>
      <c r="V15" s="1">
        <f t="shared" si="19"/>
        <v>15</v>
      </c>
      <c r="W15" s="1">
        <f t="shared" si="20"/>
        <v>6</v>
      </c>
      <c r="Z15" s="1" t="str">
        <f t="shared" si="21"/>
        <v/>
      </c>
      <c r="AA15" s="1" t="str">
        <f t="shared" si="22"/>
        <v/>
      </c>
      <c r="AB15" s="1">
        <f t="shared" si="23"/>
        <v>6</v>
      </c>
      <c r="AE15" s="1">
        <f t="shared" si="24"/>
        <v>38.200130000000001</v>
      </c>
      <c r="AF15" s="1">
        <f t="shared" si="25"/>
        <v>24</v>
      </c>
      <c r="AG15" s="1">
        <f t="shared" si="26"/>
        <v>6</v>
      </c>
      <c r="AJ15" s="1" t="str">
        <f t="shared" si="27"/>
        <v/>
      </c>
      <c r="AK15" s="1" t="str">
        <f t="shared" si="28"/>
        <v/>
      </c>
      <c r="AL15" s="1">
        <f t="shared" si="29"/>
        <v>6</v>
      </c>
      <c r="AO15" s="1">
        <f t="shared" si="30"/>
        <v>24.60013</v>
      </c>
      <c r="AP15" s="1">
        <f t="shared" si="31"/>
        <v>13</v>
      </c>
      <c r="AQ15" s="1">
        <f t="shared" si="32"/>
        <v>6</v>
      </c>
      <c r="AT15" s="1">
        <f t="shared" si="33"/>
        <v>0.5</v>
      </c>
      <c r="AU15" s="1">
        <f t="shared" si="34"/>
        <v>1.1999999999999993</v>
      </c>
      <c r="AV15" s="1">
        <f t="shared" si="35"/>
        <v>0.20000000000000107</v>
      </c>
      <c r="AW15" s="1">
        <f t="shared" si="36"/>
        <v>1.9000000000000004</v>
      </c>
      <c r="AX15" s="1">
        <f t="shared" si="37"/>
        <v>0.63346333333333338</v>
      </c>
      <c r="AY15" s="1">
        <f t="shared" si="38"/>
        <v>24</v>
      </c>
      <c r="AZ15" s="1">
        <f t="shared" si="39"/>
        <v>6</v>
      </c>
      <c r="BC15" s="1">
        <f t="shared" si="40"/>
        <v>1.7001299999999993</v>
      </c>
      <c r="BD15" s="1">
        <f t="shared" si="41"/>
        <v>125</v>
      </c>
      <c r="BE15" s="1">
        <f t="shared" si="42"/>
        <v>6</v>
      </c>
      <c r="BH15" s="1" t="str">
        <f t="shared" si="43"/>
        <v/>
      </c>
      <c r="BI15" s="1" t="str">
        <f>IF(A15="","",IF(BH15="","",RANK(BH15,$BH$3:$BH165,1)))</f>
        <v/>
      </c>
      <c r="BJ15" s="1">
        <f t="shared" si="44"/>
        <v>6</v>
      </c>
      <c r="BM15" s="1">
        <f t="shared" si="45"/>
        <v>0.63687499999999997</v>
      </c>
      <c r="BN15" s="1">
        <f>IF(A15="","",IF(BM15="","",RANK(BM15,$BM$3:$BM165,1)))</f>
        <v>33</v>
      </c>
      <c r="BO15" s="1">
        <f t="shared" si="46"/>
        <v>6</v>
      </c>
      <c r="BR15" s="1">
        <f t="shared" si="47"/>
        <v>6</v>
      </c>
      <c r="BS15" s="1" t="str">
        <f t="shared" si="48"/>
        <v>ミカエルシチー　　　　　　　　　　　</v>
      </c>
      <c r="BT15" s="25">
        <v>13</v>
      </c>
      <c r="BU15" s="1" t="str">
        <f>IFERROR(IF($A15="","",VLOOKUP(BT15,$BR$3:BT$300,2,FALSE)),"")</f>
        <v/>
      </c>
      <c r="BV15" s="4" t="str">
        <f t="shared" si="49"/>
        <v>未検出</v>
      </c>
      <c r="BW15" s="4">
        <f t="shared" si="50"/>
        <v>13</v>
      </c>
      <c r="BX15" s="4">
        <f t="array" ref="BX15">IFERROR(VALUE(INDEX(BW:BW,SMALL(IF($BW$3:$BW$20&lt;&gt;"",ROW($BW$3:$BW$20),999),ROW(A13)))&amp;""),"")</f>
        <v>13</v>
      </c>
      <c r="BY15" s="4" t="str">
        <f t="shared" si="51"/>
        <v>未検出</v>
      </c>
      <c r="BZ15" s="1">
        <f t="shared" si="0"/>
        <v>13</v>
      </c>
      <c r="CA15" s="1" t="str">
        <f t="array" ref="CA15">IFERROR(VALUE(INDEX(BZ:BZ,SMALL(IF($BZ$3:$BZ$20&lt;&gt;"",ROW($BZ$3:$BZ$20),999),ROW(A13)))&amp;""),"")</f>
        <v/>
      </c>
      <c r="CD15" s="1" t="str">
        <f t="shared" si="52"/>
        <v/>
      </c>
      <c r="CE15" s="1" t="str">
        <f>IF(A15="","",IF(CD15="","",RANK(CD15,$CD$3:$CD165,1)))</f>
        <v/>
      </c>
      <c r="CF15" s="1">
        <f t="shared" si="53"/>
        <v>6</v>
      </c>
      <c r="CI15" s="1" t="str">
        <f t="shared" si="54"/>
        <v/>
      </c>
      <c r="CJ15" s="1" t="str">
        <f>IF(A15="","",IF(CI15="","",RANK(CI15,$CI$3:$CI165,1)))</f>
        <v/>
      </c>
      <c r="CK15" s="1">
        <f t="shared" si="55"/>
        <v>6</v>
      </c>
      <c r="CN15" s="1" t="str">
        <f t="shared" si="56"/>
        <v/>
      </c>
      <c r="CO15" s="1" t="str">
        <f>IF(A15="","",IF(CN15="","",RANK(CN15,$CN$3:$CN165,1)))</f>
        <v/>
      </c>
      <c r="CP15" s="1">
        <f t="shared" si="57"/>
        <v>6</v>
      </c>
      <c r="CS15" s="1" t="str">
        <f t="shared" si="58"/>
        <v/>
      </c>
      <c r="CT15" s="1" t="str">
        <f>IF(A15="","",IF(CS15="","",RANK(CS15,$CS$3:$CS165,1)))</f>
        <v/>
      </c>
      <c r="CU15" s="1">
        <f t="shared" si="59"/>
        <v>6</v>
      </c>
      <c r="CX15" s="1" t="str">
        <f t="shared" si="60"/>
        <v/>
      </c>
      <c r="CY15" s="1" t="str">
        <f>IF(CX15="","",IF(A15="","",RANK(CX15,$CX$3:$CX165,1)))</f>
        <v/>
      </c>
      <c r="CZ15" s="1">
        <f t="shared" si="61"/>
        <v>6</v>
      </c>
      <c r="DC15" s="1" t="str">
        <f t="shared" si="62"/>
        <v/>
      </c>
      <c r="DD15" s="1" t="str">
        <f>IF(DC15="","",IF(A15="","",RANK(DC15,$DC$3:$DC165,1)))</f>
        <v/>
      </c>
      <c r="DE15" s="1">
        <f t="shared" si="63"/>
        <v>6</v>
      </c>
      <c r="DH15" s="1" t="str">
        <f t="shared" si="64"/>
        <v/>
      </c>
      <c r="DI15" s="1" t="str">
        <f>IF(DH15="","",IF(A15="","",RANK(DH15,$DH$3:$DH165,1)))</f>
        <v/>
      </c>
      <c r="DJ15" s="1">
        <f t="shared" si="65"/>
        <v>6</v>
      </c>
      <c r="DM15" s="1" t="str">
        <f t="shared" si="66"/>
        <v/>
      </c>
      <c r="DN15" s="1" t="str">
        <f>IF(DM15="","",IF(A15="","",RANK(DM15,$DM$3:$DM165,1)))</f>
        <v/>
      </c>
      <c r="DO15" s="1">
        <f t="shared" si="67"/>
        <v>6</v>
      </c>
      <c r="DR15" s="1">
        <f t="shared" si="68"/>
        <v>14.10013</v>
      </c>
      <c r="DS15" s="1">
        <f>IF(DR15="","",IF(A15="","",RANK(DR15,$DR$3:$DR165,1)))</f>
        <v>9</v>
      </c>
      <c r="DT15" s="1">
        <f t="shared" si="69"/>
        <v>6</v>
      </c>
      <c r="DW15" s="1">
        <f t="shared" si="70"/>
        <v>13.60013</v>
      </c>
      <c r="DX15" s="1">
        <f>IF(DW15="","",IF(A15="","",RANK(DW15,$DW$3:$DW165,1)))</f>
        <v>45</v>
      </c>
      <c r="DY15" s="1">
        <f t="shared" si="71"/>
        <v>6</v>
      </c>
      <c r="EB15" s="1">
        <f t="shared" si="72"/>
        <v>12.400130000000001</v>
      </c>
      <c r="EC15" s="1">
        <f>IF(EB15="","",IF(A15="","",RANK(EB15,$EB$3:$EB165,1)))</f>
        <v>33</v>
      </c>
      <c r="ED15" s="1">
        <f t="shared" si="73"/>
        <v>6</v>
      </c>
      <c r="EG15" s="1">
        <f t="shared" si="74"/>
        <v>12.20013</v>
      </c>
      <c r="EH15" s="1">
        <f>IF(EG15="","",IF(A15="","",RANK(EG15,$EG$3:$EG165,1)))</f>
        <v>13</v>
      </c>
      <c r="EI15" s="1">
        <f t="shared" si="75"/>
        <v>6</v>
      </c>
      <c r="EU15" s="13">
        <v>13</v>
      </c>
      <c r="EV15" s="1" t="str">
        <f t="shared" si="1"/>
        <v/>
      </c>
      <c r="EW15" s="4" t="str">
        <f t="shared" si="1"/>
        <v>未検出</v>
      </c>
      <c r="EX15" s="4">
        <f t="shared" si="2"/>
        <v>13</v>
      </c>
      <c r="EY15" s="4" t="str">
        <f t="shared" si="2"/>
        <v>未検出</v>
      </c>
      <c r="EZ15" s="4"/>
      <c r="FA15" s="1">
        <f t="shared" si="76"/>
        <v>7</v>
      </c>
      <c r="FB15" s="1">
        <f t="shared" si="77"/>
        <v>2</v>
      </c>
      <c r="FC15" s="1">
        <f t="shared" si="78"/>
        <v>7</v>
      </c>
      <c r="FD15" s="1">
        <f t="shared" si="79"/>
        <v>1</v>
      </c>
      <c r="FE15" s="1">
        <f t="shared" si="80"/>
        <v>9</v>
      </c>
      <c r="FF15" s="1">
        <f t="shared" si="81"/>
        <v>6</v>
      </c>
      <c r="FG15" s="1">
        <f t="shared" si="82"/>
        <v>7</v>
      </c>
      <c r="FH15" s="1">
        <f t="shared" si="83"/>
        <v>7</v>
      </c>
      <c r="FI15" s="1">
        <f t="shared" si="84"/>
        <v>1</v>
      </c>
    </row>
    <row r="16" spans="1:183" ht="18.75">
      <c r="A16" s="1" t="s">
        <v>88</v>
      </c>
      <c r="B16" s="1">
        <v>20190612</v>
      </c>
      <c r="C16" s="1" t="s">
        <v>98</v>
      </c>
      <c r="D16" s="1">
        <v>9</v>
      </c>
      <c r="E16" s="30">
        <v>54.7</v>
      </c>
      <c r="F16" s="30">
        <v>37.799999999999997</v>
      </c>
      <c r="G16" s="30">
        <v>24.3</v>
      </c>
      <c r="H16" s="30">
        <v>12.2</v>
      </c>
      <c r="I16" s="30">
        <v>16.899999999999999</v>
      </c>
      <c r="J16" s="30">
        <v>13.5</v>
      </c>
      <c r="K16" s="30">
        <v>12.1</v>
      </c>
      <c r="L16" s="30">
        <v>12.2</v>
      </c>
      <c r="M16" s="1" t="str">
        <f t="shared" si="13"/>
        <v>2019/06/12</v>
      </c>
      <c r="N16" s="4" t="str">
        <f t="shared" si="14"/>
        <v/>
      </c>
      <c r="O16">
        <v>1.4000000000000001E-4</v>
      </c>
      <c r="P16" s="1" t="str">
        <f t="shared" si="15"/>
        <v/>
      </c>
      <c r="Q16" s="1" t="str">
        <f t="shared" si="16"/>
        <v/>
      </c>
      <c r="R16" s="1">
        <f t="shared" si="17"/>
        <v>9</v>
      </c>
      <c r="U16" s="1">
        <f t="shared" si="18"/>
        <v>54.700140000000005</v>
      </c>
      <c r="V16" s="1">
        <f t="shared" si="19"/>
        <v>67</v>
      </c>
      <c r="W16" s="1">
        <f t="shared" si="20"/>
        <v>9</v>
      </c>
      <c r="Z16" s="1" t="str">
        <f t="shared" si="21"/>
        <v/>
      </c>
      <c r="AA16" s="1" t="str">
        <f t="shared" si="22"/>
        <v/>
      </c>
      <c r="AB16" s="1">
        <f t="shared" si="23"/>
        <v>9</v>
      </c>
      <c r="AE16" s="1">
        <f t="shared" si="24"/>
        <v>37.800139999999999</v>
      </c>
      <c r="AF16" s="1">
        <f t="shared" si="25"/>
        <v>16</v>
      </c>
      <c r="AG16" s="1">
        <f t="shared" si="26"/>
        <v>9</v>
      </c>
      <c r="AJ16" s="1" t="str">
        <f t="shared" si="27"/>
        <v/>
      </c>
      <c r="AK16" s="1" t="str">
        <f t="shared" si="28"/>
        <v/>
      </c>
      <c r="AL16" s="1">
        <f t="shared" si="29"/>
        <v>9</v>
      </c>
      <c r="AO16" s="1">
        <f t="shared" si="30"/>
        <v>24.300139999999999</v>
      </c>
      <c r="AP16" s="1">
        <f t="shared" si="31"/>
        <v>2</v>
      </c>
      <c r="AQ16" s="1">
        <f t="shared" si="32"/>
        <v>9</v>
      </c>
      <c r="AT16" s="1">
        <f t="shared" si="33"/>
        <v>3.3999999999999986</v>
      </c>
      <c r="AU16" s="1">
        <f t="shared" si="34"/>
        <v>1.4000000000000004</v>
      </c>
      <c r="AV16" s="1">
        <f t="shared" si="35"/>
        <v>-9.9999999999999645E-2</v>
      </c>
      <c r="AW16" s="1">
        <f t="shared" si="36"/>
        <v>4.6999999999999993</v>
      </c>
      <c r="AX16" s="1">
        <f t="shared" si="37"/>
        <v>0</v>
      </c>
      <c r="AY16" s="1">
        <f t="shared" si="38"/>
        <v>25</v>
      </c>
      <c r="AZ16" s="1">
        <f t="shared" si="39"/>
        <v>9</v>
      </c>
      <c r="BC16" s="1">
        <f t="shared" si="40"/>
        <v>4.800139999999999</v>
      </c>
      <c r="BD16" s="1">
        <f t="shared" si="41"/>
        <v>10</v>
      </c>
      <c r="BE16" s="1">
        <f t="shared" si="42"/>
        <v>9</v>
      </c>
      <c r="BH16" s="1" t="str">
        <f t="shared" si="43"/>
        <v/>
      </c>
      <c r="BI16" s="1" t="str">
        <f>IF(A16="","",IF(BH16="","",RANK(BH16,$BH$3:$BH166,1)))</f>
        <v/>
      </c>
      <c r="BJ16" s="1">
        <f t="shared" si="44"/>
        <v>9</v>
      </c>
      <c r="BM16" s="1">
        <f t="shared" si="45"/>
        <v>3.7718749999999659</v>
      </c>
      <c r="BN16" s="1">
        <f>IF(A16="","",IF(BM16="","",RANK(BM16,$BM$3:$BM166,1)))</f>
        <v>140</v>
      </c>
      <c r="BO16" s="1">
        <f t="shared" si="46"/>
        <v>9</v>
      </c>
      <c r="BR16" s="1">
        <f t="shared" si="47"/>
        <v>9</v>
      </c>
      <c r="BS16" s="1" t="str">
        <f t="shared" si="48"/>
        <v>メイショウイサナ　　　　　　　　　　</v>
      </c>
      <c r="BT16" s="25">
        <v>14</v>
      </c>
      <c r="BU16" s="1" t="str">
        <f>IFERROR(IF($A16="","",VLOOKUP(BT16,$BR$3:BT$300,2,FALSE)),"")</f>
        <v/>
      </c>
      <c r="BV16" s="4" t="str">
        <f t="shared" si="49"/>
        <v>未検出</v>
      </c>
      <c r="BW16" s="4">
        <f t="shared" si="50"/>
        <v>14</v>
      </c>
      <c r="BX16" s="4">
        <f t="array" ref="BX16">IFERROR(VALUE(INDEX(BW:BW,SMALL(IF($BW$3:$BW$20&lt;&gt;"",ROW($BW$3:$BW$20),999),ROW(A14)))&amp;""),"")</f>
        <v>14</v>
      </c>
      <c r="BY16" s="4" t="str">
        <f t="shared" si="51"/>
        <v>未検出</v>
      </c>
      <c r="BZ16" s="1">
        <f t="shared" si="0"/>
        <v>14</v>
      </c>
      <c r="CA16" s="1" t="str">
        <f t="array" ref="CA16">IFERROR(VALUE(INDEX(BZ:BZ,SMALL(IF($BZ$3:$BZ$20&lt;&gt;"",ROW($BZ$3:$BZ$20),999),ROW(A14)))&amp;""),"")</f>
        <v/>
      </c>
      <c r="CD16" s="1" t="str">
        <f t="shared" si="52"/>
        <v/>
      </c>
      <c r="CE16" s="1" t="str">
        <f>IF(A16="","",IF(CD16="","",RANK(CD16,$CD$3:$CD166,1)))</f>
        <v/>
      </c>
      <c r="CF16" s="1">
        <f t="shared" si="53"/>
        <v>9</v>
      </c>
      <c r="CI16" s="1" t="str">
        <f t="shared" si="54"/>
        <v/>
      </c>
      <c r="CJ16" s="1" t="str">
        <f>IF(A16="","",IF(CI16="","",RANK(CI16,$CI$3:$CI166,1)))</f>
        <v/>
      </c>
      <c r="CK16" s="1">
        <f t="shared" si="55"/>
        <v>9</v>
      </c>
      <c r="CN16" s="1" t="str">
        <f t="shared" si="56"/>
        <v/>
      </c>
      <c r="CO16" s="1" t="str">
        <f>IF(A16="","",IF(CN16="","",RANK(CN16,$CN$3:$CN166,1)))</f>
        <v/>
      </c>
      <c r="CP16" s="1">
        <f t="shared" si="57"/>
        <v>9</v>
      </c>
      <c r="CS16" s="1" t="str">
        <f t="shared" si="58"/>
        <v/>
      </c>
      <c r="CT16" s="1" t="str">
        <f>IF(A16="","",IF(CS16="","",RANK(CS16,$CS$3:$CS166,1)))</f>
        <v/>
      </c>
      <c r="CU16" s="1">
        <f t="shared" si="59"/>
        <v>9</v>
      </c>
      <c r="CX16" s="1" t="str">
        <f t="shared" si="60"/>
        <v/>
      </c>
      <c r="CY16" s="1" t="str">
        <f>IF(CX16="","",IF(A16="","",RANK(CX16,$CX$3:$CX166,1)))</f>
        <v/>
      </c>
      <c r="CZ16" s="1">
        <f t="shared" si="61"/>
        <v>9</v>
      </c>
      <c r="DC16" s="1" t="str">
        <f t="shared" si="62"/>
        <v/>
      </c>
      <c r="DD16" s="1" t="str">
        <f>IF(DC16="","",IF(A16="","",RANK(DC16,$DC$3:$DC166,1)))</f>
        <v/>
      </c>
      <c r="DE16" s="1">
        <f t="shared" si="63"/>
        <v>9</v>
      </c>
      <c r="DH16" s="1" t="str">
        <f t="shared" si="64"/>
        <v/>
      </c>
      <c r="DI16" s="1" t="str">
        <f>IF(DH16="","",IF(A16="","",RANK(DH16,$DH$3:$DH166,1)))</f>
        <v/>
      </c>
      <c r="DJ16" s="1">
        <f t="shared" si="65"/>
        <v>9</v>
      </c>
      <c r="DM16" s="1" t="str">
        <f t="shared" si="66"/>
        <v/>
      </c>
      <c r="DN16" s="1" t="str">
        <f>IF(DM16="","",IF(A16="","",RANK(DM16,$DM$3:$DM166,1)))</f>
        <v/>
      </c>
      <c r="DO16" s="1">
        <f t="shared" si="67"/>
        <v>9</v>
      </c>
      <c r="DR16" s="1">
        <f t="shared" si="68"/>
        <v>16.900139999999997</v>
      </c>
      <c r="DS16" s="1">
        <f>IF(DR16="","",IF(A16="","",RANK(DR16,$DR$3:$DR166,1)))</f>
        <v>122</v>
      </c>
      <c r="DT16" s="1">
        <f t="shared" si="69"/>
        <v>9</v>
      </c>
      <c r="DW16" s="1">
        <f t="shared" si="70"/>
        <v>13.50014</v>
      </c>
      <c r="DX16" s="1">
        <f>IF(DW16="","",IF(A16="","",RANK(DW16,$DW$3:$DW166,1)))</f>
        <v>37</v>
      </c>
      <c r="DY16" s="1">
        <f t="shared" si="71"/>
        <v>9</v>
      </c>
      <c r="EB16" s="1">
        <f t="shared" si="72"/>
        <v>12.10014</v>
      </c>
      <c r="EC16" s="1">
        <f>IF(EB16="","",IF(A16="","",RANK(EB16,$EB$3:$EB166,1)))</f>
        <v>13</v>
      </c>
      <c r="ED16" s="1">
        <f t="shared" si="73"/>
        <v>9</v>
      </c>
      <c r="EG16" s="1">
        <f t="shared" si="74"/>
        <v>12.200139999999999</v>
      </c>
      <c r="EH16" s="1">
        <f>IF(EG16="","",IF(A16="","",RANK(EG16,$EG$3:$EG166,1)))</f>
        <v>14</v>
      </c>
      <c r="EI16" s="1">
        <f t="shared" si="75"/>
        <v>9</v>
      </c>
      <c r="EU16" s="13">
        <v>14</v>
      </c>
      <c r="EV16" s="1" t="str">
        <f t="shared" si="1"/>
        <v/>
      </c>
      <c r="EW16" s="4" t="str">
        <f t="shared" si="1"/>
        <v>未検出</v>
      </c>
      <c r="EX16" s="4">
        <f t="shared" si="2"/>
        <v>14</v>
      </c>
      <c r="EY16" s="4" t="str">
        <f t="shared" si="2"/>
        <v>未検出</v>
      </c>
      <c r="EZ16" s="4"/>
      <c r="FA16" s="1">
        <f t="shared" si="76"/>
        <v>4</v>
      </c>
      <c r="FB16" s="1" t="str">
        <f t="shared" si="77"/>
        <v/>
      </c>
      <c r="FC16" s="1">
        <f t="shared" si="78"/>
        <v>6</v>
      </c>
      <c r="FD16" s="1">
        <f t="shared" si="79"/>
        <v>5</v>
      </c>
      <c r="FE16" s="1">
        <f t="shared" si="80"/>
        <v>6</v>
      </c>
      <c r="FF16" s="1">
        <f t="shared" si="81"/>
        <v>7</v>
      </c>
      <c r="FG16" s="1">
        <f t="shared" si="82"/>
        <v>7</v>
      </c>
      <c r="FH16" s="1">
        <f t="shared" si="83"/>
        <v>7</v>
      </c>
      <c r="FI16" s="1">
        <f t="shared" si="84"/>
        <v>2</v>
      </c>
    </row>
    <row r="17" spans="1:171" ht="18.75">
      <c r="A17" s="1" t="s">
        <v>88</v>
      </c>
      <c r="B17" s="1">
        <v>20190619</v>
      </c>
      <c r="C17" s="1" t="s">
        <v>90</v>
      </c>
      <c r="D17" s="1">
        <v>1</v>
      </c>
      <c r="E17" s="30">
        <v>53.9</v>
      </c>
      <c r="F17" s="30">
        <v>38.1</v>
      </c>
      <c r="G17" s="30">
        <v>24.4</v>
      </c>
      <c r="H17" s="30">
        <v>12.2</v>
      </c>
      <c r="I17" s="30">
        <v>15.8</v>
      </c>
      <c r="J17" s="30">
        <v>13.7</v>
      </c>
      <c r="K17" s="30">
        <v>12.2</v>
      </c>
      <c r="L17" s="30">
        <v>12.2</v>
      </c>
      <c r="M17" s="1" t="str">
        <f t="shared" si="13"/>
        <v>2019/06/19</v>
      </c>
      <c r="N17" s="4" t="str">
        <f t="shared" si="14"/>
        <v/>
      </c>
      <c r="O17">
        <v>1.5000000000000001E-4</v>
      </c>
      <c r="P17" s="1" t="str">
        <f t="shared" si="15"/>
        <v/>
      </c>
      <c r="Q17" s="1" t="str">
        <f t="shared" si="16"/>
        <v/>
      </c>
      <c r="R17" s="1">
        <f t="shared" si="17"/>
        <v>1</v>
      </c>
      <c r="U17" s="1">
        <f t="shared" si="18"/>
        <v>53.900149999999996</v>
      </c>
      <c r="V17" s="1">
        <f t="shared" si="19"/>
        <v>40</v>
      </c>
      <c r="W17" s="1">
        <f t="shared" si="20"/>
        <v>1</v>
      </c>
      <c r="Z17" s="1" t="str">
        <f t="shared" si="21"/>
        <v/>
      </c>
      <c r="AA17" s="1" t="str">
        <f t="shared" si="22"/>
        <v/>
      </c>
      <c r="AB17" s="1">
        <f t="shared" si="23"/>
        <v>1</v>
      </c>
      <c r="AE17" s="1">
        <f t="shared" si="24"/>
        <v>38.100149999999999</v>
      </c>
      <c r="AF17" s="1">
        <f t="shared" si="25"/>
        <v>21</v>
      </c>
      <c r="AG17" s="1">
        <f t="shared" si="26"/>
        <v>1</v>
      </c>
      <c r="AJ17" s="1" t="str">
        <f t="shared" si="27"/>
        <v/>
      </c>
      <c r="AK17" s="1" t="str">
        <f t="shared" si="28"/>
        <v/>
      </c>
      <c r="AL17" s="1">
        <f t="shared" si="29"/>
        <v>1</v>
      </c>
      <c r="AO17" s="1">
        <f t="shared" si="30"/>
        <v>24.40015</v>
      </c>
      <c r="AP17" s="1">
        <f t="shared" si="31"/>
        <v>4</v>
      </c>
      <c r="AQ17" s="1">
        <f t="shared" si="32"/>
        <v>1</v>
      </c>
      <c r="AT17" s="1">
        <f t="shared" si="33"/>
        <v>2.1000000000000014</v>
      </c>
      <c r="AU17" s="1">
        <f t="shared" si="34"/>
        <v>1.5</v>
      </c>
      <c r="AV17" s="1">
        <f t="shared" si="35"/>
        <v>0</v>
      </c>
      <c r="AW17" s="1">
        <f t="shared" si="36"/>
        <v>3.6000000000000014</v>
      </c>
      <c r="AX17" s="1">
        <f t="shared" si="37"/>
        <v>1.2001500000000005</v>
      </c>
      <c r="AY17" s="1">
        <f t="shared" si="38"/>
        <v>11</v>
      </c>
      <c r="AZ17" s="1">
        <f t="shared" si="39"/>
        <v>1</v>
      </c>
      <c r="BC17" s="1">
        <f t="shared" si="40"/>
        <v>3.6001500000000015</v>
      </c>
      <c r="BD17" s="1">
        <f t="shared" si="41"/>
        <v>34</v>
      </c>
      <c r="BE17" s="1">
        <f t="shared" si="42"/>
        <v>1</v>
      </c>
      <c r="BH17" s="1" t="str">
        <f t="shared" si="43"/>
        <v/>
      </c>
      <c r="BI17" s="1" t="str">
        <f>IF(A17="","",IF(BH17="","",RANK(BH17,$BH$3:$BH167,1)))</f>
        <v/>
      </c>
      <c r="BJ17" s="1">
        <f t="shared" si="44"/>
        <v>1</v>
      </c>
      <c r="BM17" s="1">
        <f t="shared" si="45"/>
        <v>2.176874999999967</v>
      </c>
      <c r="BN17" s="1">
        <f>IF(A17="","",IF(BM17="","",RANK(BM17,$BM$3:$BM167,1)))</f>
        <v>114</v>
      </c>
      <c r="BO17" s="1">
        <f t="shared" si="46"/>
        <v>1</v>
      </c>
      <c r="BR17" s="1">
        <f t="shared" si="47"/>
        <v>1</v>
      </c>
      <c r="BS17" s="1" t="str">
        <f t="shared" si="48"/>
        <v>コウエイダリア　　　　　　　　　　　</v>
      </c>
      <c r="BT17" s="25">
        <v>15</v>
      </c>
      <c r="BU17" s="1" t="str">
        <f>IFERROR(IF($A17="","",VLOOKUP(BT17,$BR$3:BT$300,2,FALSE)),"")</f>
        <v/>
      </c>
      <c r="BV17" s="4" t="str">
        <f t="shared" si="49"/>
        <v>未検出</v>
      </c>
      <c r="BW17" s="4">
        <f t="shared" si="50"/>
        <v>15</v>
      </c>
      <c r="BX17" s="4">
        <f t="array" ref="BX17">IFERROR(VALUE(INDEX(BW:BW,SMALL(IF($BW$3:$BW$20&lt;&gt;"",ROW($BW$3:$BW$20),999),ROW(A15)))&amp;""),"")</f>
        <v>15</v>
      </c>
      <c r="BY17" s="4" t="str">
        <f t="shared" si="51"/>
        <v>未検出</v>
      </c>
      <c r="BZ17" s="1">
        <f t="shared" si="0"/>
        <v>15</v>
      </c>
      <c r="CA17" s="1" t="str">
        <f t="array" ref="CA17">IFERROR(VALUE(INDEX(BZ:BZ,SMALL(IF($BZ$3:$BZ$20&lt;&gt;"",ROW($BZ$3:$BZ$20),999),ROW(A15)))&amp;""),"")</f>
        <v/>
      </c>
      <c r="CD17" s="1" t="str">
        <f t="shared" si="52"/>
        <v/>
      </c>
      <c r="CE17" s="1" t="str">
        <f>IF(A17="","",IF(CD17="","",RANK(CD17,$CD$3:$CD167,1)))</f>
        <v/>
      </c>
      <c r="CF17" s="1">
        <f t="shared" si="53"/>
        <v>1</v>
      </c>
      <c r="CI17" s="1" t="str">
        <f t="shared" si="54"/>
        <v/>
      </c>
      <c r="CJ17" s="1" t="str">
        <f>IF(A17="","",IF(CI17="","",RANK(CI17,$CI$3:$CI167,1)))</f>
        <v/>
      </c>
      <c r="CK17" s="1">
        <f t="shared" si="55"/>
        <v>1</v>
      </c>
      <c r="CN17" s="1" t="str">
        <f t="shared" si="56"/>
        <v/>
      </c>
      <c r="CO17" s="1" t="str">
        <f>IF(A17="","",IF(CN17="","",RANK(CN17,$CN$3:$CN167,1)))</f>
        <v/>
      </c>
      <c r="CP17" s="1">
        <f t="shared" si="57"/>
        <v>1</v>
      </c>
      <c r="CS17" s="1" t="str">
        <f t="shared" si="58"/>
        <v/>
      </c>
      <c r="CT17" s="1" t="str">
        <f>IF(A17="","",IF(CS17="","",RANK(CS17,$CS$3:$CS167,1)))</f>
        <v/>
      </c>
      <c r="CU17" s="1">
        <f t="shared" si="59"/>
        <v>1</v>
      </c>
      <c r="CX17" s="1" t="str">
        <f t="shared" si="60"/>
        <v/>
      </c>
      <c r="CY17" s="1" t="str">
        <f>IF(CX17="","",IF(A17="","",RANK(CX17,$CX$3:$CX167,1)))</f>
        <v/>
      </c>
      <c r="CZ17" s="1">
        <f t="shared" si="61"/>
        <v>1</v>
      </c>
      <c r="DC17" s="1" t="str">
        <f t="shared" si="62"/>
        <v/>
      </c>
      <c r="DD17" s="1" t="str">
        <f>IF(DC17="","",IF(A17="","",RANK(DC17,$DC$3:$DC167,1)))</f>
        <v/>
      </c>
      <c r="DE17" s="1">
        <f t="shared" si="63"/>
        <v>1</v>
      </c>
      <c r="DH17" s="1" t="str">
        <f t="shared" si="64"/>
        <v/>
      </c>
      <c r="DI17" s="1" t="str">
        <f>IF(DH17="","",IF(A17="","",RANK(DH17,$DH$3:$DH167,1)))</f>
        <v/>
      </c>
      <c r="DJ17" s="1">
        <f t="shared" si="65"/>
        <v>1</v>
      </c>
      <c r="DM17" s="1" t="str">
        <f t="shared" si="66"/>
        <v/>
      </c>
      <c r="DN17" s="1" t="str">
        <f>IF(DM17="","",IF(A17="","",RANK(DM17,$DM$3:$DM167,1)))</f>
        <v/>
      </c>
      <c r="DO17" s="1">
        <f t="shared" si="67"/>
        <v>1</v>
      </c>
      <c r="DR17" s="1">
        <f t="shared" si="68"/>
        <v>15.80015</v>
      </c>
      <c r="DS17" s="1">
        <f>IF(DR17="","",IF(A17="","",RANK(DR17,$DR$3:$DR167,1)))</f>
        <v>88</v>
      </c>
      <c r="DT17" s="1">
        <f t="shared" si="69"/>
        <v>1</v>
      </c>
      <c r="DW17" s="1">
        <f t="shared" si="70"/>
        <v>13.700149999999999</v>
      </c>
      <c r="DX17" s="1">
        <f>IF(DW17="","",IF(A17="","",RANK(DW17,$DW$3:$DW167,1)))</f>
        <v>52</v>
      </c>
      <c r="DY17" s="1">
        <f t="shared" si="71"/>
        <v>1</v>
      </c>
      <c r="EB17" s="1">
        <f t="shared" si="72"/>
        <v>12.200149999999999</v>
      </c>
      <c r="EC17" s="1">
        <f>IF(EB17="","",IF(A17="","",RANK(EB17,$EB$3:$EB167,1)))</f>
        <v>15</v>
      </c>
      <c r="ED17" s="1">
        <f t="shared" si="73"/>
        <v>1</v>
      </c>
      <c r="EG17" s="1">
        <f t="shared" si="74"/>
        <v>12.200149999999999</v>
      </c>
      <c r="EH17" s="1">
        <f>IF(EG17="","",IF(A17="","",RANK(EG17,$EG$3:$EG167,1)))</f>
        <v>15</v>
      </c>
      <c r="EI17" s="1">
        <f t="shared" si="75"/>
        <v>1</v>
      </c>
      <c r="EU17" s="13">
        <v>15</v>
      </c>
      <c r="EV17" s="1" t="str">
        <f t="shared" si="1"/>
        <v/>
      </c>
      <c r="EW17" s="4" t="str">
        <f t="shared" si="1"/>
        <v>未検出</v>
      </c>
      <c r="EX17" s="4">
        <f t="shared" si="2"/>
        <v>15</v>
      </c>
      <c r="EY17" s="4" t="str">
        <f t="shared" si="2"/>
        <v>未検出</v>
      </c>
      <c r="EZ17" s="4"/>
      <c r="FA17" s="1">
        <f t="shared" si="76"/>
        <v>1</v>
      </c>
      <c r="FB17" s="1">
        <f t="shared" si="77"/>
        <v>8</v>
      </c>
      <c r="FC17" s="1">
        <f t="shared" si="78"/>
        <v>7</v>
      </c>
      <c r="FD17" s="1">
        <f t="shared" si="79"/>
        <v>7</v>
      </c>
      <c r="FE17" s="1">
        <f t="shared" si="80"/>
        <v>1</v>
      </c>
      <c r="FF17" s="1">
        <f t="shared" si="81"/>
        <v>1</v>
      </c>
      <c r="FG17" s="1">
        <f t="shared" si="82"/>
        <v>7</v>
      </c>
      <c r="FH17" s="1">
        <f t="shared" si="83"/>
        <v>7</v>
      </c>
      <c r="FI17" s="1">
        <f t="shared" si="84"/>
        <v>6</v>
      </c>
    </row>
    <row r="18" spans="1:171" ht="18.75">
      <c r="A18" s="1" t="s">
        <v>88</v>
      </c>
      <c r="B18" s="1">
        <v>20190619</v>
      </c>
      <c r="C18" s="1" t="s">
        <v>98</v>
      </c>
      <c r="D18" s="1">
        <v>9</v>
      </c>
      <c r="E18" s="30">
        <v>54.4</v>
      </c>
      <c r="F18" s="30">
        <v>38.6</v>
      </c>
      <c r="G18" s="30">
        <v>24.9</v>
      </c>
      <c r="H18" s="30">
        <v>12.2</v>
      </c>
      <c r="I18" s="30">
        <v>15.8</v>
      </c>
      <c r="J18" s="30">
        <v>13.7</v>
      </c>
      <c r="K18" s="30">
        <v>12.7</v>
      </c>
      <c r="L18" s="30">
        <v>12.2</v>
      </c>
      <c r="M18" s="1" t="str">
        <f t="shared" si="13"/>
        <v>2019/06/19</v>
      </c>
      <c r="N18" s="4" t="str">
        <f t="shared" si="14"/>
        <v/>
      </c>
      <c r="O18">
        <v>1.6000000000000001E-4</v>
      </c>
      <c r="P18" s="1" t="str">
        <f t="shared" si="15"/>
        <v/>
      </c>
      <c r="Q18" s="1" t="str">
        <f t="shared" si="16"/>
        <v/>
      </c>
      <c r="R18" s="1">
        <f t="shared" si="17"/>
        <v>9</v>
      </c>
      <c r="U18" s="1">
        <f t="shared" si="18"/>
        <v>54.40016</v>
      </c>
      <c r="V18" s="1">
        <f t="shared" si="19"/>
        <v>52</v>
      </c>
      <c r="W18" s="1">
        <f t="shared" si="20"/>
        <v>9</v>
      </c>
      <c r="Z18" s="1" t="str">
        <f t="shared" si="21"/>
        <v/>
      </c>
      <c r="AA18" s="1" t="str">
        <f t="shared" si="22"/>
        <v/>
      </c>
      <c r="AB18" s="1">
        <f t="shared" si="23"/>
        <v>9</v>
      </c>
      <c r="AE18" s="1">
        <f t="shared" si="24"/>
        <v>38.600160000000002</v>
      </c>
      <c r="AF18" s="1">
        <f t="shared" si="25"/>
        <v>44</v>
      </c>
      <c r="AG18" s="1">
        <f t="shared" si="26"/>
        <v>9</v>
      </c>
      <c r="AJ18" s="1" t="str">
        <f t="shared" si="27"/>
        <v/>
      </c>
      <c r="AK18" s="1" t="str">
        <f t="shared" si="28"/>
        <v/>
      </c>
      <c r="AL18" s="1">
        <f t="shared" si="29"/>
        <v>9</v>
      </c>
      <c r="AO18" s="1">
        <f t="shared" si="30"/>
        <v>24.90016</v>
      </c>
      <c r="AP18" s="1">
        <f t="shared" si="31"/>
        <v>36</v>
      </c>
      <c r="AQ18" s="1">
        <f t="shared" si="32"/>
        <v>9</v>
      </c>
      <c r="AT18" s="1">
        <f t="shared" si="33"/>
        <v>2.1000000000000014</v>
      </c>
      <c r="AU18" s="1">
        <f t="shared" si="34"/>
        <v>1</v>
      </c>
      <c r="AV18" s="1">
        <f t="shared" si="35"/>
        <v>0.5</v>
      </c>
      <c r="AW18" s="1">
        <f t="shared" si="36"/>
        <v>3.6000000000000014</v>
      </c>
      <c r="AX18" s="1">
        <f t="shared" si="37"/>
        <v>1.2001600000000003</v>
      </c>
      <c r="AY18" s="1">
        <f t="shared" si="38"/>
        <v>10</v>
      </c>
      <c r="AZ18" s="1">
        <f t="shared" si="39"/>
        <v>9</v>
      </c>
      <c r="BC18" s="1">
        <f t="shared" si="40"/>
        <v>3.1001600000000016</v>
      </c>
      <c r="BD18" s="1">
        <f t="shared" si="41"/>
        <v>47</v>
      </c>
      <c r="BE18" s="1">
        <f t="shared" si="42"/>
        <v>9</v>
      </c>
      <c r="BH18" s="1" t="str">
        <f t="shared" si="43"/>
        <v/>
      </c>
      <c r="BI18" s="1" t="str">
        <f>IF(A18="","",IF(BH18="","",RANK(BH18,$BH$3:$BH168,1)))</f>
        <v/>
      </c>
      <c r="BJ18" s="1">
        <f t="shared" si="44"/>
        <v>9</v>
      </c>
      <c r="BM18" s="1">
        <f t="shared" si="45"/>
        <v>1.9049999999999727</v>
      </c>
      <c r="BN18" s="1">
        <f>IF(A18="","",IF(BM18="","",RANK(BM18,$BM$3:$BM168,1)))</f>
        <v>104</v>
      </c>
      <c r="BO18" s="1">
        <f t="shared" si="46"/>
        <v>9</v>
      </c>
      <c r="BR18" s="1">
        <f t="shared" si="47"/>
        <v>9</v>
      </c>
      <c r="BS18" s="1" t="str">
        <f t="shared" si="48"/>
        <v>メイショウイサナ　　　　　　　　　　</v>
      </c>
      <c r="BT18" s="25">
        <v>16</v>
      </c>
      <c r="BU18" s="1" t="str">
        <f>IFERROR(IF($A18="","",VLOOKUP(BT18,$BR$3:BT$300,2,FALSE)),"")</f>
        <v/>
      </c>
      <c r="BV18" s="4" t="str">
        <f t="shared" si="49"/>
        <v>未検出</v>
      </c>
      <c r="BW18" s="4">
        <f t="shared" si="50"/>
        <v>16</v>
      </c>
      <c r="BX18" s="4">
        <f t="array" ref="BX18">IFERROR(VALUE(INDEX(BW:BW,SMALL(IF($BW$3:$BW$20&lt;&gt;"",ROW($BW$3:$BW$20),999),ROW(A16)))&amp;""),"")</f>
        <v>16</v>
      </c>
      <c r="BY18" s="4" t="str">
        <f t="shared" si="51"/>
        <v>未検出</v>
      </c>
      <c r="BZ18" s="1">
        <f t="shared" si="0"/>
        <v>16</v>
      </c>
      <c r="CA18" s="1" t="str">
        <f t="array" ref="CA18">IFERROR(VALUE(INDEX(BZ:BZ,SMALL(IF($BZ$3:$BZ$20&lt;&gt;"",ROW($BZ$3:$BZ$20),999),ROW(A16)))&amp;""),"")</f>
        <v/>
      </c>
      <c r="CD18" s="1" t="str">
        <f t="shared" si="52"/>
        <v/>
      </c>
      <c r="CE18" s="1" t="str">
        <f>IF(A18="","",IF(CD18="","",RANK(CD18,$CD$3:$CD168,1)))</f>
        <v/>
      </c>
      <c r="CF18" s="1">
        <f t="shared" si="53"/>
        <v>9</v>
      </c>
      <c r="CI18" s="1" t="str">
        <f t="shared" si="54"/>
        <v/>
      </c>
      <c r="CJ18" s="1" t="str">
        <f>IF(A18="","",IF(CI18="","",RANK(CI18,$CI$3:$CI168,1)))</f>
        <v/>
      </c>
      <c r="CK18" s="1">
        <f t="shared" si="55"/>
        <v>9</v>
      </c>
      <c r="CN18" s="1" t="str">
        <f t="shared" si="56"/>
        <v/>
      </c>
      <c r="CO18" s="1" t="str">
        <f>IF(A18="","",IF(CN18="","",RANK(CN18,$CN$3:$CN168,1)))</f>
        <v/>
      </c>
      <c r="CP18" s="1">
        <f t="shared" si="57"/>
        <v>9</v>
      </c>
      <c r="CS18" s="1" t="str">
        <f t="shared" si="58"/>
        <v/>
      </c>
      <c r="CT18" s="1" t="str">
        <f>IF(A18="","",IF(CS18="","",RANK(CS18,$CS$3:$CS168,1)))</f>
        <v/>
      </c>
      <c r="CU18" s="1">
        <f t="shared" si="59"/>
        <v>9</v>
      </c>
      <c r="CX18" s="1" t="str">
        <f t="shared" si="60"/>
        <v/>
      </c>
      <c r="CY18" s="1" t="str">
        <f>IF(CX18="","",IF(A18="","",RANK(CX18,$CX$3:$CX168,1)))</f>
        <v/>
      </c>
      <c r="CZ18" s="1">
        <f t="shared" si="61"/>
        <v>9</v>
      </c>
      <c r="DC18" s="1" t="str">
        <f t="shared" si="62"/>
        <v/>
      </c>
      <c r="DD18" s="1" t="str">
        <f>IF(DC18="","",IF(A18="","",RANK(DC18,$DC$3:$DC168,1)))</f>
        <v/>
      </c>
      <c r="DE18" s="1">
        <f t="shared" si="63"/>
        <v>9</v>
      </c>
      <c r="DH18" s="1" t="str">
        <f t="shared" si="64"/>
        <v/>
      </c>
      <c r="DI18" s="1" t="str">
        <f>IF(DH18="","",IF(A18="","",RANK(DH18,$DH$3:$DH168,1)))</f>
        <v/>
      </c>
      <c r="DJ18" s="1">
        <f t="shared" si="65"/>
        <v>9</v>
      </c>
      <c r="DM18" s="1" t="str">
        <f t="shared" si="66"/>
        <v/>
      </c>
      <c r="DN18" s="1" t="str">
        <f>IF(DM18="","",IF(A18="","",RANK(DM18,$DM$3:$DM168,1)))</f>
        <v/>
      </c>
      <c r="DO18" s="1">
        <f t="shared" si="67"/>
        <v>9</v>
      </c>
      <c r="DR18" s="1">
        <f t="shared" si="68"/>
        <v>15.80016</v>
      </c>
      <c r="DS18" s="1">
        <f>IF(DR18="","",IF(A18="","",RANK(DR18,$DR$3:$DR168,1)))</f>
        <v>89</v>
      </c>
      <c r="DT18" s="1">
        <f t="shared" si="69"/>
        <v>9</v>
      </c>
      <c r="DW18" s="1">
        <f t="shared" si="70"/>
        <v>13.700159999999999</v>
      </c>
      <c r="DX18" s="1">
        <f>IF(DW18="","",IF(A18="","",RANK(DW18,$DW$3:$DW168,1)))</f>
        <v>53</v>
      </c>
      <c r="DY18" s="1">
        <f t="shared" si="71"/>
        <v>9</v>
      </c>
      <c r="EB18" s="1">
        <f t="shared" si="72"/>
        <v>12.700159999999999</v>
      </c>
      <c r="EC18" s="1">
        <f>IF(EB18="","",IF(A18="","",RANK(EB18,$EB$3:$EB168,1)))</f>
        <v>64</v>
      </c>
      <c r="ED18" s="1">
        <f t="shared" si="73"/>
        <v>9</v>
      </c>
      <c r="EG18" s="1">
        <f t="shared" si="74"/>
        <v>12.200159999999999</v>
      </c>
      <c r="EH18" s="1">
        <f>IF(EG18="","",IF(A18="","",RANK(EG18,$EG$3:$EG168,1)))</f>
        <v>16</v>
      </c>
      <c r="EI18" s="1">
        <f t="shared" si="75"/>
        <v>9</v>
      </c>
      <c r="EU18" s="13">
        <v>16</v>
      </c>
      <c r="EV18" s="1" t="str">
        <f t="shared" si="1"/>
        <v/>
      </c>
      <c r="EW18" s="4" t="str">
        <f t="shared" si="1"/>
        <v>未検出</v>
      </c>
      <c r="EX18" s="4">
        <f t="shared" si="2"/>
        <v>16</v>
      </c>
      <c r="EY18" s="4" t="str">
        <f t="shared" si="2"/>
        <v>未検出</v>
      </c>
      <c r="EZ18" s="4"/>
      <c r="FA18" s="1">
        <f t="shared" si="76"/>
        <v>9</v>
      </c>
      <c r="FB18" s="1">
        <f t="shared" si="77"/>
        <v>6</v>
      </c>
      <c r="FC18" s="1">
        <f t="shared" si="78"/>
        <v>4</v>
      </c>
      <c r="FD18" s="1">
        <f t="shared" si="79"/>
        <v>7</v>
      </c>
      <c r="FE18" s="1">
        <f t="shared" si="80"/>
        <v>7</v>
      </c>
      <c r="FF18" s="1">
        <f t="shared" si="81"/>
        <v>6</v>
      </c>
      <c r="FG18" s="1">
        <f t="shared" si="82"/>
        <v>9</v>
      </c>
      <c r="FH18" s="1">
        <f t="shared" si="83"/>
        <v>1</v>
      </c>
      <c r="FI18" s="1">
        <f t="shared" si="84"/>
        <v>4</v>
      </c>
    </row>
    <row r="19" spans="1:171" ht="18.75">
      <c r="A19" s="1" t="s">
        <v>88</v>
      </c>
      <c r="B19" s="1">
        <v>20190117</v>
      </c>
      <c r="C19" s="1" t="s">
        <v>98</v>
      </c>
      <c r="D19" s="1">
        <v>9</v>
      </c>
      <c r="E19" s="30">
        <v>53</v>
      </c>
      <c r="F19" s="30">
        <v>37.9</v>
      </c>
      <c r="G19" s="30">
        <v>24.6</v>
      </c>
      <c r="H19" s="30">
        <v>12.3</v>
      </c>
      <c r="I19" s="30">
        <v>15.1</v>
      </c>
      <c r="J19" s="30">
        <v>13.3</v>
      </c>
      <c r="K19" s="30">
        <v>12.3</v>
      </c>
      <c r="L19" s="30">
        <v>12.3</v>
      </c>
      <c r="M19" s="1" t="str">
        <f t="shared" si="13"/>
        <v>2019/01/17</v>
      </c>
      <c r="N19" s="4" t="str">
        <f t="shared" si="14"/>
        <v/>
      </c>
      <c r="O19">
        <v>1.7000000000000001E-4</v>
      </c>
      <c r="P19" s="1" t="str">
        <f t="shared" si="15"/>
        <v/>
      </c>
      <c r="Q19" s="1" t="str">
        <f t="shared" si="16"/>
        <v/>
      </c>
      <c r="R19" s="1">
        <f t="shared" si="17"/>
        <v>9</v>
      </c>
      <c r="U19" s="1">
        <f t="shared" si="18"/>
        <v>53.000169999999997</v>
      </c>
      <c r="V19" s="1">
        <f t="shared" si="19"/>
        <v>26</v>
      </c>
      <c r="W19" s="1">
        <f t="shared" si="20"/>
        <v>9</v>
      </c>
      <c r="Z19" s="1" t="str">
        <f t="shared" si="21"/>
        <v/>
      </c>
      <c r="AA19" s="1" t="str">
        <f t="shared" si="22"/>
        <v/>
      </c>
      <c r="AB19" s="1">
        <f t="shared" si="23"/>
        <v>9</v>
      </c>
      <c r="AE19" s="1">
        <f t="shared" si="24"/>
        <v>37.900169999999996</v>
      </c>
      <c r="AF19" s="1">
        <f t="shared" si="25"/>
        <v>19</v>
      </c>
      <c r="AG19" s="1">
        <f t="shared" si="26"/>
        <v>9</v>
      </c>
      <c r="AJ19" s="1" t="str">
        <f t="shared" si="27"/>
        <v/>
      </c>
      <c r="AK19" s="1" t="str">
        <f t="shared" si="28"/>
        <v/>
      </c>
      <c r="AL19" s="1">
        <f t="shared" si="29"/>
        <v>9</v>
      </c>
      <c r="AO19" s="1">
        <f t="shared" si="30"/>
        <v>24.600170000000002</v>
      </c>
      <c r="AP19" s="1">
        <f t="shared" si="31"/>
        <v>14</v>
      </c>
      <c r="AQ19" s="1">
        <f t="shared" si="32"/>
        <v>9</v>
      </c>
      <c r="AT19" s="1">
        <f t="shared" si="33"/>
        <v>1.7999999999999989</v>
      </c>
      <c r="AU19" s="1">
        <f t="shared" si="34"/>
        <v>1</v>
      </c>
      <c r="AV19" s="1">
        <f t="shared" si="35"/>
        <v>0</v>
      </c>
      <c r="AW19" s="1">
        <f t="shared" si="36"/>
        <v>2.7999999999999989</v>
      </c>
      <c r="AX19" s="1">
        <f t="shared" si="37"/>
        <v>0.93350333333333302</v>
      </c>
      <c r="AY19" s="1">
        <f t="shared" si="38"/>
        <v>21</v>
      </c>
      <c r="AZ19" s="1">
        <f t="shared" si="39"/>
        <v>9</v>
      </c>
      <c r="BC19" s="1">
        <f t="shared" si="40"/>
        <v>2.8001699999999987</v>
      </c>
      <c r="BD19" s="1">
        <f t="shared" si="41"/>
        <v>59</v>
      </c>
      <c r="BE19" s="1">
        <f t="shared" si="42"/>
        <v>9</v>
      </c>
      <c r="BH19" s="1" t="str">
        <f t="shared" si="43"/>
        <v/>
      </c>
      <c r="BI19" s="1" t="str">
        <f>IF(A19="","",IF(BH19="","",RANK(BH19,$BH$3:$BH169,1)))</f>
        <v/>
      </c>
      <c r="BJ19" s="1">
        <f t="shared" si="44"/>
        <v>9</v>
      </c>
      <c r="BM19" s="1">
        <f t="shared" si="45"/>
        <v>1.307499999999999</v>
      </c>
      <c r="BN19" s="1">
        <f>IF(A19="","",IF(BM19="","",RANK(BM19,$BM$3:$BM169,1)))</f>
        <v>85</v>
      </c>
      <c r="BO19" s="1">
        <f t="shared" si="46"/>
        <v>9</v>
      </c>
      <c r="BR19" s="1">
        <f t="shared" si="47"/>
        <v>9</v>
      </c>
      <c r="BS19" s="1" t="str">
        <f t="shared" si="48"/>
        <v>メイショウイサナ　　　　　　　　　　</v>
      </c>
      <c r="BT19" s="25">
        <v>17</v>
      </c>
      <c r="BU19" s="1" t="str">
        <f>IFERROR(IF($A19="","",VLOOKUP(BT19,$BR$3:BT$300,2,FALSE)),"")</f>
        <v/>
      </c>
      <c r="BV19" s="4" t="str">
        <f t="shared" si="49"/>
        <v>未検出</v>
      </c>
      <c r="BW19" s="4">
        <f t="shared" si="50"/>
        <v>17</v>
      </c>
      <c r="BX19" s="4">
        <f t="array" ref="BX19">IFERROR(VALUE(INDEX(BW:BW,SMALL(IF($BW$3:$BW$20&lt;&gt;"",ROW($BW$3:$BW$20),999),ROW(A17)))&amp;""),"")</f>
        <v>17</v>
      </c>
      <c r="BY19" s="4" t="str">
        <f t="shared" si="51"/>
        <v>未検出</v>
      </c>
      <c r="BZ19" s="1">
        <f t="shared" si="0"/>
        <v>17</v>
      </c>
      <c r="CA19" s="1" t="str">
        <f t="array" ref="CA19">IFERROR(VALUE(INDEX(BZ:BZ,SMALL(IF($BZ$3:$BZ$20&lt;&gt;"",ROW($BZ$3:$BZ$20),999),ROW(A17)))&amp;""),"")</f>
        <v/>
      </c>
      <c r="CD19" s="1" t="str">
        <f t="shared" si="52"/>
        <v/>
      </c>
      <c r="CE19" s="1" t="str">
        <f>IF(A19="","",IF(CD19="","",RANK(CD19,$CD$3:$CD169,1)))</f>
        <v/>
      </c>
      <c r="CF19" s="1">
        <f t="shared" si="53"/>
        <v>9</v>
      </c>
      <c r="CI19" s="1" t="str">
        <f t="shared" si="54"/>
        <v/>
      </c>
      <c r="CJ19" s="1" t="str">
        <f>IF(A19="","",IF(CI19="","",RANK(CI19,$CI$3:$CI169,1)))</f>
        <v/>
      </c>
      <c r="CK19" s="1">
        <f t="shared" si="55"/>
        <v>9</v>
      </c>
      <c r="CN19" s="1" t="str">
        <f t="shared" si="56"/>
        <v/>
      </c>
      <c r="CO19" s="1" t="str">
        <f>IF(A19="","",IF(CN19="","",RANK(CN19,$CN$3:$CN169,1)))</f>
        <v/>
      </c>
      <c r="CP19" s="1">
        <f t="shared" si="57"/>
        <v>9</v>
      </c>
      <c r="CS19" s="1" t="str">
        <f t="shared" si="58"/>
        <v/>
      </c>
      <c r="CT19" s="1" t="str">
        <f>IF(A19="","",IF(CS19="","",RANK(CS19,$CS$3:$CS169,1)))</f>
        <v/>
      </c>
      <c r="CU19" s="1">
        <f t="shared" si="59"/>
        <v>9</v>
      </c>
      <c r="CX19" s="1" t="str">
        <f t="shared" si="60"/>
        <v/>
      </c>
      <c r="CY19" s="1" t="str">
        <f>IF(CX19="","",IF(A19="","",RANK(CX19,$CX$3:$CX169,1)))</f>
        <v/>
      </c>
      <c r="CZ19" s="1">
        <f t="shared" si="61"/>
        <v>9</v>
      </c>
      <c r="DC19" s="1" t="str">
        <f t="shared" si="62"/>
        <v/>
      </c>
      <c r="DD19" s="1" t="str">
        <f>IF(DC19="","",IF(A19="","",RANK(DC19,$DC$3:$DC169,1)))</f>
        <v/>
      </c>
      <c r="DE19" s="1">
        <f t="shared" si="63"/>
        <v>9</v>
      </c>
      <c r="DH19" s="1" t="str">
        <f t="shared" si="64"/>
        <v/>
      </c>
      <c r="DI19" s="1" t="str">
        <f>IF(DH19="","",IF(A19="","",RANK(DH19,$DH$3:$DH169,1)))</f>
        <v/>
      </c>
      <c r="DJ19" s="1">
        <f t="shared" si="65"/>
        <v>9</v>
      </c>
      <c r="DM19" s="1" t="str">
        <f t="shared" si="66"/>
        <v/>
      </c>
      <c r="DN19" s="1" t="str">
        <f>IF(DM19="","",IF(A19="","",RANK(DM19,$DM$3:$DM169,1)))</f>
        <v/>
      </c>
      <c r="DO19" s="1">
        <f t="shared" si="67"/>
        <v>9</v>
      </c>
      <c r="DR19" s="1">
        <f t="shared" si="68"/>
        <v>15.10017</v>
      </c>
      <c r="DS19" s="1">
        <f>IF(DR19="","",IF(A19="","",RANK(DR19,$DR$3:$DR169,1)))</f>
        <v>50</v>
      </c>
      <c r="DT19" s="1">
        <f t="shared" si="69"/>
        <v>9</v>
      </c>
      <c r="DW19" s="1">
        <f t="shared" si="70"/>
        <v>13.300170000000001</v>
      </c>
      <c r="DX19" s="1">
        <f>IF(DW19="","",IF(A19="","",RANK(DW19,$DW$3:$DW169,1)))</f>
        <v>21</v>
      </c>
      <c r="DY19" s="1">
        <f t="shared" si="71"/>
        <v>9</v>
      </c>
      <c r="EB19" s="1">
        <f t="shared" si="72"/>
        <v>12.300170000000001</v>
      </c>
      <c r="EC19" s="1">
        <f>IF(EB19="","",IF(A19="","",RANK(EB19,$EB$3:$EB169,1)))</f>
        <v>21</v>
      </c>
      <c r="ED19" s="1">
        <f t="shared" si="73"/>
        <v>9</v>
      </c>
      <c r="EG19" s="1">
        <f t="shared" si="74"/>
        <v>12.300170000000001</v>
      </c>
      <c r="EH19" s="1">
        <f>IF(EG19="","",IF(A19="","",RANK(EG19,$EG$3:$EG169,1)))</f>
        <v>17</v>
      </c>
      <c r="EI19" s="1">
        <f t="shared" si="75"/>
        <v>9</v>
      </c>
      <c r="EU19" s="13">
        <v>17</v>
      </c>
      <c r="EV19" s="1" t="str">
        <f t="shared" si="1"/>
        <v/>
      </c>
      <c r="EW19" s="4" t="str">
        <f t="shared" si="1"/>
        <v>未検出</v>
      </c>
      <c r="EX19" s="4">
        <f t="shared" si="2"/>
        <v>17</v>
      </c>
      <c r="EY19" s="4" t="str">
        <f t="shared" si="2"/>
        <v>未検出</v>
      </c>
      <c r="EZ19" s="4"/>
      <c r="FA19" s="1">
        <f t="shared" si="76"/>
        <v>9</v>
      </c>
      <c r="FB19" s="1">
        <f t="shared" si="77"/>
        <v>2</v>
      </c>
      <c r="FC19" s="1">
        <f t="shared" si="78"/>
        <v>5</v>
      </c>
      <c r="FD19" s="1">
        <f t="shared" si="79"/>
        <v>9</v>
      </c>
      <c r="FE19" s="1">
        <f t="shared" si="80"/>
        <v>1</v>
      </c>
      <c r="FF19" s="1">
        <f t="shared" si="81"/>
        <v>7</v>
      </c>
      <c r="FG19" s="1">
        <f t="shared" si="82"/>
        <v>1</v>
      </c>
      <c r="FH19" s="1">
        <f t="shared" si="83"/>
        <v>1</v>
      </c>
      <c r="FI19" s="1">
        <f t="shared" si="84"/>
        <v>9</v>
      </c>
    </row>
    <row r="20" spans="1:171" ht="18.75">
      <c r="A20" s="1" t="s">
        <v>88</v>
      </c>
      <c r="B20" s="1">
        <v>20190213</v>
      </c>
      <c r="C20" s="1" t="s">
        <v>92</v>
      </c>
      <c r="D20" s="1">
        <v>3</v>
      </c>
      <c r="E20" s="30">
        <v>54.2</v>
      </c>
      <c r="F20" s="30">
        <v>38.700000000000003</v>
      </c>
      <c r="G20" s="30">
        <v>25</v>
      </c>
      <c r="H20" s="30">
        <v>12.3</v>
      </c>
      <c r="I20" s="30">
        <v>15.5</v>
      </c>
      <c r="J20" s="30">
        <v>13.7</v>
      </c>
      <c r="K20" s="30">
        <v>12.7</v>
      </c>
      <c r="L20" s="30">
        <v>12.3</v>
      </c>
      <c r="M20" s="1" t="str">
        <f t="shared" si="13"/>
        <v>2019/02/13</v>
      </c>
      <c r="N20" s="4" t="str">
        <f t="shared" si="14"/>
        <v/>
      </c>
      <c r="O20">
        <v>1.8000000000000001E-4</v>
      </c>
      <c r="P20" s="1" t="str">
        <f t="shared" si="15"/>
        <v/>
      </c>
      <c r="Q20" s="1" t="str">
        <f t="shared" si="16"/>
        <v/>
      </c>
      <c r="R20" s="1">
        <f t="shared" si="17"/>
        <v>3</v>
      </c>
      <c r="U20" s="1">
        <f t="shared" si="18"/>
        <v>54.200180000000003</v>
      </c>
      <c r="V20" s="1">
        <f t="shared" si="19"/>
        <v>46</v>
      </c>
      <c r="W20" s="1">
        <f t="shared" si="20"/>
        <v>3</v>
      </c>
      <c r="Z20" s="1" t="str">
        <f t="shared" si="21"/>
        <v/>
      </c>
      <c r="AA20" s="1" t="str">
        <f t="shared" si="22"/>
        <v/>
      </c>
      <c r="AB20" s="1">
        <f t="shared" si="23"/>
        <v>3</v>
      </c>
      <c r="AE20" s="1">
        <f t="shared" si="24"/>
        <v>38.700180000000003</v>
      </c>
      <c r="AF20" s="1">
        <f t="shared" si="25"/>
        <v>48</v>
      </c>
      <c r="AG20" s="1">
        <f t="shared" si="26"/>
        <v>3</v>
      </c>
      <c r="AJ20" s="1" t="str">
        <f t="shared" si="27"/>
        <v/>
      </c>
      <c r="AK20" s="1" t="str">
        <f t="shared" si="28"/>
        <v/>
      </c>
      <c r="AL20" s="1">
        <f t="shared" si="29"/>
        <v>3</v>
      </c>
      <c r="AO20" s="1">
        <f t="shared" si="30"/>
        <v>25.00018</v>
      </c>
      <c r="AP20" s="1">
        <f t="shared" si="31"/>
        <v>44</v>
      </c>
      <c r="AQ20" s="1">
        <f t="shared" si="32"/>
        <v>3</v>
      </c>
      <c r="AT20" s="1">
        <f t="shared" si="33"/>
        <v>1.8000000000000007</v>
      </c>
      <c r="AU20" s="1">
        <f t="shared" si="34"/>
        <v>1</v>
      </c>
      <c r="AV20" s="1">
        <f t="shared" si="35"/>
        <v>0.39999999999999858</v>
      </c>
      <c r="AW20" s="1">
        <f t="shared" si="36"/>
        <v>3.1999999999999993</v>
      </c>
      <c r="AX20" s="1">
        <f t="shared" si="37"/>
        <v>1.0668466666666665</v>
      </c>
      <c r="AY20" s="1">
        <f t="shared" si="38"/>
        <v>17</v>
      </c>
      <c r="AZ20" s="1">
        <f t="shared" si="39"/>
        <v>3</v>
      </c>
      <c r="BC20" s="1">
        <f t="shared" si="40"/>
        <v>2.8001800000000006</v>
      </c>
      <c r="BD20" s="1">
        <f t="shared" si="41"/>
        <v>58</v>
      </c>
      <c r="BE20" s="1">
        <f t="shared" si="42"/>
        <v>3</v>
      </c>
      <c r="BH20" s="1" t="str">
        <f t="shared" si="43"/>
        <v/>
      </c>
      <c r="BI20" s="1" t="str">
        <f>IF(A20="","",IF(BH20="","",RANK(BH20,$BH$3:$BH170,1)))</f>
        <v/>
      </c>
      <c r="BJ20" s="1">
        <f t="shared" si="44"/>
        <v>3</v>
      </c>
      <c r="BM20" s="1">
        <f t="shared" si="45"/>
        <v>1.5274999999999999</v>
      </c>
      <c r="BN20" s="1">
        <f>IF(A20="","",IF(BM20="","",RANK(BM20,$BM$3:$BM170,1)))</f>
        <v>94</v>
      </c>
      <c r="BO20" s="1">
        <f t="shared" si="46"/>
        <v>3</v>
      </c>
      <c r="BR20" s="1">
        <f t="shared" si="47"/>
        <v>3</v>
      </c>
      <c r="BS20" s="1" t="str">
        <f t="shared" si="48"/>
        <v>ディアボレット　　　　　　　　　　　</v>
      </c>
      <c r="BT20" s="25">
        <v>18</v>
      </c>
      <c r="BU20" s="1" t="str">
        <f>IFERROR(IF($A20="","",VLOOKUP(BT20,$BR$3:BT$300,2,FALSE)),"")</f>
        <v/>
      </c>
      <c r="BV20" s="4" t="str">
        <f t="shared" si="49"/>
        <v>未検出</v>
      </c>
      <c r="BW20" s="4">
        <f t="shared" si="50"/>
        <v>18</v>
      </c>
      <c r="BX20" s="4">
        <f t="array" ref="BX20">IFERROR(VALUE(INDEX(BW:BW,SMALL(IF($BW$3:$BW$20&lt;&gt;"",ROW($BW$3:$BW$20),999),ROW(A18)))&amp;""),"")</f>
        <v>18</v>
      </c>
      <c r="BY20" s="4" t="str">
        <f t="shared" si="51"/>
        <v>未検出</v>
      </c>
      <c r="BZ20" s="1">
        <f t="shared" si="0"/>
        <v>18</v>
      </c>
      <c r="CA20" s="1" t="str">
        <f t="array" ref="CA20">IFERROR(VALUE(INDEX(BZ:BZ,SMALL(IF($BZ$3:$BZ$20&lt;&gt;"",ROW($BZ$3:$BZ$20),999),ROW(A18)))&amp;""),"")</f>
        <v/>
      </c>
      <c r="CD20" s="1" t="str">
        <f t="shared" si="52"/>
        <v/>
      </c>
      <c r="CE20" s="1" t="str">
        <f>IF(A20="","",IF(CD20="","",RANK(CD20,$CD$3:$CD170,1)))</f>
        <v/>
      </c>
      <c r="CF20" s="1">
        <f t="shared" si="53"/>
        <v>3</v>
      </c>
      <c r="CI20" s="1" t="str">
        <f t="shared" si="54"/>
        <v/>
      </c>
      <c r="CJ20" s="1" t="str">
        <f>IF(A20="","",IF(CI20="","",RANK(CI20,$CI$3:$CI170,1)))</f>
        <v/>
      </c>
      <c r="CK20" s="1">
        <f t="shared" si="55"/>
        <v>3</v>
      </c>
      <c r="CN20" s="1" t="str">
        <f t="shared" si="56"/>
        <v/>
      </c>
      <c r="CO20" s="1" t="str">
        <f>IF(A20="","",IF(CN20="","",RANK(CN20,$CN$3:$CN170,1)))</f>
        <v/>
      </c>
      <c r="CP20" s="1">
        <f t="shared" si="57"/>
        <v>3</v>
      </c>
      <c r="CS20" s="1" t="str">
        <f t="shared" si="58"/>
        <v/>
      </c>
      <c r="CT20" s="1" t="str">
        <f>IF(A20="","",IF(CS20="","",RANK(CS20,$CS$3:$CS170,1)))</f>
        <v/>
      </c>
      <c r="CU20" s="1">
        <f t="shared" si="59"/>
        <v>3</v>
      </c>
      <c r="CX20" s="1" t="str">
        <f t="shared" si="60"/>
        <v/>
      </c>
      <c r="CY20" s="1" t="str">
        <f>IF(CX20="","",IF(A20="","",RANK(CX20,$CX$3:$CX170,1)))</f>
        <v/>
      </c>
      <c r="CZ20" s="1">
        <f t="shared" si="61"/>
        <v>3</v>
      </c>
      <c r="DC20" s="1" t="str">
        <f t="shared" si="62"/>
        <v/>
      </c>
      <c r="DD20" s="1" t="str">
        <f>IF(DC20="","",IF(A20="","",RANK(DC20,$DC$3:$DC170,1)))</f>
        <v/>
      </c>
      <c r="DE20" s="1">
        <f t="shared" si="63"/>
        <v>3</v>
      </c>
      <c r="DH20" s="1" t="str">
        <f t="shared" si="64"/>
        <v/>
      </c>
      <c r="DI20" s="1" t="str">
        <f>IF(DH20="","",IF(A20="","",RANK(DH20,$DH$3:$DH170,1)))</f>
        <v/>
      </c>
      <c r="DJ20" s="1">
        <f t="shared" si="65"/>
        <v>3</v>
      </c>
      <c r="DM20" s="1" t="str">
        <f t="shared" si="66"/>
        <v/>
      </c>
      <c r="DN20" s="1" t="str">
        <f>IF(DM20="","",IF(A20="","",RANK(DM20,$DM$3:$DM170,1)))</f>
        <v/>
      </c>
      <c r="DO20" s="1">
        <f t="shared" si="67"/>
        <v>3</v>
      </c>
      <c r="DR20" s="1">
        <f t="shared" si="68"/>
        <v>15.50018</v>
      </c>
      <c r="DS20" s="1">
        <f>IF(DR20="","",IF(A20="","",RANK(DR20,$DR$3:$DR170,1)))</f>
        <v>70</v>
      </c>
      <c r="DT20" s="1">
        <f t="shared" si="69"/>
        <v>3</v>
      </c>
      <c r="DW20" s="1">
        <f t="shared" si="70"/>
        <v>13.70018</v>
      </c>
      <c r="DX20" s="1">
        <f>IF(DW20="","",IF(A20="","",RANK(DW20,$DW$3:$DW170,1)))</f>
        <v>54</v>
      </c>
      <c r="DY20" s="1">
        <f t="shared" si="71"/>
        <v>3</v>
      </c>
      <c r="EB20" s="1">
        <f t="shared" si="72"/>
        <v>12.70018</v>
      </c>
      <c r="EC20" s="1">
        <f>IF(EB20="","",IF(A20="","",RANK(EB20,$EB$3:$EB170,1)))</f>
        <v>65</v>
      </c>
      <c r="ED20" s="1">
        <f t="shared" si="73"/>
        <v>3</v>
      </c>
      <c r="EG20" s="1">
        <f t="shared" si="74"/>
        <v>12.300180000000001</v>
      </c>
      <c r="EH20" s="1">
        <f>IF(EG20="","",IF(A20="","",RANK(EG20,$EG$3:$EG170,1)))</f>
        <v>18</v>
      </c>
      <c r="EI20" s="1">
        <f t="shared" si="75"/>
        <v>3</v>
      </c>
      <c r="EU20" s="13">
        <v>18</v>
      </c>
      <c r="EV20" s="1" t="str">
        <f t="shared" si="1"/>
        <v/>
      </c>
      <c r="EW20" s="4" t="str">
        <f t="shared" si="1"/>
        <v>未検出</v>
      </c>
      <c r="EX20" s="4">
        <f t="shared" si="2"/>
        <v>18</v>
      </c>
      <c r="EY20" s="4" t="str">
        <f t="shared" si="2"/>
        <v>未検出</v>
      </c>
      <c r="EZ20" s="4"/>
      <c r="FA20" s="1">
        <f t="shared" si="76"/>
        <v>9</v>
      </c>
      <c r="FB20" s="1">
        <f t="shared" si="77"/>
        <v>2</v>
      </c>
      <c r="FC20" s="1">
        <f t="shared" si="78"/>
        <v>7</v>
      </c>
      <c r="FD20" s="1">
        <f t="shared" si="79"/>
        <v>7</v>
      </c>
      <c r="FE20" s="1">
        <f t="shared" si="80"/>
        <v>1</v>
      </c>
      <c r="FF20" s="1">
        <f t="shared" si="81"/>
        <v>8</v>
      </c>
      <c r="FG20" s="1">
        <f t="shared" si="82"/>
        <v>4</v>
      </c>
      <c r="FH20" s="1">
        <f t="shared" si="83"/>
        <v>7</v>
      </c>
      <c r="FI20" s="1">
        <f t="shared" si="84"/>
        <v>10</v>
      </c>
    </row>
    <row r="21" spans="1:171" ht="18.75">
      <c r="A21" s="1" t="s">
        <v>88</v>
      </c>
      <c r="B21" s="1">
        <v>20190320</v>
      </c>
      <c r="C21" s="1" t="s">
        <v>91</v>
      </c>
      <c r="D21" s="1">
        <v>2</v>
      </c>
      <c r="E21" s="30">
        <v>51.8</v>
      </c>
      <c r="F21" s="30">
        <v>37.700000000000003</v>
      </c>
      <c r="G21" s="30">
        <v>24.5</v>
      </c>
      <c r="H21" s="30">
        <v>12.3</v>
      </c>
      <c r="I21" s="30">
        <v>14.1</v>
      </c>
      <c r="J21" s="30">
        <v>13.2</v>
      </c>
      <c r="K21" s="30">
        <v>12.2</v>
      </c>
      <c r="L21" s="30">
        <v>12.3</v>
      </c>
      <c r="M21" s="1" t="str">
        <f t="shared" si="13"/>
        <v>2019/03/20</v>
      </c>
      <c r="N21" s="4" t="str">
        <f t="shared" si="14"/>
        <v/>
      </c>
      <c r="O21">
        <v>1.9000000000000001E-4</v>
      </c>
      <c r="P21" s="1" t="str">
        <f t="shared" si="15"/>
        <v/>
      </c>
      <c r="Q21" s="1" t="str">
        <f t="shared" si="16"/>
        <v/>
      </c>
      <c r="R21" s="1">
        <f t="shared" si="17"/>
        <v>2</v>
      </c>
      <c r="U21" s="1">
        <f t="shared" si="18"/>
        <v>51.800190000000001</v>
      </c>
      <c r="V21" s="1">
        <f t="shared" si="19"/>
        <v>8</v>
      </c>
      <c r="W21" s="1">
        <f t="shared" si="20"/>
        <v>2</v>
      </c>
      <c r="Z21" s="1" t="str">
        <f t="shared" si="21"/>
        <v/>
      </c>
      <c r="AA21" s="1" t="str">
        <f t="shared" si="22"/>
        <v/>
      </c>
      <c r="AB21" s="1">
        <f t="shared" si="23"/>
        <v>2</v>
      </c>
      <c r="AE21" s="1">
        <f t="shared" si="24"/>
        <v>37.700190000000006</v>
      </c>
      <c r="AF21" s="1">
        <f t="shared" si="25"/>
        <v>13</v>
      </c>
      <c r="AG21" s="1">
        <f t="shared" si="26"/>
        <v>2</v>
      </c>
      <c r="AJ21" s="1" t="str">
        <f t="shared" si="27"/>
        <v/>
      </c>
      <c r="AK21" s="1" t="str">
        <f t="shared" si="28"/>
        <v/>
      </c>
      <c r="AL21" s="1">
        <f t="shared" si="29"/>
        <v>2</v>
      </c>
      <c r="AO21" s="1">
        <f t="shared" si="30"/>
        <v>24.50019</v>
      </c>
      <c r="AP21" s="1">
        <f t="shared" si="31"/>
        <v>10</v>
      </c>
      <c r="AQ21" s="1">
        <f t="shared" si="32"/>
        <v>2</v>
      </c>
      <c r="AT21" s="1">
        <f t="shared" si="33"/>
        <v>0.90000000000000036</v>
      </c>
      <c r="AU21" s="1">
        <f t="shared" si="34"/>
        <v>1</v>
      </c>
      <c r="AV21" s="1">
        <f t="shared" si="35"/>
        <v>-0.10000000000000142</v>
      </c>
      <c r="AW21" s="1">
        <f t="shared" si="36"/>
        <v>1.7999999999999989</v>
      </c>
      <c r="AX21" s="1">
        <f t="shared" si="37"/>
        <v>0</v>
      </c>
      <c r="AY21" s="1">
        <f t="shared" si="38"/>
        <v>25</v>
      </c>
      <c r="AZ21" s="1">
        <f t="shared" si="39"/>
        <v>2</v>
      </c>
      <c r="BC21" s="1">
        <f t="shared" si="40"/>
        <v>1.9001900000000003</v>
      </c>
      <c r="BD21" s="1">
        <f t="shared" si="41"/>
        <v>114</v>
      </c>
      <c r="BE21" s="1">
        <f t="shared" si="42"/>
        <v>2</v>
      </c>
      <c r="BH21" s="1" t="str">
        <f t="shared" si="43"/>
        <v/>
      </c>
      <c r="BI21" s="1" t="str">
        <f>IF(A21="","",IF(BH21="","",RANK(BH21,$BH$3:$BH171,1)))</f>
        <v/>
      </c>
      <c r="BJ21" s="1">
        <f t="shared" si="44"/>
        <v>2</v>
      </c>
      <c r="BM21" s="1">
        <f t="shared" si="45"/>
        <v>0.5924999999999998</v>
      </c>
      <c r="BN21" s="1">
        <f>IF(A21="","",IF(BM21="","",RANK(BM21,$BM$3:$BM171,1)))</f>
        <v>29</v>
      </c>
      <c r="BO21" s="1">
        <f t="shared" si="46"/>
        <v>2</v>
      </c>
      <c r="BR21" s="1">
        <f t="shared" si="47"/>
        <v>2</v>
      </c>
      <c r="BS21" s="1" t="str">
        <f t="shared" si="48"/>
        <v>フェルトベルク　　　　　　　　　　　</v>
      </c>
      <c r="BT21"/>
      <c r="CD21" s="1" t="str">
        <f t="shared" si="52"/>
        <v/>
      </c>
      <c r="CE21" s="1" t="str">
        <f>IF(A21="","",IF(CD21="","",RANK(CD21,$CD$3:$CD171,1)))</f>
        <v/>
      </c>
      <c r="CF21" s="1">
        <f t="shared" si="53"/>
        <v>2</v>
      </c>
      <c r="CI21" s="1" t="str">
        <f t="shared" si="54"/>
        <v/>
      </c>
      <c r="CJ21" s="1" t="str">
        <f>IF(A21="","",IF(CI21="","",RANK(CI21,$CI$3:$CI171,1)))</f>
        <v/>
      </c>
      <c r="CK21" s="1">
        <f t="shared" si="55"/>
        <v>2</v>
      </c>
      <c r="CN21" s="1" t="str">
        <f t="shared" si="56"/>
        <v/>
      </c>
      <c r="CO21" s="1" t="str">
        <f>IF(A21="","",IF(CN21="","",RANK(CN21,$CN$3:$CN171,1)))</f>
        <v/>
      </c>
      <c r="CP21" s="1">
        <f t="shared" si="57"/>
        <v>2</v>
      </c>
      <c r="CS21" s="1" t="str">
        <f t="shared" si="58"/>
        <v/>
      </c>
      <c r="CT21" s="1" t="str">
        <f>IF(A21="","",IF(CS21="","",RANK(CS21,$CS$3:$CS171,1)))</f>
        <v/>
      </c>
      <c r="CU21" s="1">
        <f t="shared" si="59"/>
        <v>2</v>
      </c>
      <c r="CX21" s="1" t="str">
        <f t="shared" si="60"/>
        <v/>
      </c>
      <c r="CY21" s="1" t="str">
        <f>IF(CX21="","",IF(A21="","",RANK(CX21,$CX$3:$CX171,1)))</f>
        <v/>
      </c>
      <c r="CZ21" s="1">
        <f t="shared" si="61"/>
        <v>2</v>
      </c>
      <c r="DC21" s="1" t="str">
        <f t="shared" si="62"/>
        <v/>
      </c>
      <c r="DD21" s="1" t="str">
        <f>IF(DC21="","",IF(A21="","",RANK(DC21,$DC$3:$DC171,1)))</f>
        <v/>
      </c>
      <c r="DE21" s="1">
        <f t="shared" si="63"/>
        <v>2</v>
      </c>
      <c r="DH21" s="1" t="str">
        <f t="shared" si="64"/>
        <v/>
      </c>
      <c r="DI21" s="1" t="str">
        <f>IF(DH21="","",IF(A21="","",RANK(DH21,$DH$3:$DH171,1)))</f>
        <v/>
      </c>
      <c r="DJ21" s="1">
        <f t="shared" si="65"/>
        <v>2</v>
      </c>
      <c r="DM21" s="1" t="str">
        <f t="shared" si="66"/>
        <v/>
      </c>
      <c r="DN21" s="1" t="str">
        <f>IF(DM21="","",IF(A21="","",RANK(DM21,$DM$3:$DM171,1)))</f>
        <v/>
      </c>
      <c r="DO21" s="1">
        <f t="shared" si="67"/>
        <v>2</v>
      </c>
      <c r="DR21" s="1">
        <f t="shared" si="68"/>
        <v>14.10019</v>
      </c>
      <c r="DS21" s="1">
        <f>IF(DR21="","",IF(A21="","",RANK(DR21,$DR$3:$DR171,1)))</f>
        <v>10</v>
      </c>
      <c r="DT21" s="1">
        <f t="shared" si="69"/>
        <v>2</v>
      </c>
      <c r="DW21" s="1">
        <f t="shared" si="70"/>
        <v>13.200189999999999</v>
      </c>
      <c r="DX21" s="1">
        <f>IF(DW21="","",IF(A21="","",RANK(DW21,$DW$3:$DW171,1)))</f>
        <v>16</v>
      </c>
      <c r="DY21" s="1">
        <f t="shared" si="71"/>
        <v>2</v>
      </c>
      <c r="EB21" s="1">
        <f t="shared" si="72"/>
        <v>12.200189999999999</v>
      </c>
      <c r="EC21" s="1">
        <f>IF(EB21="","",IF(A21="","",RANK(EB21,$EB$3:$EB171,1)))</f>
        <v>16</v>
      </c>
      <c r="ED21" s="1">
        <f t="shared" si="73"/>
        <v>2</v>
      </c>
      <c r="EG21" s="1">
        <f t="shared" si="74"/>
        <v>12.300190000000001</v>
      </c>
      <c r="EH21" s="1">
        <f>IF(EG21="","",IF(A21="","",RANK(EG21,$EG$3:$EG171,1)))</f>
        <v>19</v>
      </c>
      <c r="EI21" s="1">
        <f t="shared" si="75"/>
        <v>2</v>
      </c>
      <c r="EU21" s="14" t="s">
        <v>46</v>
      </c>
      <c r="EV21" s="4">
        <f>CB3</f>
        <v>-1</v>
      </c>
      <c r="EY21"/>
      <c r="FA21" s="1">
        <f t="shared" si="76"/>
        <v>5</v>
      </c>
      <c r="FB21" s="1">
        <f t="shared" si="77"/>
        <v>8</v>
      </c>
      <c r="FC21" s="1">
        <f t="shared" si="78"/>
        <v>7</v>
      </c>
      <c r="FD21" s="1">
        <f t="shared" si="79"/>
        <v>1</v>
      </c>
      <c r="FE21" s="1">
        <f t="shared" si="80"/>
        <v>7</v>
      </c>
      <c r="FF21" s="1">
        <f t="shared" si="81"/>
        <v>6</v>
      </c>
      <c r="FG21" s="1">
        <f t="shared" si="82"/>
        <v>7</v>
      </c>
      <c r="FH21" s="1">
        <f t="shared" si="83"/>
        <v>4</v>
      </c>
      <c r="FI21" s="1">
        <f t="shared" si="84"/>
        <v>7</v>
      </c>
    </row>
    <row r="22" spans="1:171" ht="18.75">
      <c r="A22" s="1" t="s">
        <v>88</v>
      </c>
      <c r="B22" s="1">
        <v>20190710</v>
      </c>
      <c r="C22" s="1" t="s">
        <v>93</v>
      </c>
      <c r="D22" s="1">
        <v>4</v>
      </c>
      <c r="E22" s="30">
        <v>54.4</v>
      </c>
      <c r="F22" s="30">
        <v>38.4</v>
      </c>
      <c r="G22" s="30">
        <v>24.7</v>
      </c>
      <c r="H22" s="30">
        <v>12.3</v>
      </c>
      <c r="I22" s="30">
        <v>16</v>
      </c>
      <c r="J22" s="30">
        <v>13.7</v>
      </c>
      <c r="K22" s="30">
        <v>12.4</v>
      </c>
      <c r="L22" s="30">
        <v>12.3</v>
      </c>
      <c r="M22" s="1" t="str">
        <f t="shared" si="13"/>
        <v>2019/07/10</v>
      </c>
      <c r="N22" s="4" t="str">
        <f t="shared" si="14"/>
        <v/>
      </c>
      <c r="O22">
        <v>2.0000000000000001E-4</v>
      </c>
      <c r="P22" s="1" t="str">
        <f t="shared" si="15"/>
        <v/>
      </c>
      <c r="Q22" s="1" t="str">
        <f t="shared" si="16"/>
        <v/>
      </c>
      <c r="R22" s="1">
        <f t="shared" si="17"/>
        <v>4</v>
      </c>
      <c r="U22" s="1">
        <f t="shared" si="18"/>
        <v>54.400199999999998</v>
      </c>
      <c r="V22" s="1">
        <f t="shared" si="19"/>
        <v>53</v>
      </c>
      <c r="W22" s="1">
        <f t="shared" si="20"/>
        <v>4</v>
      </c>
      <c r="Z22" s="1" t="str">
        <f t="shared" si="21"/>
        <v/>
      </c>
      <c r="AA22" s="1" t="str">
        <f t="shared" si="22"/>
        <v/>
      </c>
      <c r="AB22" s="1">
        <f t="shared" si="23"/>
        <v>4</v>
      </c>
      <c r="AE22" s="1">
        <f t="shared" si="24"/>
        <v>38.400199999999998</v>
      </c>
      <c r="AF22" s="1">
        <f t="shared" si="25"/>
        <v>36</v>
      </c>
      <c r="AG22" s="1">
        <f t="shared" si="26"/>
        <v>4</v>
      </c>
      <c r="AJ22" s="1" t="str">
        <f t="shared" si="27"/>
        <v/>
      </c>
      <c r="AK22" s="1" t="str">
        <f t="shared" si="28"/>
        <v/>
      </c>
      <c r="AL22" s="1">
        <f t="shared" si="29"/>
        <v>4</v>
      </c>
      <c r="AO22" s="1">
        <f t="shared" si="30"/>
        <v>24.700199999999999</v>
      </c>
      <c r="AP22" s="1">
        <f t="shared" si="31"/>
        <v>19</v>
      </c>
      <c r="AQ22" s="1">
        <f t="shared" si="32"/>
        <v>4</v>
      </c>
      <c r="AT22" s="1">
        <f t="shared" si="33"/>
        <v>2.3000000000000007</v>
      </c>
      <c r="AU22" s="1">
        <f t="shared" si="34"/>
        <v>1.2999999999999989</v>
      </c>
      <c r="AV22" s="1">
        <f t="shared" si="35"/>
        <v>9.9999999999999645E-2</v>
      </c>
      <c r="AW22" s="1">
        <f t="shared" si="36"/>
        <v>3.6999999999999993</v>
      </c>
      <c r="AX22" s="1">
        <f t="shared" si="37"/>
        <v>1.2335333333333331</v>
      </c>
      <c r="AY22" s="1">
        <f t="shared" si="38"/>
        <v>8</v>
      </c>
      <c r="AZ22" s="1">
        <f t="shared" si="39"/>
        <v>4</v>
      </c>
      <c r="BC22" s="1">
        <f t="shared" si="40"/>
        <v>3.6001999999999996</v>
      </c>
      <c r="BD22" s="1">
        <f t="shared" si="41"/>
        <v>33</v>
      </c>
      <c r="BE22" s="1">
        <f t="shared" si="42"/>
        <v>4</v>
      </c>
      <c r="BH22" s="1" t="str">
        <f t="shared" si="43"/>
        <v/>
      </c>
      <c r="BI22" s="1" t="str">
        <f>IF(A22="","",IF(BH22="","",RANK(BH22,$BH$3:$BH172,1)))</f>
        <v/>
      </c>
      <c r="BJ22" s="1">
        <f t="shared" si="44"/>
        <v>4</v>
      </c>
      <c r="BM22" s="1">
        <f t="shared" si="45"/>
        <v>2.2249999999999659</v>
      </c>
      <c r="BN22" s="1">
        <f>IF(A22="","",IF(BM22="","",RANK(BM22,$BM$3:$BM172,1)))</f>
        <v>115</v>
      </c>
      <c r="BO22" s="1">
        <f t="shared" si="46"/>
        <v>4</v>
      </c>
      <c r="BR22" s="1">
        <f t="shared" si="47"/>
        <v>4</v>
      </c>
      <c r="BS22" s="1" t="str">
        <f t="shared" si="48"/>
        <v>ウィズ　　　　　　　　　　　　　　　</v>
      </c>
      <c r="BT22"/>
      <c r="CD22" s="1" t="str">
        <f>IFERROR(IF(L22=0,"",IF(N22="","",IF(L22&lt;12,L22,""))),"")</f>
        <v/>
      </c>
      <c r="CE22" s="1" t="str">
        <f>IF(A22="","",IF(CD22="","",RANK(CD22,$CD$3:$CD172,1)))</f>
        <v/>
      </c>
      <c r="CF22" s="1">
        <f t="shared" si="53"/>
        <v>4</v>
      </c>
      <c r="CI22" s="1" t="str">
        <f t="shared" si="54"/>
        <v/>
      </c>
      <c r="CJ22" s="1" t="str">
        <f>IF(A22="","",IF(CI22="","",RANK(CI22,$CI$3:$CI172,1)))</f>
        <v/>
      </c>
      <c r="CK22" s="1">
        <f t="shared" si="55"/>
        <v>4</v>
      </c>
      <c r="CN22" s="1" t="str">
        <f t="shared" si="56"/>
        <v/>
      </c>
      <c r="CO22" s="1" t="str">
        <f>IF(A22="","",IF(CN22="","",RANK(CN22,$CN$3:$CN172,1)))</f>
        <v/>
      </c>
      <c r="CP22" s="1">
        <f t="shared" si="57"/>
        <v>4</v>
      </c>
      <c r="CS22" s="1" t="str">
        <f t="shared" si="58"/>
        <v/>
      </c>
      <c r="CT22" s="1" t="str">
        <f>IF(A22="","",IF(CS22="","",RANK(CS22,$CS$3:$CS172,1)))</f>
        <v/>
      </c>
      <c r="CU22" s="1">
        <f t="shared" si="59"/>
        <v>4</v>
      </c>
      <c r="CX22" s="1" t="str">
        <f t="shared" si="60"/>
        <v/>
      </c>
      <c r="CY22" s="1" t="str">
        <f>IF(CX22="","",IF(A22="","",RANK(CX22,$CX$3:$CX172,1)))</f>
        <v/>
      </c>
      <c r="CZ22" s="1">
        <f t="shared" si="61"/>
        <v>4</v>
      </c>
      <c r="DC22" s="1" t="str">
        <f t="shared" si="62"/>
        <v/>
      </c>
      <c r="DD22" s="1" t="str">
        <f>IF(DC22="","",IF(A22="","",RANK(DC22,$DC$3:$DC172,1)))</f>
        <v/>
      </c>
      <c r="DE22" s="1">
        <f t="shared" si="63"/>
        <v>4</v>
      </c>
      <c r="DH22" s="1" t="str">
        <f t="shared" si="64"/>
        <v/>
      </c>
      <c r="DI22" s="1" t="str">
        <f>IF(DH22="","",IF(A22="","",RANK(DH22,$DH$3:$DH172,1)))</f>
        <v/>
      </c>
      <c r="DJ22" s="1">
        <f t="shared" si="65"/>
        <v>4</v>
      </c>
      <c r="DM22" s="1" t="str">
        <f t="shared" si="66"/>
        <v/>
      </c>
      <c r="DN22" s="1" t="str">
        <f>IF(DM22="","",IF(A22="","",RANK(DM22,$DM$3:$DM172,1)))</f>
        <v/>
      </c>
      <c r="DO22" s="1">
        <f t="shared" si="67"/>
        <v>4</v>
      </c>
      <c r="DR22" s="1">
        <f t="shared" si="68"/>
        <v>16.0002</v>
      </c>
      <c r="DS22" s="1">
        <f>IF(DR22="","",IF(A22="","",RANK(DR22,$DR$3:$DR172,1)))</f>
        <v>96</v>
      </c>
      <c r="DT22" s="1">
        <f t="shared" si="69"/>
        <v>4</v>
      </c>
      <c r="DW22" s="1">
        <f t="shared" si="70"/>
        <v>13.700199999999999</v>
      </c>
      <c r="DX22" s="1">
        <f>IF(DW22="","",IF(A22="","",RANK(DW22,$DW$3:$DW172,1)))</f>
        <v>55</v>
      </c>
      <c r="DY22" s="1">
        <f t="shared" si="71"/>
        <v>4</v>
      </c>
      <c r="EB22" s="1">
        <f t="shared" si="72"/>
        <v>12.4002</v>
      </c>
      <c r="EC22" s="1">
        <f>IF(EB22="","",IF(A22="","",RANK(EB22,$EB$3:$EB172,1)))</f>
        <v>34</v>
      </c>
      <c r="ED22" s="1">
        <f t="shared" si="73"/>
        <v>4</v>
      </c>
      <c r="EG22" s="1">
        <f t="shared" si="74"/>
        <v>12.3002</v>
      </c>
      <c r="EH22" s="1">
        <f>IF(EG22="","",IF(A22="","",RANK(EG22,$EG$3:$EG172,1)))</f>
        <v>20</v>
      </c>
      <c r="EI22" s="1">
        <f t="shared" si="75"/>
        <v>4</v>
      </c>
      <c r="EU22" s="12" t="s">
        <v>47</v>
      </c>
      <c r="EV22" s="4">
        <f>CC3</f>
        <v>452</v>
      </c>
      <c r="EW22"/>
      <c r="EX22"/>
      <c r="EY22"/>
      <c r="EZ22"/>
      <c r="FA22" s="1">
        <f t="shared" si="76"/>
        <v>5</v>
      </c>
      <c r="FB22" s="1">
        <f t="shared" si="77"/>
        <v>8</v>
      </c>
      <c r="FC22" s="1">
        <f t="shared" si="78"/>
        <v>7</v>
      </c>
      <c r="FD22" s="1">
        <f t="shared" si="79"/>
        <v>1</v>
      </c>
      <c r="FE22" s="1">
        <f t="shared" si="80"/>
        <v>7</v>
      </c>
      <c r="FF22" s="1">
        <f t="shared" si="81"/>
        <v>6</v>
      </c>
      <c r="FG22" s="1">
        <f t="shared" si="82"/>
        <v>7</v>
      </c>
      <c r="FH22" s="1">
        <f t="shared" si="83"/>
        <v>4</v>
      </c>
      <c r="FI22" s="1">
        <f t="shared" si="84"/>
        <v>7</v>
      </c>
    </row>
    <row r="23" spans="1:171" ht="18.75">
      <c r="A23" s="1" t="s">
        <v>88</v>
      </c>
      <c r="B23" s="1">
        <v>20190710</v>
      </c>
      <c r="C23" s="1" t="s">
        <v>92</v>
      </c>
      <c r="D23" s="1">
        <v>3</v>
      </c>
      <c r="E23" s="30">
        <v>53.9</v>
      </c>
      <c r="F23" s="30">
        <v>38.200000000000003</v>
      </c>
      <c r="G23" s="30">
        <v>24.6</v>
      </c>
      <c r="H23" s="30">
        <v>12.3</v>
      </c>
      <c r="I23" s="30">
        <v>15.7</v>
      </c>
      <c r="J23" s="30">
        <v>13.6</v>
      </c>
      <c r="K23" s="30">
        <v>12.3</v>
      </c>
      <c r="L23" s="30">
        <v>12.3</v>
      </c>
      <c r="M23" s="1" t="str">
        <f t="shared" si="13"/>
        <v>2019/07/10</v>
      </c>
      <c r="N23" s="4" t="str">
        <f t="shared" si="14"/>
        <v/>
      </c>
      <c r="O23">
        <v>2.1000000000000001E-4</v>
      </c>
      <c r="P23" s="1" t="str">
        <f t="shared" si="15"/>
        <v/>
      </c>
      <c r="Q23" s="1" t="str">
        <f t="shared" si="16"/>
        <v/>
      </c>
      <c r="R23" s="1">
        <f t="shared" si="17"/>
        <v>3</v>
      </c>
      <c r="U23" s="1">
        <f t="shared" si="18"/>
        <v>53.900210000000001</v>
      </c>
      <c r="V23" s="1">
        <f t="shared" si="19"/>
        <v>41</v>
      </c>
      <c r="W23" s="1">
        <f t="shared" si="20"/>
        <v>3</v>
      </c>
      <c r="Z23" s="1" t="str">
        <f t="shared" si="21"/>
        <v/>
      </c>
      <c r="AA23" s="1" t="str">
        <f t="shared" si="22"/>
        <v/>
      </c>
      <c r="AB23" s="1">
        <f t="shared" si="23"/>
        <v>3</v>
      </c>
      <c r="AE23" s="1">
        <f t="shared" si="24"/>
        <v>38.200210000000006</v>
      </c>
      <c r="AF23" s="1">
        <f t="shared" si="25"/>
        <v>25</v>
      </c>
      <c r="AG23" s="1">
        <f t="shared" si="26"/>
        <v>3</v>
      </c>
      <c r="AJ23" s="1" t="str">
        <f t="shared" si="27"/>
        <v/>
      </c>
      <c r="AK23" s="1" t="str">
        <f t="shared" si="28"/>
        <v/>
      </c>
      <c r="AL23" s="1">
        <f t="shared" si="29"/>
        <v>3</v>
      </c>
      <c r="AO23" s="1">
        <f t="shared" si="30"/>
        <v>24.600210000000001</v>
      </c>
      <c r="AP23" s="1">
        <f t="shared" si="31"/>
        <v>15</v>
      </c>
      <c r="AQ23" s="1">
        <f t="shared" si="32"/>
        <v>3</v>
      </c>
      <c r="AT23" s="1">
        <f t="shared" si="33"/>
        <v>2.0999999999999996</v>
      </c>
      <c r="AU23" s="1">
        <f t="shared" si="34"/>
        <v>1.2999999999999989</v>
      </c>
      <c r="AV23" s="1">
        <f t="shared" si="35"/>
        <v>0</v>
      </c>
      <c r="AW23" s="1">
        <f t="shared" si="36"/>
        <v>3.3999999999999986</v>
      </c>
      <c r="AX23" s="1">
        <f t="shared" si="37"/>
        <v>1.1335433333333329</v>
      </c>
      <c r="AY23" s="1">
        <f t="shared" si="38"/>
        <v>14</v>
      </c>
      <c r="AZ23" s="1">
        <f t="shared" si="39"/>
        <v>3</v>
      </c>
      <c r="BC23" s="1">
        <f t="shared" si="40"/>
        <v>3.4002099999999986</v>
      </c>
      <c r="BD23" s="1">
        <f t="shared" si="41"/>
        <v>40</v>
      </c>
      <c r="BE23" s="1">
        <f t="shared" si="42"/>
        <v>3</v>
      </c>
      <c r="BH23" s="1" t="str">
        <f t="shared" si="43"/>
        <v/>
      </c>
      <c r="BI23" s="1" t="str">
        <f>IF(A23="","",IF(BH23="","",RANK(BH23,$BH$3:$BH173,1)))</f>
        <v/>
      </c>
      <c r="BJ23" s="1">
        <f t="shared" si="44"/>
        <v>3</v>
      </c>
      <c r="BM23" s="1">
        <f t="shared" si="45"/>
        <v>1.9318750000000477</v>
      </c>
      <c r="BN23" s="1">
        <f>IF(A23="","",IF(BM23="","",RANK(BM23,$BM$3:$BM173,1)))</f>
        <v>106</v>
      </c>
      <c r="BO23" s="1">
        <f t="shared" si="46"/>
        <v>3</v>
      </c>
      <c r="BR23" s="1">
        <f t="shared" si="47"/>
        <v>3</v>
      </c>
      <c r="BS23" s="1" t="str">
        <f t="shared" si="48"/>
        <v>ディアボレット　　　　　　　　　　　</v>
      </c>
      <c r="CD23" s="1" t="str">
        <f t="shared" si="52"/>
        <v/>
      </c>
      <c r="CE23" s="1" t="str">
        <f>IF(A23="","",IF(CD23="","",RANK(CD23,$CD$3:$CD173,1)))</f>
        <v/>
      </c>
      <c r="CF23" s="1">
        <f t="shared" si="53"/>
        <v>3</v>
      </c>
      <c r="CI23" s="1" t="str">
        <f t="shared" si="54"/>
        <v/>
      </c>
      <c r="CJ23" s="1" t="str">
        <f>IF(A23="","",IF(CI23="","",RANK(CI23,$CI$3:$CI173,1)))</f>
        <v/>
      </c>
      <c r="CK23" s="1">
        <f t="shared" si="55"/>
        <v>3</v>
      </c>
      <c r="CN23" s="1" t="str">
        <f t="shared" si="56"/>
        <v/>
      </c>
      <c r="CO23" s="1" t="str">
        <f>IF(A23="","",IF(CN23="","",RANK(CN23,$CN$3:$CN173,1)))</f>
        <v/>
      </c>
      <c r="CP23" s="1">
        <f t="shared" si="57"/>
        <v>3</v>
      </c>
      <c r="CS23" s="1" t="str">
        <f t="shared" si="58"/>
        <v/>
      </c>
      <c r="CT23" s="1" t="str">
        <f>IF(A23="","",IF(CS23="","",RANK(CS23,$CS$3:$CS173,1)))</f>
        <v/>
      </c>
      <c r="CU23" s="1">
        <f t="shared" si="59"/>
        <v>3</v>
      </c>
      <c r="CX23" s="1" t="str">
        <f t="shared" si="60"/>
        <v/>
      </c>
      <c r="CY23" s="1" t="str">
        <f>IF(CX23="","",IF(A23="","",RANK(CX23,$CX$3:$CX173,1)))</f>
        <v/>
      </c>
      <c r="CZ23" s="1">
        <f t="shared" si="61"/>
        <v>3</v>
      </c>
      <c r="DC23" s="1" t="str">
        <f t="shared" si="62"/>
        <v/>
      </c>
      <c r="DD23" s="1" t="str">
        <f>IF(DC23="","",IF(A23="","",RANK(DC23,$DC$3:$DC173,1)))</f>
        <v/>
      </c>
      <c r="DE23" s="1">
        <f t="shared" si="63"/>
        <v>3</v>
      </c>
      <c r="DH23" s="1" t="str">
        <f t="shared" si="64"/>
        <v/>
      </c>
      <c r="DI23" s="1" t="str">
        <f>IF(DH23="","",IF(A23="","",RANK(DH23,$DH$3:$DH173,1)))</f>
        <v/>
      </c>
      <c r="DJ23" s="1">
        <f t="shared" si="65"/>
        <v>3</v>
      </c>
      <c r="DM23" s="1" t="str">
        <f t="shared" si="66"/>
        <v/>
      </c>
      <c r="DN23" s="1" t="str">
        <f>IF(DM23="","",IF(A23="","",RANK(DM23,$DM$3:$DM173,1)))</f>
        <v/>
      </c>
      <c r="DO23" s="1">
        <f t="shared" si="67"/>
        <v>3</v>
      </c>
      <c r="DR23" s="1">
        <f t="shared" si="68"/>
        <v>15.700209999999998</v>
      </c>
      <c r="DS23" s="1">
        <f>IF(DR23="","",IF(A23="","",RANK(DR23,$DR$3:$DR173,1)))</f>
        <v>78</v>
      </c>
      <c r="DT23" s="1">
        <f t="shared" si="69"/>
        <v>3</v>
      </c>
      <c r="DW23" s="1">
        <f t="shared" si="70"/>
        <v>13.600209999999999</v>
      </c>
      <c r="DX23" s="1">
        <f>IF(DW23="","",IF(A23="","",RANK(DW23,$DW$3:$DW173,1)))</f>
        <v>46</v>
      </c>
      <c r="DY23" s="1">
        <f t="shared" si="71"/>
        <v>3</v>
      </c>
      <c r="EB23" s="1">
        <f t="shared" si="72"/>
        <v>12.30021</v>
      </c>
      <c r="EC23" s="1">
        <f>IF(EB23="","",IF(A23="","",RANK(EB23,$EB$3:$EB173,1)))</f>
        <v>22</v>
      </c>
      <c r="ED23" s="1">
        <f t="shared" si="73"/>
        <v>3</v>
      </c>
      <c r="EG23" s="1">
        <f t="shared" si="74"/>
        <v>12.30021</v>
      </c>
      <c r="EH23" s="1">
        <f>IF(EG23="","",IF(A23="","",RANK(EG23,$EG$3:$EG173,1)))</f>
        <v>21</v>
      </c>
      <c r="EI23" s="1">
        <f t="shared" si="75"/>
        <v>3</v>
      </c>
      <c r="EU23" s="14" t="s">
        <v>82</v>
      </c>
      <c r="EV23" s="25">
        <v>150</v>
      </c>
      <c r="EW23"/>
      <c r="EX23"/>
      <c r="EY23"/>
      <c r="EZ23"/>
      <c r="FA23" s="1">
        <f t="shared" si="76"/>
        <v>9</v>
      </c>
      <c r="FB23" s="1">
        <f t="shared" si="77"/>
        <v>6</v>
      </c>
      <c r="FC23" s="1">
        <f t="shared" si="78"/>
        <v>7</v>
      </c>
      <c r="FD23" s="1">
        <f t="shared" si="79"/>
        <v>6</v>
      </c>
      <c r="FE23" s="1">
        <f t="shared" si="80"/>
        <v>2</v>
      </c>
      <c r="FF23" s="1">
        <f t="shared" si="81"/>
        <v>2</v>
      </c>
      <c r="FG23" s="1">
        <f t="shared" si="82"/>
        <v>10</v>
      </c>
      <c r="FH23" s="1">
        <f t="shared" si="83"/>
        <v>5</v>
      </c>
      <c r="FI23" s="1">
        <f t="shared" si="84"/>
        <v>9</v>
      </c>
      <c r="FL23"/>
      <c r="FM23"/>
      <c r="FN23"/>
      <c r="FO23"/>
    </row>
    <row r="24" spans="1:171" ht="18.75">
      <c r="A24" s="1" t="s">
        <v>88</v>
      </c>
      <c r="B24" s="1">
        <v>20190710</v>
      </c>
      <c r="C24" s="1" t="s">
        <v>94</v>
      </c>
      <c r="D24" s="1">
        <v>5</v>
      </c>
      <c r="E24" s="30">
        <v>53.2</v>
      </c>
      <c r="F24" s="30">
        <v>38.9</v>
      </c>
      <c r="G24" s="30">
        <v>25.3</v>
      </c>
      <c r="H24" s="30">
        <v>12.3</v>
      </c>
      <c r="I24" s="30">
        <v>14.3</v>
      </c>
      <c r="J24" s="30">
        <v>13.6</v>
      </c>
      <c r="K24" s="30">
        <v>13</v>
      </c>
      <c r="L24" s="30">
        <v>12.3</v>
      </c>
      <c r="M24" s="1" t="str">
        <f t="shared" si="13"/>
        <v>2019/07/10</v>
      </c>
      <c r="N24" s="4" t="str">
        <f t="shared" si="14"/>
        <v/>
      </c>
      <c r="O24">
        <v>2.2000000000000001E-4</v>
      </c>
      <c r="P24" s="1" t="str">
        <f t="shared" si="15"/>
        <v/>
      </c>
      <c r="Q24" s="1" t="str">
        <f t="shared" si="16"/>
        <v/>
      </c>
      <c r="R24" s="1">
        <f t="shared" si="17"/>
        <v>5</v>
      </c>
      <c r="U24" s="1">
        <f t="shared" si="18"/>
        <v>53.200220000000002</v>
      </c>
      <c r="V24" s="1">
        <f t="shared" si="19"/>
        <v>31</v>
      </c>
      <c r="W24" s="1">
        <f t="shared" si="20"/>
        <v>5</v>
      </c>
      <c r="Z24" s="1" t="str">
        <f t="shared" si="21"/>
        <v/>
      </c>
      <c r="AA24" s="1" t="str">
        <f t="shared" si="22"/>
        <v/>
      </c>
      <c r="AB24" s="1">
        <f t="shared" si="23"/>
        <v>5</v>
      </c>
      <c r="AE24" s="1">
        <f t="shared" si="24"/>
        <v>38.900219999999997</v>
      </c>
      <c r="AF24" s="1">
        <f t="shared" si="25"/>
        <v>56</v>
      </c>
      <c r="AG24" s="1">
        <f t="shared" si="26"/>
        <v>5</v>
      </c>
      <c r="AJ24" s="1" t="str">
        <f t="shared" si="27"/>
        <v/>
      </c>
      <c r="AK24" s="1" t="str">
        <f t="shared" si="28"/>
        <v/>
      </c>
      <c r="AL24" s="1">
        <f t="shared" si="29"/>
        <v>5</v>
      </c>
      <c r="AO24" s="1">
        <f t="shared" si="30"/>
        <v>25.300219999999999</v>
      </c>
      <c r="AP24" s="1">
        <f t="shared" si="31"/>
        <v>58</v>
      </c>
      <c r="AQ24" s="1">
        <f t="shared" si="32"/>
        <v>5</v>
      </c>
      <c r="AT24" s="1">
        <f t="shared" si="33"/>
        <v>0.70000000000000107</v>
      </c>
      <c r="AU24" s="1">
        <f t="shared" si="34"/>
        <v>0.59999999999999964</v>
      </c>
      <c r="AV24" s="1">
        <f t="shared" si="35"/>
        <v>0.69999999999999929</v>
      </c>
      <c r="AW24" s="1">
        <f t="shared" si="36"/>
        <v>2</v>
      </c>
      <c r="AX24" s="1">
        <f t="shared" si="37"/>
        <v>0.66688666666666663</v>
      </c>
      <c r="AY24" s="1">
        <f t="shared" si="38"/>
        <v>23</v>
      </c>
      <c r="AZ24" s="1">
        <f t="shared" si="39"/>
        <v>5</v>
      </c>
      <c r="BC24" s="1">
        <f t="shared" si="40"/>
        <v>1.3002200000000008</v>
      </c>
      <c r="BD24" s="1">
        <f t="shared" si="41"/>
        <v>140</v>
      </c>
      <c r="BE24" s="1">
        <f t="shared" si="42"/>
        <v>5</v>
      </c>
      <c r="BH24" s="1" t="str">
        <f t="shared" si="43"/>
        <v/>
      </c>
      <c r="BI24" s="1" t="str">
        <f>IF(A24="","",IF(BH24="","",RANK(BH24,$BH$3:$BH174,1)))</f>
        <v/>
      </c>
      <c r="BJ24" s="1">
        <f t="shared" si="44"/>
        <v>5</v>
      </c>
      <c r="BM24" s="1">
        <f t="shared" si="45"/>
        <v>0.54499999999999993</v>
      </c>
      <c r="BN24" s="1">
        <f>IF(A24="","",IF(BM24="","",RANK(BM24,$BM$3:$BM174,1)))</f>
        <v>25</v>
      </c>
      <c r="BO24" s="1">
        <f t="shared" si="46"/>
        <v>5</v>
      </c>
      <c r="BR24" s="1">
        <f t="shared" si="47"/>
        <v>5</v>
      </c>
      <c r="BS24" s="1" t="str">
        <f t="shared" si="48"/>
        <v>シグナライズ　　　　　　　　　　　　</v>
      </c>
      <c r="CD24" s="1" t="str">
        <f t="shared" si="52"/>
        <v/>
      </c>
      <c r="CE24" s="1" t="str">
        <f>IF(A24="","",IF(CD24="","",RANK(CD24,$CD$3:$CD174,1)))</f>
        <v/>
      </c>
      <c r="CF24" s="1">
        <f t="shared" si="53"/>
        <v>5</v>
      </c>
      <c r="CI24" s="1" t="str">
        <f t="shared" si="54"/>
        <v/>
      </c>
      <c r="CJ24" s="1" t="str">
        <f>IF(A24="","",IF(CI24="","",RANK(CI24,$CI$3:$CI174,1)))</f>
        <v/>
      </c>
      <c r="CK24" s="1">
        <f t="shared" si="55"/>
        <v>5</v>
      </c>
      <c r="CN24" s="1" t="str">
        <f t="shared" si="56"/>
        <v/>
      </c>
      <c r="CO24" s="1" t="str">
        <f>IF(A24="","",IF(CN24="","",RANK(CN24,$CN$3:$CN174,1)))</f>
        <v/>
      </c>
      <c r="CP24" s="1">
        <f t="shared" si="57"/>
        <v>5</v>
      </c>
      <c r="CS24" s="1" t="str">
        <f t="shared" si="58"/>
        <v/>
      </c>
      <c r="CT24" s="1" t="str">
        <f>IF(A24="","",IF(CS24="","",RANK(CS24,$CS$3:$CS174,1)))</f>
        <v/>
      </c>
      <c r="CU24" s="1">
        <f t="shared" si="59"/>
        <v>5</v>
      </c>
      <c r="CX24" s="1" t="str">
        <f t="shared" si="60"/>
        <v/>
      </c>
      <c r="CY24" s="1" t="str">
        <f>IF(CX24="","",IF(A24="","",RANK(CX24,$CX$3:$CX174,1)))</f>
        <v/>
      </c>
      <c r="CZ24" s="1">
        <f t="shared" si="61"/>
        <v>5</v>
      </c>
      <c r="DC24" s="1" t="str">
        <f t="shared" si="62"/>
        <v/>
      </c>
      <c r="DD24" s="1" t="str">
        <f>IF(DC24="","",IF(A24="","",RANK(DC24,$DC$3:$DC174,1)))</f>
        <v/>
      </c>
      <c r="DE24" s="1">
        <f t="shared" si="63"/>
        <v>5</v>
      </c>
      <c r="DH24" s="1" t="str">
        <f t="shared" si="64"/>
        <v/>
      </c>
      <c r="DI24" s="1" t="str">
        <f>IF(DH24="","",IF(A24="","",RANK(DH24,$DH$3:$DH174,1)))</f>
        <v/>
      </c>
      <c r="DJ24" s="1">
        <f t="shared" si="65"/>
        <v>5</v>
      </c>
      <c r="DM24" s="1" t="str">
        <f t="shared" si="66"/>
        <v/>
      </c>
      <c r="DN24" s="1" t="str">
        <f>IF(DM24="","",IF(A24="","",RANK(DM24,$DM$3:$DM174,1)))</f>
        <v/>
      </c>
      <c r="DO24" s="1">
        <f t="shared" si="67"/>
        <v>5</v>
      </c>
      <c r="DR24" s="1">
        <f t="shared" si="68"/>
        <v>14.300220000000001</v>
      </c>
      <c r="DS24" s="1">
        <f>IF(DR24="","",IF(A24="","",RANK(DR24,$DR$3:$DR174,1)))</f>
        <v>15</v>
      </c>
      <c r="DT24" s="1">
        <f t="shared" si="69"/>
        <v>5</v>
      </c>
      <c r="DW24" s="1">
        <f t="shared" si="70"/>
        <v>13.60022</v>
      </c>
      <c r="DX24" s="1">
        <f>IF(DW24="","",IF(A24="","",RANK(DW24,$DW$3:$DW174,1)))</f>
        <v>47</v>
      </c>
      <c r="DY24" s="1">
        <f t="shared" si="71"/>
        <v>5</v>
      </c>
      <c r="EB24" s="1">
        <f t="shared" si="72"/>
        <v>13.000220000000001</v>
      </c>
      <c r="EC24" s="1">
        <f>IF(EB24="","",IF(A24="","",RANK(EB24,$EB$3:$EB174,1)))</f>
        <v>81</v>
      </c>
      <c r="ED24" s="1">
        <f t="shared" si="73"/>
        <v>5</v>
      </c>
      <c r="EG24" s="1">
        <f t="shared" si="74"/>
        <v>12.300220000000001</v>
      </c>
      <c r="EH24" s="1">
        <f>IF(EG24="","",IF(A24="","",RANK(EG24,$EG$3:$EG174,1)))</f>
        <v>22</v>
      </c>
      <c r="EI24" s="1">
        <f t="shared" si="75"/>
        <v>5</v>
      </c>
      <c r="EU24"/>
      <c r="EV24"/>
      <c r="EW24"/>
      <c r="EX24"/>
      <c r="EY24"/>
      <c r="EZ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</row>
    <row r="25" spans="1:171" ht="18.75">
      <c r="A25" s="1" t="s">
        <v>88</v>
      </c>
      <c r="B25" s="1">
        <v>20190710</v>
      </c>
      <c r="C25" s="1" t="s">
        <v>98</v>
      </c>
      <c r="D25" s="1">
        <v>9</v>
      </c>
      <c r="E25" s="30">
        <v>54.2</v>
      </c>
      <c r="F25" s="30">
        <v>38.4</v>
      </c>
      <c r="G25" s="30">
        <v>24.8</v>
      </c>
      <c r="H25" s="30">
        <v>12.3</v>
      </c>
      <c r="I25" s="30">
        <v>15.8</v>
      </c>
      <c r="J25" s="30">
        <v>13.6</v>
      </c>
      <c r="K25" s="30">
        <v>12.5</v>
      </c>
      <c r="L25" s="30">
        <v>12.3</v>
      </c>
      <c r="M25" s="1" t="str">
        <f t="shared" si="13"/>
        <v>2019/07/10</v>
      </c>
      <c r="N25" s="4" t="str">
        <f t="shared" si="14"/>
        <v/>
      </c>
      <c r="O25">
        <v>2.3000000000000001E-4</v>
      </c>
      <c r="P25" s="1" t="str">
        <f t="shared" si="15"/>
        <v/>
      </c>
      <c r="Q25" s="1" t="str">
        <f t="shared" si="16"/>
        <v/>
      </c>
      <c r="R25" s="1">
        <f t="shared" si="17"/>
        <v>9</v>
      </c>
      <c r="U25" s="1">
        <f t="shared" si="18"/>
        <v>54.200230000000005</v>
      </c>
      <c r="V25" s="1">
        <f t="shared" si="19"/>
        <v>47</v>
      </c>
      <c r="W25" s="1">
        <f t="shared" si="20"/>
        <v>9</v>
      </c>
      <c r="Z25" s="1" t="str">
        <f t="shared" si="21"/>
        <v/>
      </c>
      <c r="AA25" s="1" t="str">
        <f t="shared" si="22"/>
        <v/>
      </c>
      <c r="AB25" s="1">
        <f t="shared" si="23"/>
        <v>9</v>
      </c>
      <c r="AE25" s="1">
        <f t="shared" si="24"/>
        <v>38.400230000000001</v>
      </c>
      <c r="AF25" s="1">
        <f t="shared" si="25"/>
        <v>37</v>
      </c>
      <c r="AG25" s="1">
        <f t="shared" si="26"/>
        <v>9</v>
      </c>
      <c r="AJ25" s="1" t="str">
        <f t="shared" si="27"/>
        <v/>
      </c>
      <c r="AK25" s="1" t="str">
        <f t="shared" si="28"/>
        <v/>
      </c>
      <c r="AL25" s="1">
        <f t="shared" si="29"/>
        <v>9</v>
      </c>
      <c r="AO25" s="1">
        <f t="shared" si="30"/>
        <v>24.800229999999999</v>
      </c>
      <c r="AP25" s="1">
        <f t="shared" si="31"/>
        <v>26</v>
      </c>
      <c r="AQ25" s="1">
        <f t="shared" si="32"/>
        <v>9</v>
      </c>
      <c r="AT25" s="1">
        <f t="shared" si="33"/>
        <v>2.2000000000000011</v>
      </c>
      <c r="AU25" s="1">
        <f t="shared" si="34"/>
        <v>1.0999999999999996</v>
      </c>
      <c r="AV25" s="1">
        <f t="shared" si="35"/>
        <v>0.19999999999999929</v>
      </c>
      <c r="AW25" s="1">
        <f t="shared" si="36"/>
        <v>3.5</v>
      </c>
      <c r="AX25" s="1">
        <f t="shared" si="37"/>
        <v>1.1668966666666667</v>
      </c>
      <c r="AY25" s="1">
        <f t="shared" si="38"/>
        <v>13</v>
      </c>
      <c r="AZ25" s="1">
        <f t="shared" si="39"/>
        <v>9</v>
      </c>
      <c r="BC25" s="1">
        <f t="shared" si="40"/>
        <v>3.3002300000000009</v>
      </c>
      <c r="BD25" s="1">
        <f t="shared" si="41"/>
        <v>44</v>
      </c>
      <c r="BE25" s="1">
        <f t="shared" si="42"/>
        <v>9</v>
      </c>
      <c r="BH25" s="1" t="str">
        <f t="shared" si="43"/>
        <v/>
      </c>
      <c r="BI25" s="1" t="str">
        <f>IF(A25="","",IF(BH25="","",RANK(BH25,$BH$3:$BH175,1)))</f>
        <v/>
      </c>
      <c r="BJ25" s="1">
        <f t="shared" si="44"/>
        <v>9</v>
      </c>
      <c r="BM25" s="1">
        <f t="shared" si="45"/>
        <v>1.9325000000000045</v>
      </c>
      <c r="BN25" s="1">
        <f>IF(A25="","",IF(BM25="","",RANK(BM25,$BM$3:$BM175,1)))</f>
        <v>107</v>
      </c>
      <c r="BO25" s="1">
        <f t="shared" si="46"/>
        <v>9</v>
      </c>
      <c r="BR25" s="1">
        <f t="shared" si="47"/>
        <v>9</v>
      </c>
      <c r="BS25" s="1" t="str">
        <f t="shared" si="48"/>
        <v>メイショウイサナ　　　　　　　　　　</v>
      </c>
      <c r="BU25" s="1" t="s">
        <v>61</v>
      </c>
      <c r="CD25" s="1" t="str">
        <f t="shared" si="52"/>
        <v/>
      </c>
      <c r="CE25" s="1" t="str">
        <f>IF(A25="","",IF(CD25="","",RANK(CD25,$CD$3:$CD175,1)))</f>
        <v/>
      </c>
      <c r="CF25" s="1">
        <f t="shared" si="53"/>
        <v>9</v>
      </c>
      <c r="CI25" s="1" t="str">
        <f t="shared" si="54"/>
        <v/>
      </c>
      <c r="CJ25" s="1" t="str">
        <f>IF(A25="","",IF(CI25="","",RANK(CI25,$CI$3:$CI175,1)))</f>
        <v/>
      </c>
      <c r="CK25" s="1">
        <f t="shared" si="55"/>
        <v>9</v>
      </c>
      <c r="CN25" s="1" t="str">
        <f t="shared" si="56"/>
        <v/>
      </c>
      <c r="CO25" s="1" t="str">
        <f>IF(A25="","",IF(CN25="","",RANK(CN25,$CN$3:$CN175,1)))</f>
        <v/>
      </c>
      <c r="CP25" s="1">
        <f t="shared" si="57"/>
        <v>9</v>
      </c>
      <c r="CS25" s="1" t="str">
        <f t="shared" si="58"/>
        <v/>
      </c>
      <c r="CT25" s="1" t="str">
        <f>IF(A25="","",IF(CS25="","",RANK(CS25,$CS$3:$CS175,1)))</f>
        <v/>
      </c>
      <c r="CU25" s="1">
        <f t="shared" si="59"/>
        <v>9</v>
      </c>
      <c r="CX25" s="1" t="str">
        <f t="shared" si="60"/>
        <v/>
      </c>
      <c r="CY25" s="1" t="str">
        <f>IF(CX25="","",IF(A25="","",RANK(CX25,$CX$3:$CX175,1)))</f>
        <v/>
      </c>
      <c r="CZ25" s="1">
        <f t="shared" si="61"/>
        <v>9</v>
      </c>
      <c r="DC25" s="1" t="str">
        <f t="shared" si="62"/>
        <v/>
      </c>
      <c r="DD25" s="1" t="str">
        <f>IF(DC25="","",IF(A25="","",RANK(DC25,$DC$3:$DC175,1)))</f>
        <v/>
      </c>
      <c r="DE25" s="1">
        <f t="shared" si="63"/>
        <v>9</v>
      </c>
      <c r="DH25" s="1" t="str">
        <f t="shared" si="64"/>
        <v/>
      </c>
      <c r="DI25" s="1" t="str">
        <f>IF(DH25="","",IF(A25="","",RANK(DH25,$DH$3:$DH175,1)))</f>
        <v/>
      </c>
      <c r="DJ25" s="1">
        <f t="shared" si="65"/>
        <v>9</v>
      </c>
      <c r="DM25" s="1" t="str">
        <f t="shared" si="66"/>
        <v/>
      </c>
      <c r="DN25" s="1" t="str">
        <f>IF(DM25="","",IF(A25="","",RANK(DM25,$DM$3:$DM175,1)))</f>
        <v/>
      </c>
      <c r="DO25" s="1">
        <f t="shared" si="67"/>
        <v>9</v>
      </c>
      <c r="DR25" s="1">
        <f t="shared" si="68"/>
        <v>15.800230000000001</v>
      </c>
      <c r="DS25" s="1">
        <f>IF(DR25="","",IF(A25="","",RANK(DR25,$DR$3:$DR175,1)))</f>
        <v>90</v>
      </c>
      <c r="DT25" s="1">
        <f t="shared" si="69"/>
        <v>9</v>
      </c>
      <c r="DW25" s="1">
        <f t="shared" si="70"/>
        <v>13.60023</v>
      </c>
      <c r="DX25" s="1">
        <f>IF(DW25="","",IF(A25="","",RANK(DW25,$DW$3:$DW175,1)))</f>
        <v>48</v>
      </c>
      <c r="DY25" s="1">
        <f t="shared" si="71"/>
        <v>9</v>
      </c>
      <c r="EB25" s="1">
        <f t="shared" si="72"/>
        <v>12.50023</v>
      </c>
      <c r="EC25" s="1">
        <f>IF(EB25="","",IF(A25="","",RANK(EB25,$EB$3:$EB175,1)))</f>
        <v>46</v>
      </c>
      <c r="ED25" s="1">
        <f t="shared" si="73"/>
        <v>9</v>
      </c>
      <c r="EG25" s="1">
        <f t="shared" si="74"/>
        <v>12.300230000000001</v>
      </c>
      <c r="EH25" s="1">
        <f>IF(EG25="","",IF(A25="","",RANK(EG25,$EG$3:$EG175,1)))</f>
        <v>23</v>
      </c>
      <c r="EI25" s="1">
        <f t="shared" si="75"/>
        <v>9</v>
      </c>
      <c r="EU25"/>
      <c r="EV25"/>
      <c r="EW25"/>
      <c r="EX25"/>
      <c r="EY25"/>
      <c r="EZ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</row>
    <row r="26" spans="1:171" ht="18.75">
      <c r="A26" s="1" t="s">
        <v>88</v>
      </c>
      <c r="B26" s="1">
        <v>20190130</v>
      </c>
      <c r="C26" s="1" t="s">
        <v>94</v>
      </c>
      <c r="D26" s="1">
        <v>5</v>
      </c>
      <c r="E26" s="30">
        <v>53</v>
      </c>
      <c r="F26" s="30">
        <v>38.200000000000003</v>
      </c>
      <c r="G26" s="30">
        <v>24.7</v>
      </c>
      <c r="H26" s="30">
        <v>12.4</v>
      </c>
      <c r="I26" s="30">
        <v>14.8</v>
      </c>
      <c r="J26" s="30">
        <v>13.5</v>
      </c>
      <c r="K26" s="30">
        <v>12.3</v>
      </c>
      <c r="L26" s="30">
        <v>12.4</v>
      </c>
      <c r="M26" s="1" t="str">
        <f t="shared" si="13"/>
        <v>2019/01/30</v>
      </c>
      <c r="N26" s="4" t="str">
        <f t="shared" si="14"/>
        <v/>
      </c>
      <c r="O26">
        <v>2.4000000000000001E-4</v>
      </c>
      <c r="P26" s="1" t="str">
        <f t="shared" si="15"/>
        <v/>
      </c>
      <c r="Q26" s="1" t="str">
        <f t="shared" si="16"/>
        <v/>
      </c>
      <c r="R26" s="1">
        <f t="shared" si="17"/>
        <v>5</v>
      </c>
      <c r="U26" s="1">
        <f t="shared" si="18"/>
        <v>53.000239999999998</v>
      </c>
      <c r="V26" s="1">
        <f t="shared" si="19"/>
        <v>27</v>
      </c>
      <c r="W26" s="1">
        <f t="shared" si="20"/>
        <v>5</v>
      </c>
      <c r="Z26" s="1" t="str">
        <f t="shared" si="21"/>
        <v/>
      </c>
      <c r="AA26" s="1" t="str">
        <f t="shared" si="22"/>
        <v/>
      </c>
      <c r="AB26" s="1">
        <f t="shared" si="23"/>
        <v>5</v>
      </c>
      <c r="AE26" s="1">
        <f t="shared" si="24"/>
        <v>38.200240000000001</v>
      </c>
      <c r="AF26" s="1">
        <f t="shared" si="25"/>
        <v>26</v>
      </c>
      <c r="AG26" s="1">
        <f t="shared" si="26"/>
        <v>5</v>
      </c>
      <c r="AJ26" s="1" t="str">
        <f t="shared" si="27"/>
        <v/>
      </c>
      <c r="AK26" s="1" t="str">
        <f t="shared" si="28"/>
        <v/>
      </c>
      <c r="AL26" s="1">
        <f t="shared" si="29"/>
        <v>5</v>
      </c>
      <c r="AO26" s="1">
        <f t="shared" si="30"/>
        <v>24.700240000000001</v>
      </c>
      <c r="AP26" s="1">
        <f t="shared" si="31"/>
        <v>20</v>
      </c>
      <c r="AQ26" s="1">
        <f t="shared" si="32"/>
        <v>5</v>
      </c>
      <c r="AT26" s="1">
        <f t="shared" si="33"/>
        <v>1.3000000000000007</v>
      </c>
      <c r="AU26" s="1">
        <f t="shared" si="34"/>
        <v>1.1999999999999993</v>
      </c>
      <c r="AV26" s="1">
        <f t="shared" si="35"/>
        <v>-9.9999999999999645E-2</v>
      </c>
      <c r="AW26" s="1">
        <f t="shared" si="36"/>
        <v>2.4000000000000004</v>
      </c>
      <c r="AX26" s="1">
        <f t="shared" si="37"/>
        <v>0</v>
      </c>
      <c r="AY26" s="1">
        <f t="shared" si="38"/>
        <v>25</v>
      </c>
      <c r="AZ26" s="1">
        <f t="shared" si="39"/>
        <v>5</v>
      </c>
      <c r="BC26" s="1">
        <f t="shared" si="40"/>
        <v>2.5002399999999998</v>
      </c>
      <c r="BD26" s="1">
        <f t="shared" si="41"/>
        <v>74</v>
      </c>
      <c r="BE26" s="1">
        <f t="shared" si="42"/>
        <v>5</v>
      </c>
      <c r="BH26" s="1" t="str">
        <f t="shared" si="43"/>
        <v/>
      </c>
      <c r="BI26" s="1" t="str">
        <f>IF(A26="","",IF(BH26="","",RANK(BH26,$BH$3:$BH176,1)))</f>
        <v/>
      </c>
      <c r="BJ26" s="1">
        <f t="shared" si="44"/>
        <v>5</v>
      </c>
      <c r="BM26" s="1">
        <f t="shared" si="45"/>
        <v>1.0225</v>
      </c>
      <c r="BN26" s="1">
        <f>IF(A26="","",IF(BM26="","",RANK(BM26,$BM$3:$BM176,1)))</f>
        <v>60</v>
      </c>
      <c r="BO26" s="1">
        <f t="shared" si="46"/>
        <v>5</v>
      </c>
      <c r="BR26" s="1">
        <f t="shared" si="47"/>
        <v>5</v>
      </c>
      <c r="BS26" s="1" t="str">
        <f t="shared" si="48"/>
        <v>シグナライズ　　　　　　　　　　　　</v>
      </c>
      <c r="BU26" s="1" t="s">
        <v>62</v>
      </c>
      <c r="CD26" s="1" t="str">
        <f t="shared" si="52"/>
        <v/>
      </c>
      <c r="CE26" s="1" t="str">
        <f>IF(A26="","",IF(CD26="","",RANK(CD26,$CD$3:$CD176,1)))</f>
        <v/>
      </c>
      <c r="CF26" s="1">
        <f t="shared" si="53"/>
        <v>5</v>
      </c>
      <c r="CI26" s="1" t="str">
        <f t="shared" si="54"/>
        <v/>
      </c>
      <c r="CJ26" s="1" t="str">
        <f>IF(A26="","",IF(CI26="","",RANK(CI26,$CI$3:$CI176,1)))</f>
        <v/>
      </c>
      <c r="CK26" s="1">
        <f t="shared" si="55"/>
        <v>5</v>
      </c>
      <c r="CN26" s="1" t="str">
        <f t="shared" si="56"/>
        <v/>
      </c>
      <c r="CO26" s="1" t="str">
        <f>IF(A26="","",IF(CN26="","",RANK(CN26,$CN$3:$CN176,1)))</f>
        <v/>
      </c>
      <c r="CP26" s="1">
        <f t="shared" si="57"/>
        <v>5</v>
      </c>
      <c r="CS26" s="1" t="str">
        <f t="shared" si="58"/>
        <v/>
      </c>
      <c r="CT26" s="1" t="str">
        <f>IF(A26="","",IF(CS26="","",RANK(CS26,$CS$3:$CS176,1)))</f>
        <v/>
      </c>
      <c r="CU26" s="1">
        <f t="shared" si="59"/>
        <v>5</v>
      </c>
      <c r="CX26" s="1" t="str">
        <f t="shared" si="60"/>
        <v/>
      </c>
      <c r="CY26" s="1" t="str">
        <f>IF(CX26="","",IF(A26="","",RANK(CX26,$CX$3:$CX176,1)))</f>
        <v/>
      </c>
      <c r="CZ26" s="1">
        <f t="shared" si="61"/>
        <v>5</v>
      </c>
      <c r="DC26" s="1" t="str">
        <f t="shared" si="62"/>
        <v/>
      </c>
      <c r="DD26" s="1" t="str">
        <f>IF(DC26="","",IF(A26="","",RANK(DC26,$DC$3:$DC176,1)))</f>
        <v/>
      </c>
      <c r="DE26" s="1">
        <f t="shared" si="63"/>
        <v>5</v>
      </c>
      <c r="DH26" s="1" t="str">
        <f t="shared" si="64"/>
        <v/>
      </c>
      <c r="DI26" s="1" t="str">
        <f>IF(DH26="","",IF(A26="","",RANK(DH26,$DH$3:$DH176,1)))</f>
        <v/>
      </c>
      <c r="DJ26" s="1">
        <f t="shared" si="65"/>
        <v>5</v>
      </c>
      <c r="DM26" s="1" t="str">
        <f t="shared" si="66"/>
        <v/>
      </c>
      <c r="DN26" s="1" t="str">
        <f>IF(DM26="","",IF(A26="","",RANK(DM26,$DM$3:$DM176,1)))</f>
        <v/>
      </c>
      <c r="DO26" s="1">
        <f t="shared" si="67"/>
        <v>5</v>
      </c>
      <c r="DR26" s="1">
        <f t="shared" si="68"/>
        <v>14.800240000000001</v>
      </c>
      <c r="DS26" s="1">
        <f>IF(DR26="","",IF(A26="","",RANK(DR26,$DR$3:$DR176,1)))</f>
        <v>37</v>
      </c>
      <c r="DT26" s="1">
        <f t="shared" si="69"/>
        <v>5</v>
      </c>
      <c r="DW26" s="1">
        <f t="shared" si="70"/>
        <v>13.50024</v>
      </c>
      <c r="DX26" s="1">
        <f>IF(DW26="","",IF(A26="","",RANK(DW26,$DW$3:$DW176,1)))</f>
        <v>38</v>
      </c>
      <c r="DY26" s="1">
        <f t="shared" si="71"/>
        <v>5</v>
      </c>
      <c r="EB26" s="1">
        <f t="shared" si="72"/>
        <v>12.300240000000001</v>
      </c>
      <c r="EC26" s="1">
        <f>IF(EB26="","",IF(A26="","",RANK(EB26,$EB$3:$EB176,1)))</f>
        <v>23</v>
      </c>
      <c r="ED26" s="1">
        <f t="shared" si="73"/>
        <v>5</v>
      </c>
      <c r="EG26" s="1">
        <f t="shared" si="74"/>
        <v>12.40024</v>
      </c>
      <c r="EH26" s="1">
        <f>IF(EG26="","",IF(A26="","",RANK(EG26,$EG$3:$EG176,1)))</f>
        <v>24</v>
      </c>
      <c r="EI26" s="1">
        <f t="shared" si="75"/>
        <v>5</v>
      </c>
    </row>
    <row r="27" spans="1:171" ht="18.75">
      <c r="A27" s="1" t="s">
        <v>88</v>
      </c>
      <c r="B27" s="1">
        <v>20190130</v>
      </c>
      <c r="C27" s="1" t="s">
        <v>98</v>
      </c>
      <c r="D27" s="1">
        <v>9</v>
      </c>
      <c r="E27" s="30">
        <v>55</v>
      </c>
      <c r="F27" s="30">
        <v>38.6</v>
      </c>
      <c r="G27" s="30">
        <v>24.7</v>
      </c>
      <c r="H27" s="30">
        <v>12.4</v>
      </c>
      <c r="I27" s="30">
        <v>16.399999999999999</v>
      </c>
      <c r="J27" s="30">
        <v>13.9</v>
      </c>
      <c r="K27" s="30">
        <v>12.3</v>
      </c>
      <c r="L27" s="30">
        <v>12.4</v>
      </c>
      <c r="M27" s="1" t="str">
        <f t="shared" si="13"/>
        <v>2019/01/30</v>
      </c>
      <c r="N27" s="4" t="str">
        <f t="shared" si="14"/>
        <v/>
      </c>
      <c r="O27">
        <v>2.5000000000000001E-4</v>
      </c>
      <c r="P27" s="1" t="str">
        <f t="shared" si="15"/>
        <v/>
      </c>
      <c r="Q27" s="1" t="str">
        <f t="shared" si="16"/>
        <v/>
      </c>
      <c r="R27" s="1">
        <f t="shared" si="17"/>
        <v>9</v>
      </c>
      <c r="U27" s="1">
        <f t="shared" si="18"/>
        <v>55.000250000000001</v>
      </c>
      <c r="V27" s="1">
        <f t="shared" si="19"/>
        <v>73</v>
      </c>
      <c r="W27" s="1">
        <f t="shared" si="20"/>
        <v>9</v>
      </c>
      <c r="Z27" s="1" t="str">
        <f t="shared" si="21"/>
        <v/>
      </c>
      <c r="AA27" s="1" t="str">
        <f t="shared" si="22"/>
        <v/>
      </c>
      <c r="AB27" s="1">
        <f t="shared" si="23"/>
        <v>9</v>
      </c>
      <c r="AE27" s="1">
        <f t="shared" si="24"/>
        <v>38.600250000000003</v>
      </c>
      <c r="AF27" s="1">
        <f t="shared" si="25"/>
        <v>45</v>
      </c>
      <c r="AG27" s="1">
        <f t="shared" si="26"/>
        <v>9</v>
      </c>
      <c r="AJ27" s="1" t="str">
        <f t="shared" si="27"/>
        <v/>
      </c>
      <c r="AK27" s="1" t="str">
        <f t="shared" si="28"/>
        <v/>
      </c>
      <c r="AL27" s="1">
        <f t="shared" si="29"/>
        <v>9</v>
      </c>
      <c r="AO27" s="1">
        <f t="shared" si="30"/>
        <v>24.70025</v>
      </c>
      <c r="AP27" s="1">
        <f t="shared" si="31"/>
        <v>21</v>
      </c>
      <c r="AQ27" s="1">
        <f t="shared" si="32"/>
        <v>9</v>
      </c>
      <c r="AT27" s="1">
        <f t="shared" si="33"/>
        <v>2.4999999999999982</v>
      </c>
      <c r="AU27" s="1">
        <f t="shared" si="34"/>
        <v>1.5999999999999996</v>
      </c>
      <c r="AV27" s="1">
        <f t="shared" si="35"/>
        <v>-9.9999999999999645E-2</v>
      </c>
      <c r="AW27" s="1">
        <f t="shared" si="36"/>
        <v>3.9999999999999982</v>
      </c>
      <c r="AX27" s="1">
        <f t="shared" si="37"/>
        <v>0</v>
      </c>
      <c r="AY27" s="1">
        <f t="shared" si="38"/>
        <v>25</v>
      </c>
      <c r="AZ27" s="1">
        <f t="shared" si="39"/>
        <v>9</v>
      </c>
      <c r="BC27" s="1">
        <f t="shared" si="40"/>
        <v>4.1002499999999982</v>
      </c>
      <c r="BD27" s="1">
        <f t="shared" si="41"/>
        <v>19</v>
      </c>
      <c r="BE27" s="1">
        <f t="shared" si="42"/>
        <v>9</v>
      </c>
      <c r="BH27" s="1" t="str">
        <f t="shared" si="43"/>
        <v/>
      </c>
      <c r="BI27" s="1" t="str">
        <f>IF(A27="","",IF(BH27="","",RANK(BH27,$BH$3:$BH177,1)))</f>
        <v/>
      </c>
      <c r="BJ27" s="1">
        <f t="shared" si="44"/>
        <v>9</v>
      </c>
      <c r="BM27" s="1">
        <f t="shared" si="45"/>
        <v>2.7425000000000637</v>
      </c>
      <c r="BN27" s="1">
        <f>IF(A27="","",IF(BM27="","",RANK(BM27,$BM$3:$BM177,1)))</f>
        <v>127</v>
      </c>
      <c r="BO27" s="1">
        <f t="shared" si="46"/>
        <v>9</v>
      </c>
      <c r="BR27" s="1">
        <f t="shared" si="47"/>
        <v>9</v>
      </c>
      <c r="BS27" s="1" t="str">
        <f t="shared" si="48"/>
        <v>メイショウイサナ　　　　　　　　　　</v>
      </c>
      <c r="CD27" s="1" t="str">
        <f t="shared" si="52"/>
        <v/>
      </c>
      <c r="CE27" s="1" t="str">
        <f>IF(A27="","",IF(CD27="","",RANK(CD27,$CD$3:$CD177,1)))</f>
        <v/>
      </c>
      <c r="CF27" s="1">
        <f t="shared" si="53"/>
        <v>9</v>
      </c>
      <c r="CI27" s="1" t="str">
        <f t="shared" si="54"/>
        <v/>
      </c>
      <c r="CJ27" s="1" t="str">
        <f>IF(A27="","",IF(CI27="","",RANK(CI27,$CI$3:$CI177,1)))</f>
        <v/>
      </c>
      <c r="CK27" s="1">
        <f t="shared" si="55"/>
        <v>9</v>
      </c>
      <c r="CN27" s="1" t="str">
        <f t="shared" si="56"/>
        <v/>
      </c>
      <c r="CO27" s="1" t="str">
        <f>IF(A27="","",IF(CN27="","",RANK(CN27,$CN$3:$CN177,1)))</f>
        <v/>
      </c>
      <c r="CP27" s="1">
        <f t="shared" si="57"/>
        <v>9</v>
      </c>
      <c r="CS27" s="1" t="str">
        <f t="shared" si="58"/>
        <v/>
      </c>
      <c r="CT27" s="1" t="str">
        <f>IF(A27="","",IF(CS27="","",RANK(CS27,$CS$3:$CS177,1)))</f>
        <v/>
      </c>
      <c r="CU27" s="1">
        <f t="shared" si="59"/>
        <v>9</v>
      </c>
      <c r="CX27" s="1" t="str">
        <f t="shared" si="60"/>
        <v/>
      </c>
      <c r="CY27" s="1" t="str">
        <f>IF(CX27="","",IF(A27="","",RANK(CX27,$CX$3:$CX177,1)))</f>
        <v/>
      </c>
      <c r="CZ27" s="1">
        <f t="shared" si="61"/>
        <v>9</v>
      </c>
      <c r="DC27" s="1" t="str">
        <f t="shared" si="62"/>
        <v/>
      </c>
      <c r="DD27" s="1" t="str">
        <f>IF(DC27="","",IF(A27="","",RANK(DC27,$DC$3:$DC177,1)))</f>
        <v/>
      </c>
      <c r="DE27" s="1">
        <f t="shared" si="63"/>
        <v>9</v>
      </c>
      <c r="DH27" s="1" t="str">
        <f t="shared" si="64"/>
        <v/>
      </c>
      <c r="DI27" s="1" t="str">
        <f>IF(DH27="","",IF(A27="","",RANK(DH27,$DH$3:$DH177,1)))</f>
        <v/>
      </c>
      <c r="DJ27" s="1">
        <f t="shared" si="65"/>
        <v>9</v>
      </c>
      <c r="DM27" s="1" t="str">
        <f t="shared" si="66"/>
        <v/>
      </c>
      <c r="DN27" s="1" t="str">
        <f>IF(DM27="","",IF(A27="","",RANK(DM27,$DM$3:$DM177,1)))</f>
        <v/>
      </c>
      <c r="DO27" s="1">
        <f t="shared" si="67"/>
        <v>9</v>
      </c>
      <c r="DR27" s="1">
        <f t="shared" si="68"/>
        <v>16.40025</v>
      </c>
      <c r="DS27" s="1">
        <f>IF(DR27="","",IF(A27="","",RANK(DR27,$DR$3:$DR177,1)))</f>
        <v>108</v>
      </c>
      <c r="DT27" s="1">
        <f t="shared" si="69"/>
        <v>9</v>
      </c>
      <c r="DW27" s="1">
        <f t="shared" si="70"/>
        <v>13.90025</v>
      </c>
      <c r="DX27" s="1">
        <f>IF(DW27="","",IF(A27="","",RANK(DW27,$DW$3:$DW177,1)))</f>
        <v>69</v>
      </c>
      <c r="DY27" s="1">
        <f t="shared" si="71"/>
        <v>9</v>
      </c>
      <c r="EB27" s="1">
        <f t="shared" si="72"/>
        <v>12.30025</v>
      </c>
      <c r="EC27" s="1">
        <f>IF(EB27="","",IF(A27="","",RANK(EB27,$EB$3:$EB177,1)))</f>
        <v>24</v>
      </c>
      <c r="ED27" s="1">
        <f t="shared" si="73"/>
        <v>9</v>
      </c>
      <c r="EG27" s="1">
        <f t="shared" si="74"/>
        <v>12.40025</v>
      </c>
      <c r="EH27" s="1">
        <f>IF(EG27="","",IF(A27="","",RANK(EG27,$EG$3:$EG177,1)))</f>
        <v>25</v>
      </c>
      <c r="EI27" s="1">
        <f t="shared" si="75"/>
        <v>9</v>
      </c>
    </row>
    <row r="28" spans="1:171" ht="18.75">
      <c r="A28" s="1" t="s">
        <v>88</v>
      </c>
      <c r="B28" s="1">
        <v>20190220</v>
      </c>
      <c r="C28" s="1" t="s">
        <v>96</v>
      </c>
      <c r="D28" s="1">
        <v>7</v>
      </c>
      <c r="E28" s="30">
        <v>52.1</v>
      </c>
      <c r="F28" s="30">
        <v>37.5</v>
      </c>
      <c r="G28" s="30">
        <v>24.4</v>
      </c>
      <c r="H28" s="30">
        <v>12.4</v>
      </c>
      <c r="I28" s="30">
        <v>14.6</v>
      </c>
      <c r="J28" s="30">
        <v>13.1</v>
      </c>
      <c r="K28" s="30">
        <v>12</v>
      </c>
      <c r="L28" s="30">
        <v>12.4</v>
      </c>
      <c r="M28" s="1" t="str">
        <f t="shared" si="13"/>
        <v>2019/02/20</v>
      </c>
      <c r="N28" s="4" t="str">
        <f t="shared" si="14"/>
        <v/>
      </c>
      <c r="O28">
        <v>2.6000000000000003E-4</v>
      </c>
      <c r="P28" s="1" t="str">
        <f t="shared" si="15"/>
        <v/>
      </c>
      <c r="Q28" s="1" t="str">
        <f t="shared" si="16"/>
        <v/>
      </c>
      <c r="R28" s="1">
        <f t="shared" si="17"/>
        <v>7</v>
      </c>
      <c r="U28" s="1">
        <f t="shared" si="18"/>
        <v>52.100259999999999</v>
      </c>
      <c r="V28" s="1">
        <f t="shared" si="19"/>
        <v>13</v>
      </c>
      <c r="W28" s="1">
        <f t="shared" si="20"/>
        <v>7</v>
      </c>
      <c r="Z28" s="1" t="str">
        <f t="shared" si="21"/>
        <v/>
      </c>
      <c r="AA28" s="1" t="str">
        <f t="shared" si="22"/>
        <v/>
      </c>
      <c r="AB28" s="1">
        <f t="shared" si="23"/>
        <v>7</v>
      </c>
      <c r="AE28" s="1">
        <f t="shared" si="24"/>
        <v>37.500259999999997</v>
      </c>
      <c r="AF28" s="1">
        <f t="shared" si="25"/>
        <v>5</v>
      </c>
      <c r="AG28" s="1">
        <f t="shared" si="26"/>
        <v>7</v>
      </c>
      <c r="AJ28" s="1" t="str">
        <f t="shared" si="27"/>
        <v/>
      </c>
      <c r="AK28" s="1" t="str">
        <f t="shared" si="28"/>
        <v/>
      </c>
      <c r="AL28" s="1">
        <f t="shared" si="29"/>
        <v>7</v>
      </c>
      <c r="AO28" s="1">
        <f t="shared" si="30"/>
        <v>24.400259999999999</v>
      </c>
      <c r="AP28" s="1">
        <f t="shared" si="31"/>
        <v>5</v>
      </c>
      <c r="AQ28" s="1">
        <f t="shared" si="32"/>
        <v>7</v>
      </c>
      <c r="AT28" s="1">
        <f t="shared" si="33"/>
        <v>1.5</v>
      </c>
      <c r="AU28" s="1">
        <f t="shared" si="34"/>
        <v>1.0999999999999996</v>
      </c>
      <c r="AV28" s="1">
        <f t="shared" si="35"/>
        <v>-0.40000000000000036</v>
      </c>
      <c r="AW28" s="1">
        <f t="shared" si="36"/>
        <v>2.1999999999999993</v>
      </c>
      <c r="AX28" s="1">
        <f t="shared" si="37"/>
        <v>0</v>
      </c>
      <c r="AY28" s="1">
        <f t="shared" si="38"/>
        <v>25</v>
      </c>
      <c r="AZ28" s="1">
        <f t="shared" si="39"/>
        <v>7</v>
      </c>
      <c r="BC28" s="1">
        <f t="shared" si="40"/>
        <v>2.6002599999999996</v>
      </c>
      <c r="BD28" s="1">
        <f t="shared" si="41"/>
        <v>69</v>
      </c>
      <c r="BE28" s="1">
        <f t="shared" si="42"/>
        <v>7</v>
      </c>
      <c r="BH28" s="1" t="str">
        <f t="shared" si="43"/>
        <v/>
      </c>
      <c r="BI28" s="1" t="str">
        <f>IF(A28="","",IF(BH28="","",RANK(BH28,$BH$3:$BH178,1)))</f>
        <v/>
      </c>
      <c r="BJ28" s="1">
        <f t="shared" si="44"/>
        <v>7</v>
      </c>
      <c r="BM28" s="1">
        <f t="shared" si="45"/>
        <v>0.98187499999999961</v>
      </c>
      <c r="BN28" s="1">
        <f>IF(A28="","",IF(BM28="","",RANK(BM28,$BM$3:$BM178,1)))</f>
        <v>58</v>
      </c>
      <c r="BO28" s="1">
        <f t="shared" si="46"/>
        <v>7</v>
      </c>
      <c r="BR28" s="1">
        <f t="shared" si="47"/>
        <v>7</v>
      </c>
      <c r="BS28" s="1" t="str">
        <f t="shared" si="48"/>
        <v>サヤカチャン　　　　　　　　　　　　</v>
      </c>
      <c r="CD28" s="1" t="str">
        <f t="shared" si="52"/>
        <v/>
      </c>
      <c r="CE28" s="1" t="str">
        <f>IF(A28="","",IF(CD28="","",RANK(CD28,$CD$3:$CD178,1)))</f>
        <v/>
      </c>
      <c r="CF28" s="1">
        <f t="shared" si="53"/>
        <v>7</v>
      </c>
      <c r="CI28" s="1" t="str">
        <f t="shared" si="54"/>
        <v/>
      </c>
      <c r="CJ28" s="1" t="str">
        <f>IF(A28="","",IF(CI28="","",RANK(CI28,$CI$3:$CI178,1)))</f>
        <v/>
      </c>
      <c r="CK28" s="1">
        <f t="shared" si="55"/>
        <v>7</v>
      </c>
      <c r="CN28" s="1" t="str">
        <f t="shared" si="56"/>
        <v/>
      </c>
      <c r="CO28" s="1" t="str">
        <f>IF(A28="","",IF(CN28="","",RANK(CN28,$CN$3:$CN178,1)))</f>
        <v/>
      </c>
      <c r="CP28" s="1">
        <f t="shared" si="57"/>
        <v>7</v>
      </c>
      <c r="CS28" s="1" t="str">
        <f t="shared" si="58"/>
        <v/>
      </c>
      <c r="CT28" s="1" t="str">
        <f>IF(A28="","",IF(CS28="","",RANK(CS28,$CS$3:$CS178,1)))</f>
        <v/>
      </c>
      <c r="CU28" s="1">
        <f t="shared" si="59"/>
        <v>7</v>
      </c>
      <c r="CX28" s="1" t="str">
        <f t="shared" si="60"/>
        <v/>
      </c>
      <c r="CY28" s="1" t="str">
        <f>IF(CX28="","",IF(A28="","",RANK(CX28,$CX$3:$CX178,1)))</f>
        <v/>
      </c>
      <c r="CZ28" s="1">
        <f t="shared" si="61"/>
        <v>7</v>
      </c>
      <c r="DC28" s="1" t="str">
        <f t="shared" si="62"/>
        <v/>
      </c>
      <c r="DD28" s="1" t="str">
        <f>IF(DC28="","",IF(A28="","",RANK(DC28,$DC$3:$DC178,1)))</f>
        <v/>
      </c>
      <c r="DE28" s="1">
        <f t="shared" si="63"/>
        <v>7</v>
      </c>
      <c r="DH28" s="1" t="str">
        <f t="shared" si="64"/>
        <v/>
      </c>
      <c r="DI28" s="1" t="str">
        <f>IF(DH28="","",IF(A28="","",RANK(DH28,$DH$3:$DH178,1)))</f>
        <v/>
      </c>
      <c r="DJ28" s="1">
        <f t="shared" si="65"/>
        <v>7</v>
      </c>
      <c r="DM28" s="1" t="str">
        <f t="shared" si="66"/>
        <v/>
      </c>
      <c r="DN28" s="1" t="str">
        <f>IF(DM28="","",IF(A28="","",RANK(DM28,$DM$3:$DM178,1)))</f>
        <v/>
      </c>
      <c r="DO28" s="1">
        <f t="shared" si="67"/>
        <v>7</v>
      </c>
      <c r="DR28" s="1">
        <f t="shared" si="68"/>
        <v>14.60026</v>
      </c>
      <c r="DS28" s="1">
        <f>IF(DR28="","",IF(A28="","",RANK(DR28,$DR$3:$DR178,1)))</f>
        <v>26</v>
      </c>
      <c r="DT28" s="1">
        <f t="shared" si="69"/>
        <v>7</v>
      </c>
      <c r="DW28" s="1">
        <f t="shared" si="70"/>
        <v>13.10026</v>
      </c>
      <c r="DX28" s="1">
        <f>IF(DW28="","",IF(A28="","",RANK(DW28,$DW$3:$DW178,1)))</f>
        <v>15</v>
      </c>
      <c r="DY28" s="1">
        <f t="shared" si="71"/>
        <v>7</v>
      </c>
      <c r="EB28" s="1">
        <f t="shared" si="72"/>
        <v>12.000260000000001</v>
      </c>
      <c r="EC28" s="1">
        <f>IF(EB28="","",IF(A28="","",RANK(EB28,$EB$3:$EB178,1)))</f>
        <v>4</v>
      </c>
      <c r="ED28" s="1">
        <f t="shared" si="73"/>
        <v>7</v>
      </c>
      <c r="EG28" s="1">
        <f t="shared" si="74"/>
        <v>12.400260000000001</v>
      </c>
      <c r="EH28" s="1">
        <f>IF(EG28="","",IF(A28="","",RANK(EG28,$EG$3:$EG178,1)))</f>
        <v>26</v>
      </c>
      <c r="EI28" s="1">
        <f t="shared" si="75"/>
        <v>7</v>
      </c>
    </row>
    <row r="29" spans="1:171" ht="18.75">
      <c r="A29" s="1" t="s">
        <v>88</v>
      </c>
      <c r="B29" s="1">
        <v>20190221</v>
      </c>
      <c r="C29" s="1" t="s">
        <v>94</v>
      </c>
      <c r="D29" s="1">
        <v>5</v>
      </c>
      <c r="E29" s="30">
        <v>55.4</v>
      </c>
      <c r="F29" s="30">
        <v>40.200000000000003</v>
      </c>
      <c r="G29" s="30">
        <v>25.8</v>
      </c>
      <c r="H29" s="30">
        <v>12.4</v>
      </c>
      <c r="I29" s="30">
        <v>15.2</v>
      </c>
      <c r="J29" s="30">
        <v>14.4</v>
      </c>
      <c r="K29" s="30">
        <v>13.4</v>
      </c>
      <c r="L29" s="30">
        <v>12.4</v>
      </c>
      <c r="M29" s="1" t="str">
        <f t="shared" si="13"/>
        <v>2019/02/21</v>
      </c>
      <c r="N29" s="4" t="str">
        <f t="shared" si="14"/>
        <v/>
      </c>
      <c r="O29">
        <v>2.7000000000000006E-4</v>
      </c>
      <c r="P29" s="1" t="str">
        <f t="shared" si="15"/>
        <v/>
      </c>
      <c r="Q29" s="1" t="str">
        <f t="shared" si="16"/>
        <v/>
      </c>
      <c r="R29" s="1">
        <f t="shared" si="17"/>
        <v>5</v>
      </c>
      <c r="U29" s="1">
        <f t="shared" si="18"/>
        <v>55.400269999999999</v>
      </c>
      <c r="V29" s="1">
        <f t="shared" si="19"/>
        <v>78</v>
      </c>
      <c r="W29" s="1">
        <f t="shared" si="20"/>
        <v>5</v>
      </c>
      <c r="Z29" s="1" t="str">
        <f t="shared" si="21"/>
        <v/>
      </c>
      <c r="AA29" s="1" t="str">
        <f t="shared" si="22"/>
        <v/>
      </c>
      <c r="AB29" s="1">
        <f t="shared" si="23"/>
        <v>5</v>
      </c>
      <c r="AE29" s="1">
        <f t="shared" si="24"/>
        <v>40.200270000000003</v>
      </c>
      <c r="AF29" s="1">
        <f t="shared" si="25"/>
        <v>84</v>
      </c>
      <c r="AG29" s="1">
        <f t="shared" si="26"/>
        <v>5</v>
      </c>
      <c r="AJ29" s="1" t="str">
        <f t="shared" si="27"/>
        <v/>
      </c>
      <c r="AK29" s="1" t="str">
        <f t="shared" si="28"/>
        <v/>
      </c>
      <c r="AL29" s="1">
        <f t="shared" si="29"/>
        <v>5</v>
      </c>
      <c r="AO29" s="1">
        <f t="shared" si="30"/>
        <v>25.800270000000001</v>
      </c>
      <c r="AP29" s="1">
        <f t="shared" si="31"/>
        <v>84</v>
      </c>
      <c r="AQ29" s="1">
        <f t="shared" si="32"/>
        <v>5</v>
      </c>
      <c r="AT29" s="1">
        <f t="shared" si="33"/>
        <v>0.79999999999999893</v>
      </c>
      <c r="AU29" s="1">
        <f t="shared" si="34"/>
        <v>1</v>
      </c>
      <c r="AV29" s="1">
        <f t="shared" si="35"/>
        <v>1</v>
      </c>
      <c r="AW29" s="1">
        <f t="shared" si="36"/>
        <v>2.7999999999999989</v>
      </c>
      <c r="AX29" s="1">
        <f t="shared" si="37"/>
        <v>0.93360333333333301</v>
      </c>
      <c r="AY29" s="1">
        <f t="shared" si="38"/>
        <v>20</v>
      </c>
      <c r="AZ29" s="1">
        <f t="shared" si="39"/>
        <v>5</v>
      </c>
      <c r="BC29" s="1">
        <f t="shared" si="40"/>
        <v>1.8002699999999989</v>
      </c>
      <c r="BD29" s="1">
        <f t="shared" si="41"/>
        <v>118</v>
      </c>
      <c r="BE29" s="1">
        <f t="shared" si="42"/>
        <v>5</v>
      </c>
      <c r="BH29" s="1" t="str">
        <f t="shared" si="43"/>
        <v/>
      </c>
      <c r="BI29" s="1" t="str">
        <f>IF(A29="","",IF(BH29="","",RANK(BH29,$BH$3:$BH179,1)))</f>
        <v/>
      </c>
      <c r="BJ29" s="1">
        <f t="shared" si="44"/>
        <v>5</v>
      </c>
      <c r="BM29" s="1">
        <f t="shared" si="45"/>
        <v>1.1074999999999993</v>
      </c>
      <c r="BN29" s="1">
        <f>IF(A29="","",IF(BM29="","",RANK(BM29,$BM$3:$BM179,1)))</f>
        <v>69</v>
      </c>
      <c r="BO29" s="1">
        <f t="shared" si="46"/>
        <v>5</v>
      </c>
      <c r="BR29" s="1">
        <f t="shared" si="47"/>
        <v>5</v>
      </c>
      <c r="BS29" s="1" t="str">
        <f t="shared" si="48"/>
        <v>シグナライズ　　　　　　　　　　　　</v>
      </c>
      <c r="CD29" s="1" t="str">
        <f t="shared" si="52"/>
        <v/>
      </c>
      <c r="CE29" s="1" t="str">
        <f>IF(A29="","",IF(CD29="","",RANK(CD29,$CD$3:$CD179,1)))</f>
        <v/>
      </c>
      <c r="CF29" s="1">
        <f t="shared" si="53"/>
        <v>5</v>
      </c>
      <c r="CI29" s="1" t="str">
        <f t="shared" si="54"/>
        <v/>
      </c>
      <c r="CJ29" s="1" t="str">
        <f>IF(A29="","",IF(CI29="","",RANK(CI29,$CI$3:$CI179,1)))</f>
        <v/>
      </c>
      <c r="CK29" s="1">
        <f t="shared" si="55"/>
        <v>5</v>
      </c>
      <c r="CN29" s="1" t="str">
        <f t="shared" si="56"/>
        <v/>
      </c>
      <c r="CO29" s="1" t="str">
        <f>IF(A29="","",IF(CN29="","",RANK(CN29,$CN$3:$CN179,1)))</f>
        <v/>
      </c>
      <c r="CP29" s="1">
        <f t="shared" si="57"/>
        <v>5</v>
      </c>
      <c r="CS29" s="1" t="str">
        <f t="shared" si="58"/>
        <v/>
      </c>
      <c r="CT29" s="1" t="str">
        <f>IF(A29="","",IF(CS29="","",RANK(CS29,$CS$3:$CS179,1)))</f>
        <v/>
      </c>
      <c r="CU29" s="1">
        <f t="shared" si="59"/>
        <v>5</v>
      </c>
      <c r="CX29" s="1" t="str">
        <f t="shared" si="60"/>
        <v/>
      </c>
      <c r="CY29" s="1" t="str">
        <f>IF(CX29="","",IF(A29="","",RANK(CX29,$CX$3:$CX179,1)))</f>
        <v/>
      </c>
      <c r="CZ29" s="1">
        <f t="shared" si="61"/>
        <v>5</v>
      </c>
      <c r="DC29" s="1" t="str">
        <f t="shared" si="62"/>
        <v/>
      </c>
      <c r="DD29" s="1" t="str">
        <f>IF(DC29="","",IF(A29="","",RANK(DC29,$DC$3:$DC179,1)))</f>
        <v/>
      </c>
      <c r="DE29" s="1">
        <f t="shared" si="63"/>
        <v>5</v>
      </c>
      <c r="DH29" s="1" t="str">
        <f t="shared" si="64"/>
        <v/>
      </c>
      <c r="DI29" s="1" t="str">
        <f>IF(DH29="","",IF(A29="","",RANK(DH29,$DH$3:$DH179,1)))</f>
        <v/>
      </c>
      <c r="DJ29" s="1">
        <f t="shared" si="65"/>
        <v>5</v>
      </c>
      <c r="DM29" s="1" t="str">
        <f t="shared" si="66"/>
        <v/>
      </c>
      <c r="DN29" s="1" t="str">
        <f>IF(DM29="","",IF(A29="","",RANK(DM29,$DM$3:$DM179,1)))</f>
        <v/>
      </c>
      <c r="DO29" s="1">
        <f t="shared" si="67"/>
        <v>5</v>
      </c>
      <c r="DR29" s="1">
        <f t="shared" si="68"/>
        <v>15.20027</v>
      </c>
      <c r="DS29" s="1">
        <f>IF(DR29="","",IF(A29="","",RANK(DR29,$DR$3:$DR179,1)))</f>
        <v>55</v>
      </c>
      <c r="DT29" s="1">
        <f t="shared" si="69"/>
        <v>5</v>
      </c>
      <c r="DW29" s="1">
        <f t="shared" si="70"/>
        <v>14.400270000000001</v>
      </c>
      <c r="DX29" s="1">
        <f>IF(DW29="","",IF(A29="","",RANK(DW29,$DW$3:$DW179,1)))</f>
        <v>97</v>
      </c>
      <c r="DY29" s="1">
        <f t="shared" si="71"/>
        <v>5</v>
      </c>
      <c r="EB29" s="1">
        <f t="shared" si="72"/>
        <v>13.400270000000001</v>
      </c>
      <c r="EC29" s="1">
        <f>IF(EB29="","",IF(A29="","",RANK(EB29,$EB$3:$EB179,1)))</f>
        <v>101</v>
      </c>
      <c r="ED29" s="1">
        <f t="shared" si="73"/>
        <v>5</v>
      </c>
      <c r="EG29" s="1">
        <f t="shared" si="74"/>
        <v>12.400270000000001</v>
      </c>
      <c r="EH29" s="1">
        <f>IF(EG29="","",IF(A29="","",RANK(EG29,$EG$3:$EG179,1)))</f>
        <v>27</v>
      </c>
      <c r="EI29" s="1">
        <f t="shared" si="75"/>
        <v>5</v>
      </c>
    </row>
    <row r="30" spans="1:171" ht="18.75">
      <c r="A30" s="1" t="s">
        <v>88</v>
      </c>
      <c r="B30" s="1">
        <v>20190320</v>
      </c>
      <c r="C30" s="1" t="s">
        <v>94</v>
      </c>
      <c r="D30" s="1">
        <v>5</v>
      </c>
      <c r="E30" s="30">
        <v>55.5</v>
      </c>
      <c r="F30" s="30">
        <v>39.5</v>
      </c>
      <c r="G30" s="30">
        <v>25.1</v>
      </c>
      <c r="H30" s="30">
        <v>12.4</v>
      </c>
      <c r="I30" s="30">
        <v>16</v>
      </c>
      <c r="J30" s="30">
        <v>14.4</v>
      </c>
      <c r="K30" s="30">
        <v>12.7</v>
      </c>
      <c r="L30" s="30">
        <v>12.4</v>
      </c>
      <c r="M30" s="1" t="str">
        <f t="shared" si="13"/>
        <v>2019/03/20</v>
      </c>
      <c r="N30" s="4" t="str">
        <f t="shared" si="14"/>
        <v/>
      </c>
      <c r="O30">
        <v>2.8000000000000008E-4</v>
      </c>
      <c r="P30" s="1" t="str">
        <f t="shared" si="15"/>
        <v/>
      </c>
      <c r="Q30" s="1" t="str">
        <f t="shared" si="16"/>
        <v/>
      </c>
      <c r="R30" s="1">
        <f t="shared" si="17"/>
        <v>5</v>
      </c>
      <c r="U30" s="1">
        <f t="shared" si="18"/>
        <v>55.500279999999997</v>
      </c>
      <c r="V30" s="1">
        <f t="shared" si="19"/>
        <v>79</v>
      </c>
      <c r="W30" s="1">
        <f t="shared" si="20"/>
        <v>5</v>
      </c>
      <c r="Z30" s="1" t="str">
        <f t="shared" si="21"/>
        <v/>
      </c>
      <c r="AA30" s="1" t="str">
        <f t="shared" si="22"/>
        <v/>
      </c>
      <c r="AB30" s="1">
        <f t="shared" si="23"/>
        <v>5</v>
      </c>
      <c r="AE30" s="1">
        <f t="shared" si="24"/>
        <v>39.500279999999997</v>
      </c>
      <c r="AF30" s="1">
        <f t="shared" si="25"/>
        <v>72</v>
      </c>
      <c r="AG30" s="1">
        <f t="shared" si="26"/>
        <v>5</v>
      </c>
      <c r="AJ30" s="1" t="str">
        <f t="shared" si="27"/>
        <v/>
      </c>
      <c r="AK30" s="1" t="str">
        <f t="shared" si="28"/>
        <v/>
      </c>
      <c r="AL30" s="1">
        <f t="shared" si="29"/>
        <v>5</v>
      </c>
      <c r="AO30" s="1">
        <f t="shared" si="30"/>
        <v>25.100280000000001</v>
      </c>
      <c r="AP30" s="1">
        <f t="shared" si="31"/>
        <v>51</v>
      </c>
      <c r="AQ30" s="1">
        <f t="shared" si="32"/>
        <v>5</v>
      </c>
      <c r="AT30" s="1">
        <f t="shared" si="33"/>
        <v>1.5999999999999996</v>
      </c>
      <c r="AU30" s="1">
        <f t="shared" si="34"/>
        <v>1.7000000000000011</v>
      </c>
      <c r="AV30" s="1">
        <f t="shared" si="35"/>
        <v>0.29999999999999893</v>
      </c>
      <c r="AW30" s="1">
        <f t="shared" si="36"/>
        <v>3.5999999999999996</v>
      </c>
      <c r="AX30" s="1">
        <f t="shared" si="37"/>
        <v>1.20028</v>
      </c>
      <c r="AY30" s="1">
        <f t="shared" si="38"/>
        <v>9</v>
      </c>
      <c r="AZ30" s="1">
        <f t="shared" si="39"/>
        <v>5</v>
      </c>
      <c r="BC30" s="1">
        <f t="shared" si="40"/>
        <v>3.3002800000000008</v>
      </c>
      <c r="BD30" s="1">
        <f t="shared" si="41"/>
        <v>43</v>
      </c>
      <c r="BE30" s="1">
        <f t="shared" si="42"/>
        <v>5</v>
      </c>
      <c r="BH30" s="1" t="str">
        <f t="shared" si="43"/>
        <v/>
      </c>
      <c r="BI30" s="1" t="str">
        <f>IF(A30="","",IF(BH30="","",RANK(BH30,$BH$3:$BH180,1)))</f>
        <v/>
      </c>
      <c r="BJ30" s="1">
        <f t="shared" si="44"/>
        <v>5</v>
      </c>
      <c r="BM30" s="1">
        <f t="shared" si="45"/>
        <v>2.0868750000000489</v>
      </c>
      <c r="BN30" s="1">
        <f>IF(A30="","",IF(BM30="","",RANK(BM30,$BM$3:$BM180,1)))</f>
        <v>112</v>
      </c>
      <c r="BO30" s="1">
        <f t="shared" si="46"/>
        <v>5</v>
      </c>
      <c r="BR30" s="1">
        <f t="shared" si="47"/>
        <v>5</v>
      </c>
      <c r="BS30" s="1" t="str">
        <f t="shared" si="48"/>
        <v>シグナライズ　　　　　　　　　　　　</v>
      </c>
      <c r="CD30" s="1" t="str">
        <f t="shared" si="52"/>
        <v/>
      </c>
      <c r="CE30" s="1" t="str">
        <f>IF(A30="","",IF(CD30="","",RANK(CD30,$CD$3:$CD180,1)))</f>
        <v/>
      </c>
      <c r="CF30" s="1">
        <f t="shared" si="53"/>
        <v>5</v>
      </c>
      <c r="CI30" s="1" t="str">
        <f t="shared" si="54"/>
        <v/>
      </c>
      <c r="CJ30" s="1" t="str">
        <f>IF(A30="","",IF(CI30="","",RANK(CI30,$CI$3:$CI180,1)))</f>
        <v/>
      </c>
      <c r="CK30" s="1">
        <f t="shared" si="55"/>
        <v>5</v>
      </c>
      <c r="CN30" s="1" t="str">
        <f t="shared" si="56"/>
        <v/>
      </c>
      <c r="CO30" s="1" t="str">
        <f>IF(A30="","",IF(CN30="","",RANK(CN30,$CN$3:$CN180,1)))</f>
        <v/>
      </c>
      <c r="CP30" s="1">
        <f t="shared" si="57"/>
        <v>5</v>
      </c>
      <c r="CS30" s="1" t="str">
        <f t="shared" si="58"/>
        <v/>
      </c>
      <c r="CT30" s="1" t="str">
        <f>IF(A30="","",IF(CS30="","",RANK(CS30,$CS$3:$CS180,1)))</f>
        <v/>
      </c>
      <c r="CU30" s="1">
        <f t="shared" si="59"/>
        <v>5</v>
      </c>
      <c r="CX30" s="1" t="str">
        <f t="shared" si="60"/>
        <v/>
      </c>
      <c r="CY30" s="1" t="str">
        <f>IF(CX30="","",IF(A30="","",RANK(CX30,$CX$3:$CX180,1)))</f>
        <v/>
      </c>
      <c r="CZ30" s="1">
        <f t="shared" si="61"/>
        <v>5</v>
      </c>
      <c r="DC30" s="1" t="str">
        <f t="shared" si="62"/>
        <v/>
      </c>
      <c r="DD30" s="1" t="str">
        <f>IF(DC30="","",IF(A30="","",RANK(DC30,$DC$3:$DC180,1)))</f>
        <v/>
      </c>
      <c r="DE30" s="1">
        <f t="shared" si="63"/>
        <v>5</v>
      </c>
      <c r="DH30" s="1" t="str">
        <f t="shared" si="64"/>
        <v/>
      </c>
      <c r="DI30" s="1" t="str">
        <f>IF(DH30="","",IF(A30="","",RANK(DH30,$DH$3:$DH180,1)))</f>
        <v/>
      </c>
      <c r="DJ30" s="1">
        <f t="shared" si="65"/>
        <v>5</v>
      </c>
      <c r="DM30" s="1" t="str">
        <f t="shared" si="66"/>
        <v/>
      </c>
      <c r="DN30" s="1" t="str">
        <f>IF(DM30="","",IF(A30="","",RANK(DM30,$DM$3:$DM180,1)))</f>
        <v/>
      </c>
      <c r="DO30" s="1">
        <f t="shared" si="67"/>
        <v>5</v>
      </c>
      <c r="DR30" s="1">
        <f t="shared" si="68"/>
        <v>16.00028</v>
      </c>
      <c r="DS30" s="1">
        <f>IF(DR30="","",IF(A30="","",RANK(DR30,$DR$3:$DR180,1)))</f>
        <v>97</v>
      </c>
      <c r="DT30" s="1">
        <f t="shared" si="69"/>
        <v>5</v>
      </c>
      <c r="DW30" s="1">
        <f t="shared" si="70"/>
        <v>14.40028</v>
      </c>
      <c r="DX30" s="1">
        <f>IF(DW30="","",IF(A30="","",RANK(DW30,$DW$3:$DW180,1)))</f>
        <v>98</v>
      </c>
      <c r="DY30" s="1">
        <f t="shared" si="71"/>
        <v>5</v>
      </c>
      <c r="EB30" s="1">
        <f t="shared" si="72"/>
        <v>12.700279999999999</v>
      </c>
      <c r="EC30" s="1">
        <f>IF(EB30="","",IF(A30="","",RANK(EB30,$EB$3:$EB180,1)))</f>
        <v>66</v>
      </c>
      <c r="ED30" s="1">
        <f t="shared" si="73"/>
        <v>5</v>
      </c>
      <c r="EG30" s="1">
        <f t="shared" si="74"/>
        <v>12.40028</v>
      </c>
      <c r="EH30" s="1">
        <f>IF(EG30="","",IF(A30="","",RANK(EG30,$EG$3:$EG180,1)))</f>
        <v>28</v>
      </c>
      <c r="EI30" s="1">
        <f t="shared" si="75"/>
        <v>5</v>
      </c>
    </row>
    <row r="31" spans="1:171" ht="18.75">
      <c r="A31" s="1" t="s">
        <v>88</v>
      </c>
      <c r="B31" s="1">
        <v>20190428</v>
      </c>
      <c r="C31" s="1" t="s">
        <v>90</v>
      </c>
      <c r="D31" s="1">
        <v>1</v>
      </c>
      <c r="E31" s="30">
        <v>57.5</v>
      </c>
      <c r="F31" s="30">
        <v>40.799999999999997</v>
      </c>
      <c r="G31" s="30">
        <v>25</v>
      </c>
      <c r="H31" s="30">
        <v>12.4</v>
      </c>
      <c r="I31" s="30">
        <v>16.7</v>
      </c>
      <c r="J31" s="30">
        <v>15.8</v>
      </c>
      <c r="K31" s="30">
        <v>12.6</v>
      </c>
      <c r="L31" s="30">
        <v>12.4</v>
      </c>
      <c r="M31" s="1" t="str">
        <f t="shared" si="13"/>
        <v>2019/04/28</v>
      </c>
      <c r="N31" s="4" t="str">
        <f t="shared" si="14"/>
        <v/>
      </c>
      <c r="O31">
        <v>2.9000000000000011E-4</v>
      </c>
      <c r="P31" s="1" t="str">
        <f t="shared" si="15"/>
        <v/>
      </c>
      <c r="Q31" s="1" t="str">
        <f t="shared" si="16"/>
        <v/>
      </c>
      <c r="R31" s="1">
        <f t="shared" si="17"/>
        <v>1</v>
      </c>
      <c r="U31" s="1">
        <f t="shared" si="18"/>
        <v>57.50029</v>
      </c>
      <c r="V31" s="1">
        <f t="shared" si="19"/>
        <v>109</v>
      </c>
      <c r="W31" s="1">
        <f t="shared" si="20"/>
        <v>1</v>
      </c>
      <c r="Z31" s="1" t="str">
        <f t="shared" si="21"/>
        <v/>
      </c>
      <c r="AA31" s="1" t="str">
        <f t="shared" si="22"/>
        <v/>
      </c>
      <c r="AB31" s="1">
        <f t="shared" si="23"/>
        <v>1</v>
      </c>
      <c r="AE31" s="1">
        <f t="shared" si="24"/>
        <v>40.800289999999997</v>
      </c>
      <c r="AF31" s="1">
        <f t="shared" si="25"/>
        <v>98</v>
      </c>
      <c r="AG31" s="1">
        <f t="shared" si="26"/>
        <v>1</v>
      </c>
      <c r="AJ31" s="1" t="str">
        <f t="shared" si="27"/>
        <v/>
      </c>
      <c r="AK31" s="1" t="str">
        <f t="shared" si="28"/>
        <v/>
      </c>
      <c r="AL31" s="1">
        <f t="shared" si="29"/>
        <v>1</v>
      </c>
      <c r="AO31" s="1">
        <f t="shared" si="30"/>
        <v>25.00029</v>
      </c>
      <c r="AP31" s="1">
        <f t="shared" si="31"/>
        <v>45</v>
      </c>
      <c r="AQ31" s="1">
        <f t="shared" si="32"/>
        <v>1</v>
      </c>
      <c r="AT31" s="1">
        <f t="shared" si="33"/>
        <v>0.89999999999999858</v>
      </c>
      <c r="AU31" s="1">
        <f t="shared" si="34"/>
        <v>3.2000000000000011</v>
      </c>
      <c r="AV31" s="1">
        <f t="shared" si="35"/>
        <v>0.19999999999999929</v>
      </c>
      <c r="AW31" s="1">
        <f t="shared" si="36"/>
        <v>4.2999999999999989</v>
      </c>
      <c r="AX31" s="1">
        <f t="shared" si="37"/>
        <v>1.4336233333333328</v>
      </c>
      <c r="AY31" s="1">
        <f t="shared" si="38"/>
        <v>4</v>
      </c>
      <c r="AZ31" s="1">
        <f t="shared" si="39"/>
        <v>1</v>
      </c>
      <c r="BC31" s="1">
        <f t="shared" si="40"/>
        <v>4.1002899999999993</v>
      </c>
      <c r="BD31" s="1">
        <f t="shared" si="41"/>
        <v>18</v>
      </c>
      <c r="BE31" s="1">
        <f t="shared" si="42"/>
        <v>1</v>
      </c>
      <c r="BH31" s="1" t="str">
        <f t="shared" si="43"/>
        <v/>
      </c>
      <c r="BI31" s="1" t="str">
        <f>IF(A31="","",IF(BH31="","",RANK(BH31,$BH$3:$BH181,1)))</f>
        <v/>
      </c>
      <c r="BJ31" s="1">
        <f t="shared" si="44"/>
        <v>1</v>
      </c>
      <c r="BM31" s="1">
        <f t="shared" si="45"/>
        <v>3.6218749999999886</v>
      </c>
      <c r="BN31" s="1">
        <f>IF(A31="","",IF(BM31="","",RANK(BM31,$BM$3:$BM181,1)))</f>
        <v>138</v>
      </c>
      <c r="BO31" s="1">
        <f t="shared" si="46"/>
        <v>1</v>
      </c>
      <c r="BR31" s="1">
        <f t="shared" si="47"/>
        <v>1</v>
      </c>
      <c r="BS31" s="1" t="str">
        <f t="shared" si="48"/>
        <v>コウエイダリア　　　　　　　　　　　</v>
      </c>
      <c r="CD31" s="1" t="str">
        <f t="shared" si="52"/>
        <v/>
      </c>
      <c r="CE31" s="1" t="str">
        <f>IF(A31="","",IF(CD31="","",RANK(CD31,$CD$3:$CD181,1)))</f>
        <v/>
      </c>
      <c r="CF31" s="1">
        <f t="shared" si="53"/>
        <v>1</v>
      </c>
      <c r="CI31" s="1" t="str">
        <f t="shared" si="54"/>
        <v/>
      </c>
      <c r="CJ31" s="1" t="str">
        <f>IF(A31="","",IF(CI31="","",RANK(CI31,$CI$3:$CI181,1)))</f>
        <v/>
      </c>
      <c r="CK31" s="1">
        <f t="shared" si="55"/>
        <v>1</v>
      </c>
      <c r="CN31" s="1" t="str">
        <f t="shared" si="56"/>
        <v/>
      </c>
      <c r="CO31" s="1" t="str">
        <f>IF(A31="","",IF(CN31="","",RANK(CN31,$CN$3:$CN181,1)))</f>
        <v/>
      </c>
      <c r="CP31" s="1">
        <f t="shared" si="57"/>
        <v>1</v>
      </c>
      <c r="CS31" s="1" t="str">
        <f t="shared" si="58"/>
        <v/>
      </c>
      <c r="CT31" s="1" t="str">
        <f>IF(A31="","",IF(CS31="","",RANK(CS31,$CS$3:$CS181,1)))</f>
        <v/>
      </c>
      <c r="CU31" s="1">
        <f t="shared" si="59"/>
        <v>1</v>
      </c>
      <c r="CX31" s="1" t="str">
        <f t="shared" si="60"/>
        <v/>
      </c>
      <c r="CY31" s="1" t="str">
        <f>IF(CX31="","",IF(A31="","",RANK(CX31,$CX$3:$CX181,1)))</f>
        <v/>
      </c>
      <c r="CZ31" s="1">
        <f t="shared" si="61"/>
        <v>1</v>
      </c>
      <c r="DC31" s="1" t="str">
        <f t="shared" si="62"/>
        <v/>
      </c>
      <c r="DD31" s="1" t="str">
        <f>IF(DC31="","",IF(A31="","",RANK(DC31,$DC$3:$DC181,1)))</f>
        <v/>
      </c>
      <c r="DE31" s="1">
        <f t="shared" si="63"/>
        <v>1</v>
      </c>
      <c r="DH31" s="1" t="str">
        <f t="shared" si="64"/>
        <v/>
      </c>
      <c r="DI31" s="1" t="str">
        <f>IF(DH31="","",IF(A31="","",RANK(DH31,$DH$3:$DH181,1)))</f>
        <v/>
      </c>
      <c r="DJ31" s="1">
        <f t="shared" si="65"/>
        <v>1</v>
      </c>
      <c r="DM31" s="1" t="str">
        <f t="shared" si="66"/>
        <v/>
      </c>
      <c r="DN31" s="1" t="str">
        <f>IF(DM31="","",IF(A31="","",RANK(DM31,$DM$3:$DM181,1)))</f>
        <v/>
      </c>
      <c r="DO31" s="1">
        <f t="shared" si="67"/>
        <v>1</v>
      </c>
      <c r="DR31" s="1">
        <f t="shared" si="68"/>
        <v>16.700289999999999</v>
      </c>
      <c r="DS31" s="1">
        <f>IF(DR31="","",IF(A31="","",RANK(DR31,$DR$3:$DR181,1)))</f>
        <v>120</v>
      </c>
      <c r="DT31" s="1">
        <f t="shared" si="69"/>
        <v>1</v>
      </c>
      <c r="DW31" s="1">
        <f t="shared" si="70"/>
        <v>15.80029</v>
      </c>
      <c r="DX31" s="1">
        <f>IF(DW31="","",IF(A31="","",RANK(DW31,$DW$3:$DW181,1)))</f>
        <v>132</v>
      </c>
      <c r="DY31" s="1">
        <f t="shared" si="71"/>
        <v>1</v>
      </c>
      <c r="EB31" s="1">
        <f t="shared" si="72"/>
        <v>12.600289999999999</v>
      </c>
      <c r="EC31" s="1">
        <f>IF(EB31="","",IF(A31="","",RANK(EB31,$EB$3:$EB181,1)))</f>
        <v>52</v>
      </c>
      <c r="ED31" s="1">
        <f t="shared" si="73"/>
        <v>1</v>
      </c>
      <c r="EG31" s="1">
        <f t="shared" si="74"/>
        <v>12.40029</v>
      </c>
      <c r="EH31" s="1">
        <f>IF(EG31="","",IF(A31="","",RANK(EG31,$EG$3:$EG181,1)))</f>
        <v>29</v>
      </c>
      <c r="EI31" s="1">
        <f t="shared" si="75"/>
        <v>1</v>
      </c>
    </row>
    <row r="32" spans="1:171" ht="18.75">
      <c r="A32" s="1" t="s">
        <v>88</v>
      </c>
      <c r="B32" s="1">
        <v>20190501</v>
      </c>
      <c r="C32" s="1" t="s">
        <v>90</v>
      </c>
      <c r="D32" s="1">
        <v>1</v>
      </c>
      <c r="E32" s="30">
        <v>52</v>
      </c>
      <c r="F32" s="30">
        <v>37.6</v>
      </c>
      <c r="G32" s="30">
        <v>24.4</v>
      </c>
      <c r="H32" s="30">
        <v>12.4</v>
      </c>
      <c r="I32" s="30">
        <v>14.4</v>
      </c>
      <c r="J32" s="30">
        <v>13.2</v>
      </c>
      <c r="K32" s="30">
        <v>12</v>
      </c>
      <c r="L32" s="30">
        <v>12.4</v>
      </c>
      <c r="M32" s="1" t="str">
        <f t="shared" si="13"/>
        <v>2019/05/01</v>
      </c>
      <c r="N32" s="4" t="str">
        <f t="shared" si="14"/>
        <v/>
      </c>
      <c r="O32">
        <v>3.0000000000000014E-4</v>
      </c>
      <c r="P32" s="1" t="str">
        <f t="shared" si="15"/>
        <v/>
      </c>
      <c r="Q32" s="1" t="str">
        <f t="shared" si="16"/>
        <v/>
      </c>
      <c r="R32" s="1">
        <f t="shared" si="17"/>
        <v>1</v>
      </c>
      <c r="U32" s="1">
        <f t="shared" si="18"/>
        <v>52.000300000000003</v>
      </c>
      <c r="V32" s="1">
        <f t="shared" si="19"/>
        <v>11</v>
      </c>
      <c r="W32" s="1">
        <f t="shared" si="20"/>
        <v>1</v>
      </c>
      <c r="Z32" s="1" t="str">
        <f t="shared" si="21"/>
        <v/>
      </c>
      <c r="AA32" s="1" t="str">
        <f t="shared" si="22"/>
        <v/>
      </c>
      <c r="AB32" s="1">
        <f t="shared" si="23"/>
        <v>1</v>
      </c>
      <c r="AE32" s="1">
        <f t="shared" si="24"/>
        <v>37.600300000000004</v>
      </c>
      <c r="AF32" s="1">
        <f t="shared" si="25"/>
        <v>8</v>
      </c>
      <c r="AG32" s="1">
        <f t="shared" si="26"/>
        <v>1</v>
      </c>
      <c r="AJ32" s="1" t="str">
        <f t="shared" si="27"/>
        <v/>
      </c>
      <c r="AK32" s="1" t="str">
        <f t="shared" si="28"/>
        <v/>
      </c>
      <c r="AL32" s="1">
        <f t="shared" si="29"/>
        <v>1</v>
      </c>
      <c r="AO32" s="1">
        <f t="shared" si="30"/>
        <v>24.400299999999998</v>
      </c>
      <c r="AP32" s="1">
        <f t="shared" si="31"/>
        <v>6</v>
      </c>
      <c r="AQ32" s="1">
        <f t="shared" si="32"/>
        <v>1</v>
      </c>
      <c r="AT32" s="1">
        <f t="shared" si="33"/>
        <v>1.2000000000000011</v>
      </c>
      <c r="AU32" s="1">
        <f t="shared" si="34"/>
        <v>1.1999999999999993</v>
      </c>
      <c r="AV32" s="1">
        <f t="shared" si="35"/>
        <v>-0.40000000000000036</v>
      </c>
      <c r="AW32" s="1">
        <f t="shared" si="36"/>
        <v>2</v>
      </c>
      <c r="AX32" s="1">
        <f t="shared" si="37"/>
        <v>0</v>
      </c>
      <c r="AY32" s="1">
        <f t="shared" si="38"/>
        <v>25</v>
      </c>
      <c r="AZ32" s="1">
        <f t="shared" si="39"/>
        <v>1</v>
      </c>
      <c r="BC32" s="1">
        <f t="shared" si="40"/>
        <v>2.4003000000000005</v>
      </c>
      <c r="BD32" s="1">
        <f t="shared" si="41"/>
        <v>84</v>
      </c>
      <c r="BE32" s="1">
        <f t="shared" si="42"/>
        <v>1</v>
      </c>
      <c r="BH32" s="1" t="str">
        <f t="shared" si="43"/>
        <v/>
      </c>
      <c r="BI32" s="1" t="str">
        <f>IF(A32="","",IF(BH32="","",RANK(BH32,$BH$3:$BH182,1)))</f>
        <v/>
      </c>
      <c r="BJ32" s="1">
        <f t="shared" si="44"/>
        <v>1</v>
      </c>
      <c r="BM32" s="1">
        <f t="shared" si="45"/>
        <v>0.84000000000000008</v>
      </c>
      <c r="BN32" s="1">
        <f>IF(A32="","",IF(BM32="","",RANK(BM32,$BM$3:$BM182,1)))</f>
        <v>51</v>
      </c>
      <c r="BO32" s="1">
        <f t="shared" si="46"/>
        <v>1</v>
      </c>
      <c r="BR32" s="1">
        <f t="shared" si="47"/>
        <v>1</v>
      </c>
      <c r="BS32" s="1" t="str">
        <f t="shared" si="48"/>
        <v>コウエイダリア　　　　　　　　　　　</v>
      </c>
      <c r="CD32" s="1" t="str">
        <f t="shared" si="52"/>
        <v/>
      </c>
      <c r="CE32" s="1" t="str">
        <f>IF(A32="","",IF(CD32="","",RANK(CD32,$CD$3:$CD182,1)))</f>
        <v/>
      </c>
      <c r="CF32" s="1">
        <f t="shared" si="53"/>
        <v>1</v>
      </c>
      <c r="CI32" s="1" t="str">
        <f t="shared" si="54"/>
        <v/>
      </c>
      <c r="CJ32" s="1" t="str">
        <f>IF(A32="","",IF(CI32="","",RANK(CI32,$CI$3:$CI182,1)))</f>
        <v/>
      </c>
      <c r="CK32" s="1">
        <f t="shared" si="55"/>
        <v>1</v>
      </c>
      <c r="CN32" s="1" t="str">
        <f t="shared" si="56"/>
        <v/>
      </c>
      <c r="CO32" s="1" t="str">
        <f>IF(A32="","",IF(CN32="","",RANK(CN32,$CN$3:$CN182,1)))</f>
        <v/>
      </c>
      <c r="CP32" s="1">
        <f t="shared" si="57"/>
        <v>1</v>
      </c>
      <c r="CS32" s="1" t="str">
        <f t="shared" si="58"/>
        <v/>
      </c>
      <c r="CT32" s="1" t="str">
        <f>IF(A32="","",IF(CS32="","",RANK(CS32,$CS$3:$CS182,1)))</f>
        <v/>
      </c>
      <c r="CU32" s="1">
        <f t="shared" si="59"/>
        <v>1</v>
      </c>
      <c r="CX32" s="1" t="str">
        <f t="shared" si="60"/>
        <v/>
      </c>
      <c r="CY32" s="1" t="str">
        <f>IF(CX32="","",IF(A32="","",RANK(CX32,$CX$3:$CX182,1)))</f>
        <v/>
      </c>
      <c r="CZ32" s="1">
        <f t="shared" si="61"/>
        <v>1</v>
      </c>
      <c r="DC32" s="1" t="str">
        <f t="shared" si="62"/>
        <v/>
      </c>
      <c r="DD32" s="1" t="str">
        <f>IF(DC32="","",IF(A32="","",RANK(DC32,$DC$3:$DC182,1)))</f>
        <v/>
      </c>
      <c r="DE32" s="1">
        <f t="shared" si="63"/>
        <v>1</v>
      </c>
      <c r="DH32" s="1" t="str">
        <f t="shared" si="64"/>
        <v/>
      </c>
      <c r="DI32" s="1" t="str">
        <f>IF(DH32="","",IF(A32="","",RANK(DH32,$DH$3:$DH182,1)))</f>
        <v/>
      </c>
      <c r="DJ32" s="1">
        <f t="shared" si="65"/>
        <v>1</v>
      </c>
      <c r="DM32" s="1" t="str">
        <f t="shared" si="66"/>
        <v/>
      </c>
      <c r="DN32" s="1" t="str">
        <f>IF(DM32="","",IF(A32="","",RANK(DM32,$DM$3:$DM182,1)))</f>
        <v/>
      </c>
      <c r="DO32" s="1">
        <f t="shared" si="67"/>
        <v>1</v>
      </c>
      <c r="DR32" s="1">
        <f t="shared" si="68"/>
        <v>14.4003</v>
      </c>
      <c r="DS32" s="1">
        <f>IF(DR32="","",IF(A32="","",RANK(DR32,$DR$3:$DR182,1)))</f>
        <v>19</v>
      </c>
      <c r="DT32" s="1">
        <f t="shared" si="69"/>
        <v>1</v>
      </c>
      <c r="DW32" s="1">
        <f t="shared" si="70"/>
        <v>13.200299999999999</v>
      </c>
      <c r="DX32" s="1">
        <f>IF(DW32="","",IF(A32="","",RANK(DW32,$DW$3:$DW182,1)))</f>
        <v>17</v>
      </c>
      <c r="DY32" s="1">
        <f t="shared" si="71"/>
        <v>1</v>
      </c>
      <c r="EB32" s="1">
        <f t="shared" si="72"/>
        <v>12.000299999999999</v>
      </c>
      <c r="EC32" s="1">
        <f>IF(EB32="","",IF(A32="","",RANK(EB32,$EB$3:$EB182,1)))</f>
        <v>5</v>
      </c>
      <c r="ED32" s="1">
        <f t="shared" si="73"/>
        <v>1</v>
      </c>
      <c r="EG32" s="1">
        <f t="shared" si="74"/>
        <v>12.4003</v>
      </c>
      <c r="EH32" s="1">
        <f>IF(EG32="","",IF(A32="","",RANK(EG32,$EG$3:$EG182,1)))</f>
        <v>30</v>
      </c>
      <c r="EI32" s="1">
        <f t="shared" si="75"/>
        <v>1</v>
      </c>
    </row>
    <row r="33" spans="1:139" ht="18.75">
      <c r="A33" s="1" t="s">
        <v>88</v>
      </c>
      <c r="B33" s="1">
        <v>20190501</v>
      </c>
      <c r="C33" s="1" t="s">
        <v>90</v>
      </c>
      <c r="D33" s="1">
        <v>1</v>
      </c>
      <c r="E33" s="30">
        <v>52</v>
      </c>
      <c r="F33" s="30">
        <v>37.6</v>
      </c>
      <c r="G33" s="30">
        <v>24.4</v>
      </c>
      <c r="H33" s="30">
        <v>12.4</v>
      </c>
      <c r="I33" s="30">
        <v>14.4</v>
      </c>
      <c r="J33" s="30">
        <v>13.2</v>
      </c>
      <c r="K33" s="30">
        <v>12</v>
      </c>
      <c r="L33" s="30">
        <v>12.4</v>
      </c>
      <c r="M33" s="1" t="str">
        <f t="shared" si="13"/>
        <v>2019/05/01</v>
      </c>
      <c r="N33" s="4" t="str">
        <f t="shared" si="14"/>
        <v/>
      </c>
      <c r="O33">
        <v>3.1000000000000016E-4</v>
      </c>
      <c r="P33" s="1" t="str">
        <f t="shared" si="15"/>
        <v/>
      </c>
      <c r="Q33" s="1" t="str">
        <f t="shared" si="16"/>
        <v/>
      </c>
      <c r="R33" s="1">
        <f t="shared" si="17"/>
        <v>1</v>
      </c>
      <c r="U33" s="1">
        <f t="shared" si="18"/>
        <v>52.000309999999999</v>
      </c>
      <c r="V33" s="1">
        <f t="shared" si="19"/>
        <v>12</v>
      </c>
      <c r="W33" s="1">
        <f t="shared" si="20"/>
        <v>1</v>
      </c>
      <c r="Z33" s="1" t="str">
        <f t="shared" si="21"/>
        <v/>
      </c>
      <c r="AA33" s="1" t="str">
        <f t="shared" si="22"/>
        <v/>
      </c>
      <c r="AB33" s="1">
        <f t="shared" si="23"/>
        <v>1</v>
      </c>
      <c r="AE33" s="1">
        <f t="shared" si="24"/>
        <v>37.60031</v>
      </c>
      <c r="AF33" s="1">
        <f t="shared" si="25"/>
        <v>9</v>
      </c>
      <c r="AG33" s="1">
        <f t="shared" si="26"/>
        <v>1</v>
      </c>
      <c r="AJ33" s="1" t="str">
        <f t="shared" si="27"/>
        <v/>
      </c>
      <c r="AK33" s="1" t="str">
        <f t="shared" si="28"/>
        <v/>
      </c>
      <c r="AL33" s="1">
        <f t="shared" si="29"/>
        <v>1</v>
      </c>
      <c r="AO33" s="1">
        <f t="shared" si="30"/>
        <v>24.400309999999998</v>
      </c>
      <c r="AP33" s="1">
        <f t="shared" si="31"/>
        <v>7</v>
      </c>
      <c r="AQ33" s="1">
        <f t="shared" si="32"/>
        <v>1</v>
      </c>
      <c r="AT33" s="1">
        <f t="shared" si="33"/>
        <v>1.2000000000000011</v>
      </c>
      <c r="AU33" s="1">
        <f t="shared" si="34"/>
        <v>1.1999999999999993</v>
      </c>
      <c r="AV33" s="1">
        <f t="shared" si="35"/>
        <v>-0.40000000000000036</v>
      </c>
      <c r="AW33" s="1">
        <f t="shared" si="36"/>
        <v>2</v>
      </c>
      <c r="AX33" s="1">
        <f t="shared" si="37"/>
        <v>0</v>
      </c>
      <c r="BC33" s="1">
        <f t="shared" si="40"/>
        <v>2.4003100000000002</v>
      </c>
      <c r="BD33" s="1">
        <f t="shared" si="41"/>
        <v>83</v>
      </c>
      <c r="BE33" s="1">
        <f t="shared" si="42"/>
        <v>1</v>
      </c>
      <c r="BH33" s="1" t="str">
        <f t="shared" si="43"/>
        <v/>
      </c>
      <c r="BI33" s="1" t="str">
        <f>IF(A33="","",IF(BH33="","",RANK(BH33,$BH$3:$BH183,1)))</f>
        <v/>
      </c>
      <c r="BJ33" s="1">
        <f t="shared" si="44"/>
        <v>1</v>
      </c>
      <c r="BM33" s="1">
        <f t="shared" si="45"/>
        <v>0.84000000000000008</v>
      </c>
      <c r="BN33" s="1">
        <f>IF(A33="","",IF(BM33="","",RANK(BM33,$BM$3:$BM183,1)))</f>
        <v>51</v>
      </c>
      <c r="BO33" s="1">
        <f t="shared" si="46"/>
        <v>1</v>
      </c>
      <c r="BR33" s="1">
        <f t="shared" si="47"/>
        <v>1</v>
      </c>
      <c r="BS33" s="1" t="str">
        <f t="shared" si="48"/>
        <v>コウエイダリア　　　　　　　　　　　</v>
      </c>
      <c r="CD33" s="1" t="str">
        <f t="shared" si="52"/>
        <v/>
      </c>
      <c r="CE33" s="1" t="str">
        <f>IF(A33="","",IF(CD33="","",RANK(CD33,$CD$3:$CD183,1)))</f>
        <v/>
      </c>
      <c r="CF33" s="1">
        <f t="shared" si="53"/>
        <v>1</v>
      </c>
      <c r="CI33" s="1" t="str">
        <f t="shared" si="54"/>
        <v/>
      </c>
      <c r="CJ33" s="1" t="str">
        <f>IF(A33="","",IF(CI33="","",RANK(CI33,$CI$3:$CI183,1)))</f>
        <v/>
      </c>
      <c r="CK33" s="1">
        <f t="shared" si="55"/>
        <v>1</v>
      </c>
      <c r="CN33" s="1" t="str">
        <f t="shared" si="56"/>
        <v/>
      </c>
      <c r="CO33" s="1" t="str">
        <f>IF(A33="","",IF(CN33="","",RANK(CN33,$CN$3:$CN183,1)))</f>
        <v/>
      </c>
      <c r="CP33" s="1">
        <f t="shared" si="57"/>
        <v>1</v>
      </c>
      <c r="CS33" s="1" t="str">
        <f t="shared" si="58"/>
        <v/>
      </c>
      <c r="CT33" s="1" t="str">
        <f>IF(A33="","",IF(CS33="","",RANK(CS33,$CS$3:$CS183,1)))</f>
        <v/>
      </c>
      <c r="CU33" s="1">
        <f t="shared" si="59"/>
        <v>1</v>
      </c>
      <c r="CX33" s="1" t="str">
        <f t="shared" si="60"/>
        <v/>
      </c>
      <c r="CY33" s="1" t="str">
        <f>IF(CX33="","",IF(A33="","",RANK(CX33,$CX$3:$CX183,1)))</f>
        <v/>
      </c>
      <c r="CZ33" s="1">
        <f t="shared" si="61"/>
        <v>1</v>
      </c>
      <c r="DC33" s="1" t="str">
        <f t="shared" si="62"/>
        <v/>
      </c>
      <c r="DD33" s="1" t="str">
        <f>IF(DC33="","",IF(A33="","",RANK(DC33,$DC$3:$DC183,1)))</f>
        <v/>
      </c>
      <c r="DE33" s="1">
        <f t="shared" si="63"/>
        <v>1</v>
      </c>
      <c r="DH33" s="1" t="str">
        <f t="shared" si="64"/>
        <v/>
      </c>
      <c r="DI33" s="1" t="str">
        <f>IF(DH33="","",IF(A33="","",RANK(DH33,$DH$3:$DH183,1)))</f>
        <v/>
      </c>
      <c r="DJ33" s="1">
        <f t="shared" si="65"/>
        <v>1</v>
      </c>
      <c r="DM33" s="1" t="str">
        <f t="shared" si="66"/>
        <v/>
      </c>
      <c r="DN33" s="1" t="str">
        <f>IF(DM33="","",IF(A33="","",RANK(DM33,$DM$3:$DM183,1)))</f>
        <v/>
      </c>
      <c r="DO33" s="1">
        <f t="shared" si="67"/>
        <v>1</v>
      </c>
      <c r="DR33" s="1">
        <f t="shared" si="68"/>
        <v>14.400310000000001</v>
      </c>
      <c r="DS33" s="1">
        <f>IF(DR33="","",IF(A33="","",RANK(DR33,$DR$3:$DR183,1)))</f>
        <v>20</v>
      </c>
      <c r="DT33" s="1">
        <f t="shared" si="69"/>
        <v>1</v>
      </c>
      <c r="DW33" s="1">
        <f t="shared" si="70"/>
        <v>13.20031</v>
      </c>
      <c r="DX33" s="1">
        <f>IF(DW33="","",IF(A33="","",RANK(DW33,$DW$3:$DW183,1)))</f>
        <v>18</v>
      </c>
      <c r="DY33" s="1">
        <f t="shared" si="71"/>
        <v>1</v>
      </c>
      <c r="EB33" s="1">
        <f t="shared" si="72"/>
        <v>12.000310000000001</v>
      </c>
      <c r="EC33" s="1">
        <f>IF(EB33="","",IF(A33="","",RANK(EB33,$EB$3:$EB183,1)))</f>
        <v>6</v>
      </c>
      <c r="ED33" s="1">
        <f t="shared" si="73"/>
        <v>1</v>
      </c>
      <c r="EG33" s="1">
        <f t="shared" si="74"/>
        <v>12.400310000000001</v>
      </c>
      <c r="EH33" s="1">
        <f>IF(EG33="","",IF(A33="","",RANK(EG33,$EG$3:$EG183,1)))</f>
        <v>31</v>
      </c>
      <c r="EI33" s="1">
        <f t="shared" si="75"/>
        <v>1</v>
      </c>
    </row>
    <row r="34" spans="1:139" ht="18.75">
      <c r="A34" s="1" t="s">
        <v>88</v>
      </c>
      <c r="B34" s="1">
        <v>20190519</v>
      </c>
      <c r="C34" s="1" t="s">
        <v>90</v>
      </c>
      <c r="D34" s="1">
        <v>1</v>
      </c>
      <c r="E34" s="30">
        <v>59.7</v>
      </c>
      <c r="F34" s="30">
        <v>41.4</v>
      </c>
      <c r="G34" s="30">
        <v>26</v>
      </c>
      <c r="H34" s="30">
        <v>12.4</v>
      </c>
      <c r="I34" s="30">
        <v>18.3</v>
      </c>
      <c r="J34" s="30">
        <v>15.4</v>
      </c>
      <c r="K34" s="30">
        <v>13.6</v>
      </c>
      <c r="L34" s="30">
        <v>12.4</v>
      </c>
      <c r="M34" s="1" t="str">
        <f t="shared" si="13"/>
        <v>2019/05/19</v>
      </c>
      <c r="N34" s="4" t="str">
        <f t="shared" si="14"/>
        <v/>
      </c>
      <c r="O34">
        <v>3.2000000000000019E-4</v>
      </c>
      <c r="P34" s="1" t="str">
        <f t="shared" si="15"/>
        <v/>
      </c>
      <c r="Q34" s="1" t="str">
        <f t="shared" si="16"/>
        <v/>
      </c>
      <c r="R34" s="1">
        <f t="shared" si="17"/>
        <v>1</v>
      </c>
      <c r="U34" s="1">
        <f t="shared" si="18"/>
        <v>59.700320000000005</v>
      </c>
      <c r="V34" s="1">
        <f t="shared" si="19"/>
        <v>127</v>
      </c>
      <c r="W34" s="1">
        <f t="shared" si="20"/>
        <v>1</v>
      </c>
      <c r="Z34" s="1" t="str">
        <f t="shared" si="21"/>
        <v/>
      </c>
      <c r="AA34" s="1" t="str">
        <f t="shared" si="22"/>
        <v/>
      </c>
      <c r="AB34" s="1">
        <f t="shared" si="23"/>
        <v>1</v>
      </c>
      <c r="AE34" s="1">
        <f t="shared" si="24"/>
        <v>41.400320000000001</v>
      </c>
      <c r="AF34" s="1">
        <f t="shared" si="25"/>
        <v>105</v>
      </c>
      <c r="AG34" s="1">
        <f t="shared" si="26"/>
        <v>1</v>
      </c>
      <c r="AJ34" s="1" t="str">
        <f t="shared" si="27"/>
        <v/>
      </c>
      <c r="AK34" s="1" t="str">
        <f t="shared" si="28"/>
        <v/>
      </c>
      <c r="AL34" s="1">
        <f t="shared" si="29"/>
        <v>1</v>
      </c>
      <c r="AO34" s="1">
        <f t="shared" si="30"/>
        <v>26.000319999999999</v>
      </c>
      <c r="AP34" s="1">
        <f t="shared" si="31"/>
        <v>88</v>
      </c>
      <c r="AQ34" s="1">
        <f t="shared" si="32"/>
        <v>1</v>
      </c>
      <c r="AT34" s="1">
        <f t="shared" si="33"/>
        <v>2.9000000000000004</v>
      </c>
      <c r="AU34" s="1">
        <f t="shared" si="34"/>
        <v>1.8000000000000007</v>
      </c>
      <c r="AV34" s="1">
        <f t="shared" si="35"/>
        <v>1.1999999999999993</v>
      </c>
      <c r="AW34" s="1">
        <f t="shared" si="36"/>
        <v>5.9</v>
      </c>
      <c r="AX34" s="1">
        <f t="shared" si="37"/>
        <v>1.9669866666666669</v>
      </c>
      <c r="BC34" s="1">
        <f t="shared" si="40"/>
        <v>4.7003200000000014</v>
      </c>
      <c r="BD34" s="1">
        <f t="shared" si="41"/>
        <v>12</v>
      </c>
      <c r="BE34" s="1">
        <f t="shared" si="42"/>
        <v>1</v>
      </c>
      <c r="BH34" s="1" t="str">
        <f t="shared" si="43"/>
        <v/>
      </c>
      <c r="BI34" s="1" t="str">
        <f>IF(A34="","",IF(BH34="","",RANK(BH34,$BH$3:$BH184,1)))</f>
        <v/>
      </c>
      <c r="BJ34" s="1">
        <f t="shared" si="44"/>
        <v>1</v>
      </c>
      <c r="BM34" s="1">
        <f t="shared" si="45"/>
        <v>4.9368749999999864</v>
      </c>
      <c r="BN34" s="1">
        <f>IF(A34="","",IF(BM34="","",RANK(BM34,$BM$3:$BM184,1)))</f>
        <v>144</v>
      </c>
      <c r="BO34" s="1">
        <f t="shared" si="46"/>
        <v>1</v>
      </c>
      <c r="BR34" s="1">
        <f t="shared" si="47"/>
        <v>1</v>
      </c>
      <c r="BS34" s="1" t="str">
        <f t="shared" si="48"/>
        <v>コウエイダリア　　　　　　　　　　　</v>
      </c>
      <c r="CD34" s="1" t="str">
        <f t="shared" si="52"/>
        <v/>
      </c>
      <c r="CE34" s="1" t="str">
        <f>IF(A34="","",IF(CD34="","",RANK(CD34,$CD$3:$CD184,1)))</f>
        <v/>
      </c>
      <c r="CF34" s="1">
        <f t="shared" si="53"/>
        <v>1</v>
      </c>
      <c r="CI34" s="1" t="str">
        <f t="shared" si="54"/>
        <v/>
      </c>
      <c r="CJ34" s="1" t="str">
        <f>IF(A34="","",IF(CI34="","",RANK(CI34,$CI$3:$CI184,1)))</f>
        <v/>
      </c>
      <c r="CK34" s="1">
        <f t="shared" si="55"/>
        <v>1</v>
      </c>
      <c r="CN34" s="1" t="str">
        <f t="shared" si="56"/>
        <v/>
      </c>
      <c r="CO34" s="1" t="str">
        <f>IF(A34="","",IF(CN34="","",RANK(CN34,$CN$3:$CN184,1)))</f>
        <v/>
      </c>
      <c r="CP34" s="1">
        <f t="shared" si="57"/>
        <v>1</v>
      </c>
      <c r="CS34" s="1" t="str">
        <f t="shared" si="58"/>
        <v/>
      </c>
      <c r="CT34" s="1" t="str">
        <f>IF(A34="","",IF(CS34="","",RANK(CS34,$CS$3:$CS184,1)))</f>
        <v/>
      </c>
      <c r="CU34" s="1">
        <f t="shared" si="59"/>
        <v>1</v>
      </c>
      <c r="CX34" s="1" t="str">
        <f t="shared" si="60"/>
        <v/>
      </c>
      <c r="CY34" s="1" t="str">
        <f>IF(CX34="","",IF(A34="","",RANK(CX34,$CX$3:$CX184,1)))</f>
        <v/>
      </c>
      <c r="CZ34" s="1">
        <f t="shared" si="61"/>
        <v>1</v>
      </c>
      <c r="DC34" s="1" t="str">
        <f t="shared" si="62"/>
        <v/>
      </c>
      <c r="DD34" s="1" t="str">
        <f>IF(DC34="","",IF(A34="","",RANK(DC34,$DC$3:$DC184,1)))</f>
        <v/>
      </c>
      <c r="DE34" s="1">
        <f t="shared" si="63"/>
        <v>1</v>
      </c>
      <c r="DH34" s="1" t="str">
        <f t="shared" si="64"/>
        <v/>
      </c>
      <c r="DI34" s="1" t="str">
        <f>IF(DH34="","",IF(A34="","",RANK(DH34,$DH$3:$DH184,1)))</f>
        <v/>
      </c>
      <c r="DJ34" s="1">
        <f t="shared" si="65"/>
        <v>1</v>
      </c>
      <c r="DM34" s="1" t="str">
        <f t="shared" si="66"/>
        <v/>
      </c>
      <c r="DN34" s="1" t="str">
        <f>IF(DM34="","",IF(A34="","",RANK(DM34,$DM$3:$DM184,1)))</f>
        <v/>
      </c>
      <c r="DO34" s="1">
        <f t="shared" si="67"/>
        <v>1</v>
      </c>
      <c r="DR34" s="1">
        <f t="shared" si="68"/>
        <v>18.300319999999999</v>
      </c>
      <c r="DS34" s="1">
        <f>IF(DR34="","",IF(A34="","",RANK(DR34,$DR$3:$DR184,1)))</f>
        <v>138</v>
      </c>
      <c r="DT34" s="1">
        <f t="shared" si="69"/>
        <v>1</v>
      </c>
      <c r="DW34" s="1">
        <f t="shared" si="70"/>
        <v>15.400320000000001</v>
      </c>
      <c r="DX34" s="1">
        <f>IF(DW34="","",IF(A34="","",RANK(DW34,$DW$3:$DW184,1)))</f>
        <v>126</v>
      </c>
      <c r="DY34" s="1">
        <f t="shared" si="71"/>
        <v>1</v>
      </c>
      <c r="EB34" s="1">
        <f t="shared" si="72"/>
        <v>13.60032</v>
      </c>
      <c r="EC34" s="1">
        <f>IF(EB34="","",IF(A34="","",RANK(EB34,$EB$3:$EB184,1)))</f>
        <v>109</v>
      </c>
      <c r="ED34" s="1">
        <f t="shared" si="73"/>
        <v>1</v>
      </c>
      <c r="EG34" s="1">
        <f t="shared" si="74"/>
        <v>12.400320000000001</v>
      </c>
      <c r="EH34" s="1">
        <f>IF(EG34="","",IF(A34="","",RANK(EG34,$EG$3:$EG184,1)))</f>
        <v>32</v>
      </c>
      <c r="EI34" s="1">
        <f t="shared" si="75"/>
        <v>1</v>
      </c>
    </row>
    <row r="35" spans="1:139" ht="18.75">
      <c r="A35" s="1" t="s">
        <v>88</v>
      </c>
      <c r="B35" s="1">
        <v>20190522</v>
      </c>
      <c r="C35" s="1" t="s">
        <v>92</v>
      </c>
      <c r="D35" s="1">
        <v>3</v>
      </c>
      <c r="E35" s="30">
        <v>54.2</v>
      </c>
      <c r="F35" s="30">
        <v>39</v>
      </c>
      <c r="G35" s="30">
        <v>25</v>
      </c>
      <c r="H35" s="30">
        <v>12.4</v>
      </c>
      <c r="I35" s="30">
        <v>15.2</v>
      </c>
      <c r="J35" s="30">
        <v>14</v>
      </c>
      <c r="K35" s="30">
        <v>12.6</v>
      </c>
      <c r="L35" s="30">
        <v>12.4</v>
      </c>
      <c r="M35" s="1" t="str">
        <f t="shared" si="13"/>
        <v>2019/05/22</v>
      </c>
      <c r="N35" s="4" t="str">
        <f t="shared" si="14"/>
        <v/>
      </c>
      <c r="O35">
        <v>3.3000000000000022E-4</v>
      </c>
      <c r="P35" s="1" t="str">
        <f t="shared" si="15"/>
        <v/>
      </c>
      <c r="Q35" s="1" t="str">
        <f t="shared" si="16"/>
        <v/>
      </c>
      <c r="R35" s="1">
        <f t="shared" si="17"/>
        <v>3</v>
      </c>
      <c r="U35" s="1">
        <f t="shared" si="18"/>
        <v>54.200330000000001</v>
      </c>
      <c r="V35" s="1">
        <f t="shared" si="19"/>
        <v>48</v>
      </c>
      <c r="W35" s="1">
        <f t="shared" si="20"/>
        <v>3</v>
      </c>
      <c r="Z35" s="1" t="str">
        <f t="shared" si="21"/>
        <v/>
      </c>
      <c r="AA35" s="1" t="str">
        <f t="shared" si="22"/>
        <v/>
      </c>
      <c r="AB35" s="1">
        <f t="shared" si="23"/>
        <v>3</v>
      </c>
      <c r="AE35" s="1">
        <f t="shared" si="24"/>
        <v>39.000329999999998</v>
      </c>
      <c r="AF35" s="1">
        <f t="shared" si="25"/>
        <v>59</v>
      </c>
      <c r="AG35" s="1">
        <f t="shared" si="26"/>
        <v>3</v>
      </c>
      <c r="AJ35" s="1" t="str">
        <f t="shared" si="27"/>
        <v/>
      </c>
      <c r="AK35" s="1" t="str">
        <f t="shared" si="28"/>
        <v/>
      </c>
      <c r="AL35" s="1">
        <f t="shared" si="29"/>
        <v>3</v>
      </c>
      <c r="AO35" s="1">
        <f t="shared" si="30"/>
        <v>25.000330000000002</v>
      </c>
      <c r="AP35" s="1">
        <f t="shared" si="31"/>
        <v>46</v>
      </c>
      <c r="AQ35" s="1">
        <f t="shared" si="32"/>
        <v>3</v>
      </c>
      <c r="AT35" s="1">
        <f t="shared" si="33"/>
        <v>1.1999999999999993</v>
      </c>
      <c r="AU35" s="1">
        <f t="shared" si="34"/>
        <v>1.4000000000000004</v>
      </c>
      <c r="AV35" s="1">
        <f t="shared" si="35"/>
        <v>0.19999999999999929</v>
      </c>
      <c r="AW35" s="1">
        <f t="shared" si="36"/>
        <v>2.7999999999999989</v>
      </c>
      <c r="AX35" s="1">
        <f t="shared" si="37"/>
        <v>0.93366333333333307</v>
      </c>
      <c r="BC35" s="1">
        <f t="shared" si="40"/>
        <v>2.6003299999999996</v>
      </c>
      <c r="BD35" s="1">
        <f t="shared" si="41"/>
        <v>68</v>
      </c>
      <c r="BE35" s="1">
        <f t="shared" si="42"/>
        <v>3</v>
      </c>
      <c r="BH35" s="1" t="str">
        <f t="shared" si="43"/>
        <v/>
      </c>
      <c r="BI35" s="1" t="str">
        <f>IF(A35="","",IF(BH35="","",RANK(BH35,$BH$3:$BH185,1)))</f>
        <v/>
      </c>
      <c r="BJ35" s="1">
        <f t="shared" si="44"/>
        <v>3</v>
      </c>
      <c r="BM35" s="1">
        <f t="shared" si="45"/>
        <v>1.2874999999999992</v>
      </c>
      <c r="BN35" s="1">
        <f>IF(A35="","",IF(BM35="","",RANK(BM35,$BM$3:$BM185,1)))</f>
        <v>79</v>
      </c>
      <c r="BO35" s="1">
        <f t="shared" si="46"/>
        <v>3</v>
      </c>
      <c r="BR35" s="1">
        <f t="shared" si="47"/>
        <v>3</v>
      </c>
      <c r="BS35" s="1" t="str">
        <f t="shared" si="48"/>
        <v>ディアボレット　　　　　　　　　　　</v>
      </c>
      <c r="CD35" s="1" t="str">
        <f t="shared" si="52"/>
        <v/>
      </c>
      <c r="CE35" s="1" t="str">
        <f>IF(A35="","",IF(CD35="","",RANK(CD35,$CD$3:$CD185,1)))</f>
        <v/>
      </c>
      <c r="CF35" s="1">
        <f t="shared" si="53"/>
        <v>3</v>
      </c>
      <c r="CI35" s="1" t="str">
        <f t="shared" si="54"/>
        <v/>
      </c>
      <c r="CJ35" s="1" t="str">
        <f>IF(A35="","",IF(CI35="","",RANK(CI35,$CI$3:$CI185,1)))</f>
        <v/>
      </c>
      <c r="CK35" s="1">
        <f t="shared" si="55"/>
        <v>3</v>
      </c>
      <c r="CN35" s="1" t="str">
        <f t="shared" si="56"/>
        <v/>
      </c>
      <c r="CO35" s="1" t="str">
        <f>IF(A35="","",IF(CN35="","",RANK(CN35,$CN$3:$CN185,1)))</f>
        <v/>
      </c>
      <c r="CP35" s="1">
        <f t="shared" si="57"/>
        <v>3</v>
      </c>
      <c r="CS35" s="1" t="str">
        <f t="shared" si="58"/>
        <v/>
      </c>
      <c r="CT35" s="1" t="str">
        <f>IF(A35="","",IF(CS35="","",RANK(CS35,$CS$3:$CS185,1)))</f>
        <v/>
      </c>
      <c r="CU35" s="1">
        <f t="shared" si="59"/>
        <v>3</v>
      </c>
      <c r="CX35" s="1" t="str">
        <f t="shared" si="60"/>
        <v/>
      </c>
      <c r="CY35" s="1" t="str">
        <f>IF(CX35="","",IF(A35="","",RANK(CX35,$CX$3:$CX185,1)))</f>
        <v/>
      </c>
      <c r="CZ35" s="1">
        <f t="shared" si="61"/>
        <v>3</v>
      </c>
      <c r="DC35" s="1" t="str">
        <f t="shared" si="62"/>
        <v/>
      </c>
      <c r="DD35" s="1" t="str">
        <f>IF(DC35="","",IF(A35="","",RANK(DC35,$DC$3:$DC185,1)))</f>
        <v/>
      </c>
      <c r="DE35" s="1">
        <f t="shared" si="63"/>
        <v>3</v>
      </c>
      <c r="DH35" s="1" t="str">
        <f t="shared" si="64"/>
        <v/>
      </c>
      <c r="DI35" s="1" t="str">
        <f>IF(DH35="","",IF(A35="","",RANK(DH35,$DH$3:$DH185,1)))</f>
        <v/>
      </c>
      <c r="DJ35" s="1">
        <f t="shared" si="65"/>
        <v>3</v>
      </c>
      <c r="DM35" s="1" t="str">
        <f t="shared" si="66"/>
        <v/>
      </c>
      <c r="DN35" s="1" t="str">
        <f>IF(DM35="","",IF(A35="","",RANK(DM35,$DM$3:$DM185,1)))</f>
        <v/>
      </c>
      <c r="DO35" s="1">
        <f t="shared" si="67"/>
        <v>3</v>
      </c>
      <c r="DR35" s="1">
        <f t="shared" si="68"/>
        <v>15.200329999999999</v>
      </c>
      <c r="DS35" s="1">
        <f>IF(DR35="","",IF(A35="","",RANK(DR35,$DR$3:$DR185,1)))</f>
        <v>56</v>
      </c>
      <c r="DT35" s="1">
        <f t="shared" si="69"/>
        <v>3</v>
      </c>
      <c r="DW35" s="1">
        <f t="shared" si="70"/>
        <v>14.00033</v>
      </c>
      <c r="DX35" s="1">
        <f>IF(DW35="","",IF(A35="","",RANK(DW35,$DW$3:$DW185,1)))</f>
        <v>77</v>
      </c>
      <c r="DY35" s="1">
        <f t="shared" si="71"/>
        <v>3</v>
      </c>
      <c r="EB35" s="1">
        <f t="shared" si="72"/>
        <v>12.60033</v>
      </c>
      <c r="EC35" s="1">
        <f>IF(EB35="","",IF(A35="","",RANK(EB35,$EB$3:$EB185,1)))</f>
        <v>53</v>
      </c>
      <c r="ED35" s="1">
        <f t="shared" si="73"/>
        <v>3</v>
      </c>
      <c r="EG35" s="1">
        <f t="shared" si="74"/>
        <v>12.40033</v>
      </c>
      <c r="EH35" s="1">
        <f>IF(EG35="","",IF(A35="","",RANK(EG35,$EG$3:$EG185,1)))</f>
        <v>33</v>
      </c>
      <c r="EI35" s="1">
        <f t="shared" si="75"/>
        <v>3</v>
      </c>
    </row>
    <row r="36" spans="1:139" ht="18.75">
      <c r="A36" s="1" t="s">
        <v>88</v>
      </c>
      <c r="B36" s="1">
        <v>20190529</v>
      </c>
      <c r="C36" s="1" t="s">
        <v>95</v>
      </c>
      <c r="D36" s="1">
        <v>6</v>
      </c>
      <c r="E36" s="30">
        <v>53.9</v>
      </c>
      <c r="F36" s="30">
        <v>38.799999999999997</v>
      </c>
      <c r="G36" s="30">
        <v>24.8</v>
      </c>
      <c r="H36" s="30">
        <v>12.4</v>
      </c>
      <c r="I36" s="30">
        <v>15.1</v>
      </c>
      <c r="J36" s="30">
        <v>14</v>
      </c>
      <c r="K36" s="30">
        <v>12.4</v>
      </c>
      <c r="L36" s="30">
        <v>12.4</v>
      </c>
      <c r="M36" s="1" t="str">
        <f t="shared" si="13"/>
        <v>2019/05/29</v>
      </c>
      <c r="N36" s="4" t="str">
        <f t="shared" si="14"/>
        <v/>
      </c>
      <c r="O36">
        <v>3.4000000000000024E-4</v>
      </c>
      <c r="P36" s="1" t="str">
        <f t="shared" si="15"/>
        <v/>
      </c>
      <c r="Q36" s="1" t="str">
        <f t="shared" si="16"/>
        <v/>
      </c>
      <c r="R36" s="1">
        <f t="shared" si="17"/>
        <v>6</v>
      </c>
      <c r="U36" s="1">
        <f t="shared" si="18"/>
        <v>53.90034</v>
      </c>
      <c r="V36" s="1">
        <f t="shared" si="19"/>
        <v>42</v>
      </c>
      <c r="W36" s="1">
        <f t="shared" si="20"/>
        <v>6</v>
      </c>
      <c r="Z36" s="1" t="str">
        <f t="shared" si="21"/>
        <v/>
      </c>
      <c r="AA36" s="1" t="str">
        <f t="shared" si="22"/>
        <v/>
      </c>
      <c r="AB36" s="1">
        <f t="shared" si="23"/>
        <v>6</v>
      </c>
      <c r="AE36" s="1">
        <f t="shared" si="24"/>
        <v>38.800339999999998</v>
      </c>
      <c r="AF36" s="1">
        <f t="shared" si="25"/>
        <v>54</v>
      </c>
      <c r="AG36" s="1">
        <f t="shared" si="26"/>
        <v>6</v>
      </c>
      <c r="AJ36" s="1" t="str">
        <f t="shared" si="27"/>
        <v/>
      </c>
      <c r="AK36" s="1" t="str">
        <f t="shared" si="28"/>
        <v/>
      </c>
      <c r="AL36" s="1">
        <f t="shared" si="29"/>
        <v>6</v>
      </c>
      <c r="AO36" s="1">
        <f t="shared" si="30"/>
        <v>24.800340000000002</v>
      </c>
      <c r="AP36" s="1">
        <f t="shared" si="31"/>
        <v>27</v>
      </c>
      <c r="AQ36" s="1">
        <f t="shared" si="32"/>
        <v>6</v>
      </c>
      <c r="AT36" s="1">
        <f t="shared" si="33"/>
        <v>1.0999999999999996</v>
      </c>
      <c r="AU36" s="1">
        <f t="shared" si="34"/>
        <v>1.5999999999999996</v>
      </c>
      <c r="AV36" s="1">
        <f t="shared" si="35"/>
        <v>0</v>
      </c>
      <c r="AW36" s="1">
        <f t="shared" si="36"/>
        <v>2.6999999999999993</v>
      </c>
      <c r="AX36" s="1">
        <f t="shared" si="37"/>
        <v>0.90033999999999981</v>
      </c>
      <c r="BC36" s="1">
        <f t="shared" si="40"/>
        <v>2.7003399999999993</v>
      </c>
      <c r="BD36" s="1">
        <f t="shared" si="41"/>
        <v>62</v>
      </c>
      <c r="BE36" s="1">
        <f t="shared" si="42"/>
        <v>6</v>
      </c>
      <c r="BH36" s="1" t="str">
        <f t="shared" si="43"/>
        <v/>
      </c>
      <c r="BI36" s="1" t="str">
        <f>IF(A36="","",IF(BH36="","",RANK(BH36,$BH$3:$BH186,1)))</f>
        <v/>
      </c>
      <c r="BJ36" s="1">
        <f t="shared" si="44"/>
        <v>6</v>
      </c>
      <c r="BM36" s="1">
        <f t="shared" si="45"/>
        <v>1.3068749999999993</v>
      </c>
      <c r="BN36" s="1">
        <f>IF(A36="","",IF(BM36="","",RANK(BM36,$BM$3:$BM186,1)))</f>
        <v>84</v>
      </c>
      <c r="BO36" s="1">
        <f t="shared" si="46"/>
        <v>6</v>
      </c>
      <c r="BR36" s="1">
        <f t="shared" si="47"/>
        <v>6</v>
      </c>
      <c r="BS36" s="1" t="str">
        <f t="shared" si="48"/>
        <v>ミカエルシチー　　　　　　　　　　　</v>
      </c>
      <c r="CD36" s="1" t="str">
        <f t="shared" si="52"/>
        <v/>
      </c>
      <c r="CE36" s="1" t="str">
        <f>IF(A36="","",IF(CD36="","",RANK(CD36,$CD$3:$CD186,1)))</f>
        <v/>
      </c>
      <c r="CF36" s="1">
        <f t="shared" si="53"/>
        <v>6</v>
      </c>
      <c r="CI36" s="1" t="str">
        <f t="shared" si="54"/>
        <v/>
      </c>
      <c r="CJ36" s="1" t="str">
        <f>IF(A36="","",IF(CI36="","",RANK(CI36,$CI$3:$CI186,1)))</f>
        <v/>
      </c>
      <c r="CK36" s="1">
        <f t="shared" si="55"/>
        <v>6</v>
      </c>
      <c r="CN36" s="1" t="str">
        <f t="shared" si="56"/>
        <v/>
      </c>
      <c r="CO36" s="1" t="str">
        <f>IF(A36="","",IF(CN36="","",RANK(CN36,$CN$3:$CN186,1)))</f>
        <v/>
      </c>
      <c r="CP36" s="1">
        <f t="shared" si="57"/>
        <v>6</v>
      </c>
      <c r="CS36" s="1" t="str">
        <f t="shared" si="58"/>
        <v/>
      </c>
      <c r="CT36" s="1" t="str">
        <f>IF(A36="","",IF(CS36="","",RANK(CS36,$CS$3:$CS186,1)))</f>
        <v/>
      </c>
      <c r="CU36" s="1">
        <f t="shared" si="59"/>
        <v>6</v>
      </c>
      <c r="CX36" s="1" t="str">
        <f t="shared" si="60"/>
        <v/>
      </c>
      <c r="CY36" s="1" t="str">
        <f>IF(CX36="","",IF(A36="","",RANK(CX36,$CX$3:$CX186,1)))</f>
        <v/>
      </c>
      <c r="CZ36" s="1">
        <f t="shared" si="61"/>
        <v>6</v>
      </c>
      <c r="DC36" s="1" t="str">
        <f t="shared" si="62"/>
        <v/>
      </c>
      <c r="DD36" s="1" t="str">
        <f>IF(DC36="","",IF(A36="","",RANK(DC36,$DC$3:$DC186,1)))</f>
        <v/>
      </c>
      <c r="DE36" s="1">
        <f t="shared" si="63"/>
        <v>6</v>
      </c>
      <c r="DH36" s="1" t="str">
        <f t="shared" si="64"/>
        <v/>
      </c>
      <c r="DI36" s="1" t="str">
        <f>IF(DH36="","",IF(A36="","",RANK(DH36,$DH$3:$DH186,1)))</f>
        <v/>
      </c>
      <c r="DJ36" s="1">
        <f t="shared" si="65"/>
        <v>6</v>
      </c>
      <c r="DM36" s="1" t="str">
        <f t="shared" si="66"/>
        <v/>
      </c>
      <c r="DN36" s="1" t="str">
        <f>IF(DM36="","",IF(A36="","",RANK(DM36,$DM$3:$DM186,1)))</f>
        <v/>
      </c>
      <c r="DO36" s="1">
        <f t="shared" si="67"/>
        <v>6</v>
      </c>
      <c r="DR36" s="1">
        <f t="shared" si="68"/>
        <v>15.100339999999999</v>
      </c>
      <c r="DS36" s="1">
        <f>IF(DR36="","",IF(A36="","",RANK(DR36,$DR$3:$DR186,1)))</f>
        <v>51</v>
      </c>
      <c r="DT36" s="1">
        <f t="shared" si="69"/>
        <v>6</v>
      </c>
      <c r="DW36" s="1">
        <f t="shared" si="70"/>
        <v>14.00034</v>
      </c>
      <c r="DX36" s="1">
        <f>IF(DW36="","",IF(A36="","",RANK(DW36,$DW$3:$DW186,1)))</f>
        <v>78</v>
      </c>
      <c r="DY36" s="1">
        <f t="shared" si="71"/>
        <v>6</v>
      </c>
      <c r="EB36" s="1">
        <f t="shared" si="72"/>
        <v>12.40034</v>
      </c>
      <c r="EC36" s="1">
        <f>IF(EB36="","",IF(A36="","",RANK(EB36,$EB$3:$EB186,1)))</f>
        <v>35</v>
      </c>
      <c r="ED36" s="1">
        <f t="shared" si="73"/>
        <v>6</v>
      </c>
      <c r="EG36" s="1">
        <f t="shared" si="74"/>
        <v>12.40034</v>
      </c>
      <c r="EH36" s="1">
        <f>IF(EG36="","",IF(A36="","",RANK(EG36,$EG$3:$EG186,1)))</f>
        <v>34</v>
      </c>
      <c r="EI36" s="1">
        <f t="shared" si="75"/>
        <v>6</v>
      </c>
    </row>
    <row r="37" spans="1:139" ht="18.75">
      <c r="A37" s="1" t="s">
        <v>88</v>
      </c>
      <c r="B37" s="1">
        <v>20190529</v>
      </c>
      <c r="C37" s="1" t="s">
        <v>92</v>
      </c>
      <c r="D37" s="1">
        <v>3</v>
      </c>
      <c r="E37" s="30">
        <v>55.1</v>
      </c>
      <c r="F37" s="30">
        <v>39.700000000000003</v>
      </c>
      <c r="G37" s="30">
        <v>25.6</v>
      </c>
      <c r="H37" s="30">
        <v>12.4</v>
      </c>
      <c r="I37" s="30">
        <v>15.4</v>
      </c>
      <c r="J37" s="30">
        <v>14.1</v>
      </c>
      <c r="K37" s="30">
        <v>13.2</v>
      </c>
      <c r="L37" s="30">
        <v>12.4</v>
      </c>
      <c r="M37" s="1" t="str">
        <f t="shared" si="13"/>
        <v>2019/05/29</v>
      </c>
      <c r="N37" s="4" t="str">
        <f t="shared" si="14"/>
        <v/>
      </c>
      <c r="O37">
        <v>3.5000000000000027E-4</v>
      </c>
      <c r="P37" s="1" t="str">
        <f t="shared" si="15"/>
        <v/>
      </c>
      <c r="Q37" s="1" t="str">
        <f t="shared" si="16"/>
        <v/>
      </c>
      <c r="R37" s="1">
        <f t="shared" si="17"/>
        <v>3</v>
      </c>
      <c r="U37" s="1">
        <f t="shared" si="18"/>
        <v>55.100349999999999</v>
      </c>
      <c r="V37" s="1">
        <f t="shared" si="19"/>
        <v>75</v>
      </c>
      <c r="W37" s="1">
        <f t="shared" si="20"/>
        <v>3</v>
      </c>
      <c r="Z37" s="1" t="str">
        <f t="shared" si="21"/>
        <v/>
      </c>
      <c r="AA37" s="1" t="str">
        <f t="shared" si="22"/>
        <v/>
      </c>
      <c r="AB37" s="1">
        <f t="shared" si="23"/>
        <v>3</v>
      </c>
      <c r="AE37" s="1">
        <f t="shared" si="24"/>
        <v>39.70035</v>
      </c>
      <c r="AF37" s="1">
        <f t="shared" si="25"/>
        <v>77</v>
      </c>
      <c r="AG37" s="1">
        <f t="shared" si="26"/>
        <v>3</v>
      </c>
      <c r="AJ37" s="1" t="str">
        <f t="shared" si="27"/>
        <v/>
      </c>
      <c r="AK37" s="1" t="str">
        <f t="shared" si="28"/>
        <v/>
      </c>
      <c r="AL37" s="1">
        <f t="shared" si="29"/>
        <v>3</v>
      </c>
      <c r="AO37" s="1">
        <f t="shared" si="30"/>
        <v>25.600350000000002</v>
      </c>
      <c r="AP37" s="1">
        <f t="shared" si="31"/>
        <v>75</v>
      </c>
      <c r="AQ37" s="1">
        <f t="shared" si="32"/>
        <v>3</v>
      </c>
      <c r="AT37" s="1">
        <f t="shared" si="33"/>
        <v>1.3000000000000007</v>
      </c>
      <c r="AU37" s="1">
        <f t="shared" si="34"/>
        <v>0.90000000000000036</v>
      </c>
      <c r="AV37" s="1">
        <f t="shared" si="35"/>
        <v>0.79999999999999893</v>
      </c>
      <c r="AW37" s="1">
        <f t="shared" si="36"/>
        <v>3</v>
      </c>
      <c r="AX37" s="1">
        <f t="shared" si="37"/>
        <v>1.0003500000000001</v>
      </c>
      <c r="BC37" s="1">
        <f t="shared" si="40"/>
        <v>2.2003500000000011</v>
      </c>
      <c r="BD37" s="1">
        <f t="shared" si="41"/>
        <v>95</v>
      </c>
      <c r="BE37" s="1">
        <f t="shared" si="42"/>
        <v>3</v>
      </c>
      <c r="BH37" s="1" t="str">
        <f t="shared" si="43"/>
        <v/>
      </c>
      <c r="BI37" s="1" t="str">
        <f>IF(A37="","",IF(BH37="","",RANK(BH37,$BH$3:$BH187,1)))</f>
        <v/>
      </c>
      <c r="BJ37" s="1">
        <f t="shared" si="44"/>
        <v>3</v>
      </c>
      <c r="BM37" s="1">
        <f t="shared" si="45"/>
        <v>1.2418750000000003</v>
      </c>
      <c r="BN37" s="1">
        <f>IF(A37="","",IF(BM37="","",RANK(BM37,$BM$3:$BM187,1)))</f>
        <v>74</v>
      </c>
      <c r="BO37" s="1">
        <f t="shared" si="46"/>
        <v>3</v>
      </c>
      <c r="BR37" s="1">
        <f t="shared" si="47"/>
        <v>3</v>
      </c>
      <c r="BS37" s="1" t="str">
        <f t="shared" si="48"/>
        <v>ディアボレット　　　　　　　　　　　</v>
      </c>
      <c r="CD37" s="1" t="str">
        <f t="shared" si="52"/>
        <v/>
      </c>
      <c r="CE37" s="1" t="str">
        <f>IF(A37="","",IF(CD37="","",RANK(CD37,$CD$3:$CD187,1)))</f>
        <v/>
      </c>
      <c r="CF37" s="1">
        <f t="shared" si="53"/>
        <v>3</v>
      </c>
      <c r="CI37" s="1" t="str">
        <f t="shared" si="54"/>
        <v/>
      </c>
      <c r="CJ37" s="1" t="str">
        <f>IF(A37="","",IF(CI37="","",RANK(CI37,$CI$3:$CI187,1)))</f>
        <v/>
      </c>
      <c r="CK37" s="1">
        <f t="shared" si="55"/>
        <v>3</v>
      </c>
      <c r="CN37" s="1" t="str">
        <f t="shared" si="56"/>
        <v/>
      </c>
      <c r="CO37" s="1" t="str">
        <f>IF(A37="","",IF(CN37="","",RANK(CN37,$CN$3:$CN187,1)))</f>
        <v/>
      </c>
      <c r="CP37" s="1">
        <f t="shared" si="57"/>
        <v>3</v>
      </c>
      <c r="CS37" s="1" t="str">
        <f t="shared" si="58"/>
        <v/>
      </c>
      <c r="CT37" s="1" t="str">
        <f>IF(A37="","",IF(CS37="","",RANK(CS37,$CS$3:$CS187,1)))</f>
        <v/>
      </c>
      <c r="CU37" s="1">
        <f t="shared" si="59"/>
        <v>3</v>
      </c>
      <c r="CX37" s="1" t="str">
        <f t="shared" si="60"/>
        <v/>
      </c>
      <c r="CY37" s="1" t="str">
        <f>IF(CX37="","",IF(A37="","",RANK(CX37,$CX$3:$CX187,1)))</f>
        <v/>
      </c>
      <c r="CZ37" s="1">
        <f t="shared" si="61"/>
        <v>3</v>
      </c>
      <c r="DC37" s="1" t="str">
        <f t="shared" si="62"/>
        <v/>
      </c>
      <c r="DD37" s="1" t="str">
        <f>IF(DC37="","",IF(A37="","",RANK(DC37,$DC$3:$DC187,1)))</f>
        <v/>
      </c>
      <c r="DE37" s="1">
        <f t="shared" si="63"/>
        <v>3</v>
      </c>
      <c r="DH37" s="1" t="str">
        <f t="shared" si="64"/>
        <v/>
      </c>
      <c r="DI37" s="1" t="str">
        <f>IF(DH37="","",IF(A37="","",RANK(DH37,$DH$3:$DH187,1)))</f>
        <v/>
      </c>
      <c r="DJ37" s="1">
        <f t="shared" si="65"/>
        <v>3</v>
      </c>
      <c r="DM37" s="1" t="str">
        <f t="shared" si="66"/>
        <v/>
      </c>
      <c r="DN37" s="1" t="str">
        <f>IF(DM37="","",IF(A37="","",RANK(DM37,$DM$3:$DM187,1)))</f>
        <v/>
      </c>
      <c r="DO37" s="1">
        <f t="shared" si="67"/>
        <v>3</v>
      </c>
      <c r="DR37" s="1">
        <f t="shared" si="68"/>
        <v>15.40035</v>
      </c>
      <c r="DS37" s="1">
        <f>IF(DR37="","",IF(A37="","",RANK(DR37,$DR$3:$DR187,1)))</f>
        <v>63</v>
      </c>
      <c r="DT37" s="1">
        <f t="shared" si="69"/>
        <v>3</v>
      </c>
      <c r="DW37" s="1">
        <f t="shared" si="70"/>
        <v>14.100349999999999</v>
      </c>
      <c r="DX37" s="1">
        <f>IF(DW37="","",IF(A37="","",RANK(DW37,$DW$3:$DW187,1)))</f>
        <v>82</v>
      </c>
      <c r="DY37" s="1">
        <f t="shared" si="71"/>
        <v>3</v>
      </c>
      <c r="EB37" s="1">
        <f t="shared" si="72"/>
        <v>13.200349999999998</v>
      </c>
      <c r="EC37" s="1">
        <f>IF(EB37="","",IF(A37="","",RANK(EB37,$EB$3:$EB187,1)))</f>
        <v>90</v>
      </c>
      <c r="ED37" s="1">
        <f t="shared" si="73"/>
        <v>3</v>
      </c>
      <c r="EG37" s="1">
        <f t="shared" si="74"/>
        <v>12.40035</v>
      </c>
      <c r="EH37" s="1">
        <f>IF(EG37="","",IF(A37="","",RANK(EG37,$EG$3:$EG187,1)))</f>
        <v>35</v>
      </c>
      <c r="EI37" s="1">
        <f t="shared" si="75"/>
        <v>3</v>
      </c>
    </row>
    <row r="38" spans="1:139" ht="18.75">
      <c r="A38" s="1" t="s">
        <v>88</v>
      </c>
      <c r="B38" s="1">
        <v>20190602</v>
      </c>
      <c r="C38" s="1" t="s">
        <v>96</v>
      </c>
      <c r="D38" s="1">
        <v>7</v>
      </c>
      <c r="E38" s="30">
        <v>54.2</v>
      </c>
      <c r="F38" s="30">
        <v>38.200000000000003</v>
      </c>
      <c r="G38" s="30">
        <v>24.4</v>
      </c>
      <c r="H38" s="30">
        <v>12.4</v>
      </c>
      <c r="I38" s="30">
        <v>16</v>
      </c>
      <c r="J38" s="30">
        <v>13.8</v>
      </c>
      <c r="K38" s="30">
        <v>12</v>
      </c>
      <c r="L38" s="30">
        <v>12.4</v>
      </c>
      <c r="M38" s="1" t="str">
        <f t="shared" si="13"/>
        <v>2019/06/02</v>
      </c>
      <c r="N38" s="4" t="str">
        <f t="shared" si="14"/>
        <v/>
      </c>
      <c r="O38">
        <v>3.6000000000000029E-4</v>
      </c>
      <c r="P38" s="1" t="str">
        <f t="shared" si="15"/>
        <v/>
      </c>
      <c r="Q38" s="1" t="str">
        <f t="shared" si="16"/>
        <v/>
      </c>
      <c r="R38" s="1">
        <f t="shared" si="17"/>
        <v>7</v>
      </c>
      <c r="U38" s="1">
        <f t="shared" si="18"/>
        <v>54.200360000000003</v>
      </c>
      <c r="V38" s="1">
        <f t="shared" si="19"/>
        <v>49</v>
      </c>
      <c r="W38" s="1">
        <f t="shared" si="20"/>
        <v>7</v>
      </c>
      <c r="Z38" s="1" t="str">
        <f t="shared" si="21"/>
        <v/>
      </c>
      <c r="AA38" s="1" t="str">
        <f t="shared" si="22"/>
        <v/>
      </c>
      <c r="AB38" s="1">
        <f t="shared" si="23"/>
        <v>7</v>
      </c>
      <c r="AE38" s="1">
        <f t="shared" si="24"/>
        <v>38.200360000000003</v>
      </c>
      <c r="AF38" s="1">
        <f t="shared" si="25"/>
        <v>27</v>
      </c>
      <c r="AG38" s="1">
        <f t="shared" si="26"/>
        <v>7</v>
      </c>
      <c r="AJ38" s="1" t="str">
        <f t="shared" si="27"/>
        <v/>
      </c>
      <c r="AK38" s="1" t="str">
        <f t="shared" si="28"/>
        <v/>
      </c>
      <c r="AL38" s="1">
        <f t="shared" si="29"/>
        <v>7</v>
      </c>
      <c r="AO38" s="1">
        <f t="shared" si="30"/>
        <v>24.400359999999999</v>
      </c>
      <c r="AP38" s="1">
        <f t="shared" si="31"/>
        <v>8</v>
      </c>
      <c r="AQ38" s="1">
        <f t="shared" si="32"/>
        <v>7</v>
      </c>
      <c r="AT38" s="1">
        <f t="shared" si="33"/>
        <v>2.1999999999999993</v>
      </c>
      <c r="AU38" s="1">
        <f t="shared" si="34"/>
        <v>1.8000000000000007</v>
      </c>
      <c r="AV38" s="1">
        <f t="shared" si="35"/>
        <v>-0.40000000000000036</v>
      </c>
      <c r="AW38" s="1">
        <f t="shared" si="36"/>
        <v>3.5999999999999996</v>
      </c>
      <c r="AX38" s="1">
        <f t="shared" si="37"/>
        <v>0</v>
      </c>
      <c r="BC38" s="1">
        <f t="shared" si="40"/>
        <v>4.0003599999999997</v>
      </c>
      <c r="BD38" s="1">
        <f t="shared" si="41"/>
        <v>21</v>
      </c>
      <c r="BE38" s="1">
        <f t="shared" si="42"/>
        <v>7</v>
      </c>
      <c r="BH38" s="1" t="str">
        <f t="shared" si="43"/>
        <v/>
      </c>
      <c r="BI38" s="1" t="str">
        <f>IF(A38="","",IF(BH38="","",RANK(BH38,$BH$3:$BH188,1)))</f>
        <v/>
      </c>
      <c r="BJ38" s="1">
        <f t="shared" si="44"/>
        <v>7</v>
      </c>
      <c r="BM38" s="1">
        <f t="shared" si="45"/>
        <v>2.4475000000000477</v>
      </c>
      <c r="BN38" s="1">
        <f>IF(A38="","",IF(BM38="","",RANK(BM38,$BM$3:$BM188,1)))</f>
        <v>119</v>
      </c>
      <c r="BO38" s="1">
        <f t="shared" si="46"/>
        <v>7</v>
      </c>
      <c r="BR38" s="1">
        <f t="shared" si="47"/>
        <v>7</v>
      </c>
      <c r="BS38" s="1" t="str">
        <f t="shared" si="48"/>
        <v>サヤカチャン　　　　　　　　　　　　</v>
      </c>
      <c r="CD38" s="1" t="str">
        <f t="shared" si="52"/>
        <v/>
      </c>
      <c r="CE38" s="1" t="str">
        <f>IF(A38="","",IF(CD38="","",RANK(CD38,$CD$3:$CD188,1)))</f>
        <v/>
      </c>
      <c r="CF38" s="1">
        <f t="shared" si="53"/>
        <v>7</v>
      </c>
      <c r="CI38" s="1" t="str">
        <f t="shared" si="54"/>
        <v/>
      </c>
      <c r="CJ38" s="1" t="str">
        <f>IF(A38="","",IF(CI38="","",RANK(CI38,$CI$3:$CI188,1)))</f>
        <v/>
      </c>
      <c r="CK38" s="1">
        <f t="shared" si="55"/>
        <v>7</v>
      </c>
      <c r="CN38" s="1" t="str">
        <f t="shared" si="56"/>
        <v/>
      </c>
      <c r="CO38" s="1" t="str">
        <f>IF(A38="","",IF(CN38="","",RANK(CN38,$CN$3:$CN188,1)))</f>
        <v/>
      </c>
      <c r="CP38" s="1">
        <f t="shared" si="57"/>
        <v>7</v>
      </c>
      <c r="CS38" s="1" t="str">
        <f t="shared" si="58"/>
        <v/>
      </c>
      <c r="CT38" s="1" t="str">
        <f>IF(A38="","",IF(CS38="","",RANK(CS38,$CS$3:$CS188,1)))</f>
        <v/>
      </c>
      <c r="CU38" s="1">
        <f t="shared" si="59"/>
        <v>7</v>
      </c>
      <c r="CX38" s="1" t="str">
        <f t="shared" si="60"/>
        <v/>
      </c>
      <c r="CY38" s="1" t="str">
        <f>IF(CX38="","",IF(A38="","",RANK(CX38,$CX$3:$CX188,1)))</f>
        <v/>
      </c>
      <c r="CZ38" s="1">
        <f t="shared" si="61"/>
        <v>7</v>
      </c>
      <c r="DC38" s="1" t="str">
        <f t="shared" si="62"/>
        <v/>
      </c>
      <c r="DD38" s="1" t="str">
        <f>IF(DC38="","",IF(A38="","",RANK(DC38,$DC$3:$DC188,1)))</f>
        <v/>
      </c>
      <c r="DE38" s="1">
        <f t="shared" si="63"/>
        <v>7</v>
      </c>
      <c r="DH38" s="1" t="str">
        <f t="shared" si="64"/>
        <v/>
      </c>
      <c r="DI38" s="1" t="str">
        <f>IF(DH38="","",IF(A38="","",RANK(DH38,$DH$3:$DH188,1)))</f>
        <v/>
      </c>
      <c r="DJ38" s="1">
        <f t="shared" si="65"/>
        <v>7</v>
      </c>
      <c r="DM38" s="1" t="str">
        <f t="shared" si="66"/>
        <v/>
      </c>
      <c r="DN38" s="1" t="str">
        <f>IF(DM38="","",IF(A38="","",RANK(DM38,$DM$3:$DM188,1)))</f>
        <v/>
      </c>
      <c r="DO38" s="1">
        <f t="shared" si="67"/>
        <v>7</v>
      </c>
      <c r="DR38" s="1">
        <f t="shared" si="68"/>
        <v>16.000360000000001</v>
      </c>
      <c r="DS38" s="1">
        <f>IF(DR38="","",IF(A38="","",RANK(DR38,$DR$3:$DR188,1)))</f>
        <v>98</v>
      </c>
      <c r="DT38" s="1">
        <f t="shared" si="69"/>
        <v>7</v>
      </c>
      <c r="DW38" s="1">
        <f t="shared" si="70"/>
        <v>13.800360000000001</v>
      </c>
      <c r="DX38" s="1">
        <f>IF(DW38="","",IF(A38="","",RANK(DW38,$DW$3:$DW188,1)))</f>
        <v>58</v>
      </c>
      <c r="DY38" s="1">
        <f t="shared" si="71"/>
        <v>7</v>
      </c>
      <c r="EB38" s="1">
        <f t="shared" si="72"/>
        <v>12.000360000000001</v>
      </c>
      <c r="EC38" s="1">
        <f>IF(EB38="","",IF(A38="","",RANK(EB38,$EB$3:$EB188,1)))</f>
        <v>7</v>
      </c>
      <c r="ED38" s="1">
        <f t="shared" si="73"/>
        <v>7</v>
      </c>
      <c r="EG38" s="1">
        <f t="shared" si="74"/>
        <v>12.400360000000001</v>
      </c>
      <c r="EH38" s="1">
        <f>IF(EG38="","",IF(A38="","",RANK(EG38,$EG$3:$EG188,1)))</f>
        <v>36</v>
      </c>
      <c r="EI38" s="1">
        <f t="shared" si="75"/>
        <v>7</v>
      </c>
    </row>
    <row r="39" spans="1:139" ht="18.75">
      <c r="A39" s="1" t="s">
        <v>88</v>
      </c>
      <c r="B39" s="1">
        <v>20190602</v>
      </c>
      <c r="C39" s="1" t="s">
        <v>96</v>
      </c>
      <c r="D39" s="1">
        <v>7</v>
      </c>
      <c r="E39" s="30">
        <v>54.2</v>
      </c>
      <c r="F39" s="30">
        <v>38.200000000000003</v>
      </c>
      <c r="G39" s="30">
        <v>24.4</v>
      </c>
      <c r="H39" s="30">
        <v>12.4</v>
      </c>
      <c r="I39" s="30">
        <v>16</v>
      </c>
      <c r="J39" s="30">
        <v>13.8</v>
      </c>
      <c r="K39" s="30">
        <v>12</v>
      </c>
      <c r="L39" s="30">
        <v>12.4</v>
      </c>
      <c r="M39" s="1" t="str">
        <f t="shared" si="13"/>
        <v>2019/06/02</v>
      </c>
      <c r="N39" s="4" t="str">
        <f t="shared" si="14"/>
        <v/>
      </c>
      <c r="O39">
        <v>3.7000000000000032E-4</v>
      </c>
      <c r="P39" s="1" t="str">
        <f t="shared" si="15"/>
        <v/>
      </c>
      <c r="Q39" s="1" t="str">
        <f t="shared" si="16"/>
        <v/>
      </c>
      <c r="R39" s="1">
        <f t="shared" si="17"/>
        <v>7</v>
      </c>
      <c r="U39" s="1">
        <f t="shared" si="18"/>
        <v>54.200369999999999</v>
      </c>
      <c r="V39" s="1">
        <f t="shared" si="19"/>
        <v>50</v>
      </c>
      <c r="W39" s="1">
        <f t="shared" si="20"/>
        <v>7</v>
      </c>
      <c r="Z39" s="1" t="str">
        <f t="shared" si="21"/>
        <v/>
      </c>
      <c r="AA39" s="1" t="str">
        <f t="shared" si="22"/>
        <v/>
      </c>
      <c r="AB39" s="1">
        <f t="shared" si="23"/>
        <v>7</v>
      </c>
      <c r="AE39" s="1">
        <f t="shared" si="24"/>
        <v>38.200369999999999</v>
      </c>
      <c r="AF39" s="1">
        <f t="shared" si="25"/>
        <v>28</v>
      </c>
      <c r="AG39" s="1">
        <f t="shared" si="26"/>
        <v>7</v>
      </c>
      <c r="AJ39" s="1" t="str">
        <f t="shared" si="27"/>
        <v/>
      </c>
      <c r="AK39" s="1" t="str">
        <f t="shared" si="28"/>
        <v/>
      </c>
      <c r="AL39" s="1">
        <f t="shared" si="29"/>
        <v>7</v>
      </c>
      <c r="AO39" s="1">
        <f t="shared" si="30"/>
        <v>24.400369999999999</v>
      </c>
      <c r="AP39" s="1">
        <f t="shared" si="31"/>
        <v>9</v>
      </c>
      <c r="AQ39" s="1">
        <f t="shared" si="32"/>
        <v>7</v>
      </c>
      <c r="AT39" s="1">
        <f t="shared" si="33"/>
        <v>2.1999999999999993</v>
      </c>
      <c r="AU39" s="1">
        <f t="shared" si="34"/>
        <v>1.8000000000000007</v>
      </c>
      <c r="AV39" s="1">
        <f t="shared" si="35"/>
        <v>-0.40000000000000036</v>
      </c>
      <c r="AW39" s="1">
        <f t="shared" si="36"/>
        <v>3.5999999999999996</v>
      </c>
      <c r="AX39" s="1">
        <f t="shared" si="37"/>
        <v>0</v>
      </c>
      <c r="BC39" s="1">
        <f t="shared" si="40"/>
        <v>4.0003700000000002</v>
      </c>
      <c r="BD39" s="1">
        <f t="shared" si="41"/>
        <v>20</v>
      </c>
      <c r="BE39" s="1">
        <f t="shared" si="42"/>
        <v>7</v>
      </c>
      <c r="BH39" s="1" t="str">
        <f t="shared" si="43"/>
        <v/>
      </c>
      <c r="BI39" s="1" t="str">
        <f>IF(A39="","",IF(BH39="","",RANK(BH39,$BH$3:$BH189,1)))</f>
        <v/>
      </c>
      <c r="BJ39" s="1">
        <f t="shared" si="44"/>
        <v>7</v>
      </c>
      <c r="BM39" s="1">
        <f t="shared" si="45"/>
        <v>2.4475000000000477</v>
      </c>
      <c r="BN39" s="1">
        <f>IF(A39="","",IF(BM39="","",RANK(BM39,$BM$3:$BM189,1)))</f>
        <v>119</v>
      </c>
      <c r="BO39" s="1">
        <f t="shared" si="46"/>
        <v>7</v>
      </c>
      <c r="BR39" s="1">
        <f t="shared" si="47"/>
        <v>7</v>
      </c>
      <c r="BS39" s="1" t="str">
        <f t="shared" si="48"/>
        <v>サヤカチャン　　　　　　　　　　　　</v>
      </c>
      <c r="CD39" s="1" t="str">
        <f t="shared" si="52"/>
        <v/>
      </c>
      <c r="CE39" s="1" t="str">
        <f>IF(A39="","",IF(CD39="","",RANK(CD39,$CD$3:$CD189,1)))</f>
        <v/>
      </c>
      <c r="CF39" s="1">
        <f t="shared" si="53"/>
        <v>7</v>
      </c>
      <c r="CI39" s="1" t="str">
        <f t="shared" si="54"/>
        <v/>
      </c>
      <c r="CJ39" s="1" t="str">
        <f>IF(A39="","",IF(CI39="","",RANK(CI39,$CI$3:$CI189,1)))</f>
        <v/>
      </c>
      <c r="CK39" s="1">
        <f t="shared" si="55"/>
        <v>7</v>
      </c>
      <c r="CN39" s="1" t="str">
        <f t="shared" si="56"/>
        <v/>
      </c>
      <c r="CO39" s="1" t="str">
        <f>IF(A39="","",IF(CN39="","",RANK(CN39,$CN$3:$CN189,1)))</f>
        <v/>
      </c>
      <c r="CP39" s="1">
        <f t="shared" si="57"/>
        <v>7</v>
      </c>
      <c r="CS39" s="1" t="str">
        <f t="shared" si="58"/>
        <v/>
      </c>
      <c r="CT39" s="1" t="str">
        <f>IF(A39="","",IF(CS39="","",RANK(CS39,$CS$3:$CS189,1)))</f>
        <v/>
      </c>
      <c r="CU39" s="1">
        <f t="shared" si="59"/>
        <v>7</v>
      </c>
      <c r="CX39" s="1" t="str">
        <f t="shared" si="60"/>
        <v/>
      </c>
      <c r="CY39" s="1" t="str">
        <f>IF(CX39="","",IF(A39="","",RANK(CX39,$CX$3:$CX189,1)))</f>
        <v/>
      </c>
      <c r="CZ39" s="1">
        <f t="shared" si="61"/>
        <v>7</v>
      </c>
      <c r="DC39" s="1" t="str">
        <f t="shared" si="62"/>
        <v/>
      </c>
      <c r="DD39" s="1" t="str">
        <f>IF(DC39="","",IF(A39="","",RANK(DC39,$DC$3:$DC189,1)))</f>
        <v/>
      </c>
      <c r="DE39" s="1">
        <f t="shared" si="63"/>
        <v>7</v>
      </c>
      <c r="DH39" s="1" t="str">
        <f t="shared" si="64"/>
        <v/>
      </c>
      <c r="DI39" s="1" t="str">
        <f>IF(DH39="","",IF(A39="","",RANK(DH39,$DH$3:$DH189,1)))</f>
        <v/>
      </c>
      <c r="DJ39" s="1">
        <f t="shared" si="65"/>
        <v>7</v>
      </c>
      <c r="DM39" s="1" t="str">
        <f t="shared" si="66"/>
        <v/>
      </c>
      <c r="DN39" s="1" t="str">
        <f>IF(DM39="","",IF(A39="","",RANK(DM39,$DM$3:$DM189,1)))</f>
        <v/>
      </c>
      <c r="DO39" s="1">
        <f t="shared" si="67"/>
        <v>7</v>
      </c>
      <c r="DR39" s="1">
        <f t="shared" si="68"/>
        <v>16.00037</v>
      </c>
      <c r="DS39" s="1">
        <f>IF(DR39="","",IF(A39="","",RANK(DR39,$DR$3:$DR189,1)))</f>
        <v>99</v>
      </c>
      <c r="DT39" s="1">
        <f t="shared" si="69"/>
        <v>7</v>
      </c>
      <c r="DW39" s="1">
        <f t="shared" si="70"/>
        <v>13.800370000000001</v>
      </c>
      <c r="DX39" s="1">
        <f>IF(DW39="","",IF(A39="","",RANK(DW39,$DW$3:$DW189,1)))</f>
        <v>59</v>
      </c>
      <c r="DY39" s="1">
        <f t="shared" si="71"/>
        <v>7</v>
      </c>
      <c r="EB39" s="1">
        <f t="shared" si="72"/>
        <v>12.00037</v>
      </c>
      <c r="EC39" s="1">
        <f>IF(EB39="","",IF(A39="","",RANK(EB39,$EB$3:$EB189,1)))</f>
        <v>8</v>
      </c>
      <c r="ED39" s="1">
        <f t="shared" si="73"/>
        <v>7</v>
      </c>
      <c r="EG39" s="1">
        <f t="shared" si="74"/>
        <v>12.400370000000001</v>
      </c>
      <c r="EH39" s="1">
        <f>IF(EG39="","",IF(A39="","",RANK(EG39,$EG$3:$EG189,1)))</f>
        <v>37</v>
      </c>
      <c r="EI39" s="1">
        <f t="shared" si="75"/>
        <v>7</v>
      </c>
    </row>
    <row r="40" spans="1:139" ht="18.75">
      <c r="A40" s="1" t="s">
        <v>88</v>
      </c>
      <c r="B40" s="1">
        <v>20190609</v>
      </c>
      <c r="C40" s="1" t="s">
        <v>98</v>
      </c>
      <c r="D40" s="1">
        <v>9</v>
      </c>
      <c r="E40" s="30">
        <v>56.3</v>
      </c>
      <c r="F40" s="30">
        <v>38.9</v>
      </c>
      <c r="G40" s="30">
        <v>25</v>
      </c>
      <c r="H40" s="30">
        <v>12.4</v>
      </c>
      <c r="I40" s="30">
        <v>17.399999999999999</v>
      </c>
      <c r="J40" s="30">
        <v>13.9</v>
      </c>
      <c r="K40" s="30">
        <v>12.6</v>
      </c>
      <c r="L40" s="30">
        <v>12.4</v>
      </c>
      <c r="M40" s="1" t="str">
        <f t="shared" si="13"/>
        <v>2019/06/09</v>
      </c>
      <c r="N40" s="4" t="str">
        <f t="shared" si="14"/>
        <v/>
      </c>
      <c r="O40">
        <v>3.8000000000000035E-4</v>
      </c>
      <c r="P40" s="1" t="str">
        <f t="shared" si="15"/>
        <v/>
      </c>
      <c r="Q40" s="1" t="str">
        <f t="shared" si="16"/>
        <v/>
      </c>
      <c r="R40" s="1">
        <f t="shared" si="17"/>
        <v>9</v>
      </c>
      <c r="U40" s="1">
        <f t="shared" si="18"/>
        <v>56.300379999999997</v>
      </c>
      <c r="V40" s="1">
        <f t="shared" si="19"/>
        <v>90</v>
      </c>
      <c r="W40" s="1">
        <f t="shared" si="20"/>
        <v>9</v>
      </c>
      <c r="Z40" s="1" t="str">
        <f t="shared" si="21"/>
        <v/>
      </c>
      <c r="AA40" s="1" t="str">
        <f t="shared" si="22"/>
        <v/>
      </c>
      <c r="AB40" s="1">
        <f t="shared" si="23"/>
        <v>9</v>
      </c>
      <c r="AE40" s="1">
        <f t="shared" si="24"/>
        <v>38.900379999999998</v>
      </c>
      <c r="AF40" s="1">
        <f t="shared" si="25"/>
        <v>57</v>
      </c>
      <c r="AG40" s="1">
        <f t="shared" si="26"/>
        <v>9</v>
      </c>
      <c r="AJ40" s="1" t="str">
        <f t="shared" si="27"/>
        <v/>
      </c>
      <c r="AK40" s="1" t="str">
        <f t="shared" si="28"/>
        <v/>
      </c>
      <c r="AL40" s="1">
        <f t="shared" si="29"/>
        <v>9</v>
      </c>
      <c r="AO40" s="1">
        <f t="shared" si="30"/>
        <v>25.00038</v>
      </c>
      <c r="AP40" s="1">
        <f t="shared" si="31"/>
        <v>47</v>
      </c>
      <c r="AQ40" s="1">
        <f t="shared" si="32"/>
        <v>9</v>
      </c>
      <c r="AT40" s="1">
        <f t="shared" si="33"/>
        <v>3.4999999999999982</v>
      </c>
      <c r="AU40" s="1">
        <f t="shared" si="34"/>
        <v>1.3000000000000007</v>
      </c>
      <c r="AV40" s="1">
        <f t="shared" si="35"/>
        <v>0.19999999999999929</v>
      </c>
      <c r="AW40" s="1">
        <f t="shared" si="36"/>
        <v>4.9999999999999982</v>
      </c>
      <c r="AX40" s="1">
        <f t="shared" si="37"/>
        <v>1.6670466666666661</v>
      </c>
      <c r="BC40" s="1">
        <f t="shared" si="40"/>
        <v>4.8003799999999988</v>
      </c>
      <c r="BD40" s="1">
        <f t="shared" si="41"/>
        <v>9</v>
      </c>
      <c r="BE40" s="1">
        <f t="shared" si="42"/>
        <v>9</v>
      </c>
      <c r="BH40" s="1" t="str">
        <f t="shared" si="43"/>
        <v/>
      </c>
      <c r="BI40" s="1" t="str">
        <f>IF(A40="","",IF(BH40="","",RANK(BH40,$BH$3:$BH190,1)))</f>
        <v/>
      </c>
      <c r="BJ40" s="1">
        <f t="shared" si="44"/>
        <v>9</v>
      </c>
      <c r="BM40" s="1">
        <f t="shared" si="45"/>
        <v>4.0168749999999989</v>
      </c>
      <c r="BN40" s="1">
        <f>IF(A40="","",IF(BM40="","",RANK(BM40,$BM$3:$BM190,1)))</f>
        <v>142</v>
      </c>
      <c r="BO40" s="1">
        <f t="shared" si="46"/>
        <v>9</v>
      </c>
      <c r="BR40" s="1">
        <f t="shared" si="47"/>
        <v>9</v>
      </c>
      <c r="BS40" s="1" t="str">
        <f t="shared" si="48"/>
        <v>メイショウイサナ　　　　　　　　　　</v>
      </c>
      <c r="CD40" s="1" t="str">
        <f t="shared" si="52"/>
        <v/>
      </c>
      <c r="CE40" s="1" t="str">
        <f>IF(A40="","",IF(CD40="","",RANK(CD40,$CD$3:$CD190,1)))</f>
        <v/>
      </c>
      <c r="CF40" s="1">
        <f t="shared" si="53"/>
        <v>9</v>
      </c>
      <c r="CI40" s="1" t="str">
        <f t="shared" si="54"/>
        <v/>
      </c>
      <c r="CJ40" s="1" t="str">
        <f>IF(A40="","",IF(CI40="","",RANK(CI40,$CI$3:$CI190,1)))</f>
        <v/>
      </c>
      <c r="CK40" s="1">
        <f t="shared" si="55"/>
        <v>9</v>
      </c>
      <c r="CN40" s="1" t="str">
        <f t="shared" si="56"/>
        <v/>
      </c>
      <c r="CO40" s="1" t="str">
        <f>IF(A40="","",IF(CN40="","",RANK(CN40,$CN$3:$CN190,1)))</f>
        <v/>
      </c>
      <c r="CP40" s="1">
        <f t="shared" si="57"/>
        <v>9</v>
      </c>
      <c r="CS40" s="1" t="str">
        <f t="shared" si="58"/>
        <v/>
      </c>
      <c r="CT40" s="1" t="str">
        <f>IF(A40="","",IF(CS40="","",RANK(CS40,$CS$3:$CS190,1)))</f>
        <v/>
      </c>
      <c r="CU40" s="1">
        <f t="shared" si="59"/>
        <v>9</v>
      </c>
      <c r="CX40" s="1" t="str">
        <f t="shared" si="60"/>
        <v/>
      </c>
      <c r="CY40" s="1" t="str">
        <f>IF(CX40="","",IF(A40="","",RANK(CX40,$CX$3:$CX190,1)))</f>
        <v/>
      </c>
      <c r="CZ40" s="1">
        <f t="shared" si="61"/>
        <v>9</v>
      </c>
      <c r="DC40" s="1" t="str">
        <f t="shared" si="62"/>
        <v/>
      </c>
      <c r="DD40" s="1" t="str">
        <f>IF(DC40="","",IF(A40="","",RANK(DC40,$DC$3:$DC190,1)))</f>
        <v/>
      </c>
      <c r="DE40" s="1">
        <f t="shared" si="63"/>
        <v>9</v>
      </c>
      <c r="DH40" s="1" t="str">
        <f t="shared" si="64"/>
        <v/>
      </c>
      <c r="DI40" s="1" t="str">
        <f>IF(DH40="","",IF(A40="","",RANK(DH40,$DH$3:$DH190,1)))</f>
        <v/>
      </c>
      <c r="DJ40" s="1">
        <f t="shared" si="65"/>
        <v>9</v>
      </c>
      <c r="DM40" s="1" t="str">
        <f t="shared" si="66"/>
        <v/>
      </c>
      <c r="DN40" s="1" t="str">
        <f>IF(DM40="","",IF(A40="","",RANK(DM40,$DM$3:$DM190,1)))</f>
        <v/>
      </c>
      <c r="DO40" s="1">
        <f t="shared" si="67"/>
        <v>9</v>
      </c>
      <c r="DR40" s="1">
        <f t="shared" si="68"/>
        <v>17.400379999999998</v>
      </c>
      <c r="DS40" s="1">
        <f>IF(DR40="","",IF(A40="","",RANK(DR40,$DR$3:$DR190,1)))</f>
        <v>131</v>
      </c>
      <c r="DT40" s="1">
        <f t="shared" si="69"/>
        <v>9</v>
      </c>
      <c r="DW40" s="1">
        <f t="shared" si="70"/>
        <v>13.90038</v>
      </c>
      <c r="DX40" s="1">
        <f>IF(DW40="","",IF(A40="","",RANK(DW40,$DW$3:$DW190,1)))</f>
        <v>70</v>
      </c>
      <c r="DY40" s="1">
        <f t="shared" si="71"/>
        <v>9</v>
      </c>
      <c r="EB40" s="1">
        <f t="shared" si="72"/>
        <v>12.600379999999999</v>
      </c>
      <c r="EC40" s="1">
        <f>IF(EB40="","",IF(A40="","",RANK(EB40,$EB$3:$EB190,1)))</f>
        <v>54</v>
      </c>
      <c r="ED40" s="1">
        <f t="shared" si="73"/>
        <v>9</v>
      </c>
      <c r="EG40" s="1">
        <f t="shared" si="74"/>
        <v>12.40038</v>
      </c>
      <c r="EH40" s="1">
        <f>IF(EG40="","",IF(A40="","",RANK(EG40,$EG$3:$EG190,1)))</f>
        <v>38</v>
      </c>
      <c r="EI40" s="1">
        <f t="shared" si="75"/>
        <v>9</v>
      </c>
    </row>
    <row r="41" spans="1:139" ht="18.75">
      <c r="A41" s="1" t="s">
        <v>88</v>
      </c>
      <c r="B41" s="1">
        <v>20190609</v>
      </c>
      <c r="C41" s="1" t="s">
        <v>98</v>
      </c>
      <c r="D41" s="1">
        <v>9</v>
      </c>
      <c r="E41" s="30">
        <v>56.3</v>
      </c>
      <c r="F41" s="30">
        <v>38.9</v>
      </c>
      <c r="G41" s="30">
        <v>25</v>
      </c>
      <c r="H41" s="30">
        <v>12.4</v>
      </c>
      <c r="I41" s="30">
        <v>17.399999999999999</v>
      </c>
      <c r="J41" s="30">
        <v>13.9</v>
      </c>
      <c r="K41" s="30">
        <v>12.6</v>
      </c>
      <c r="L41" s="30">
        <v>12.4</v>
      </c>
      <c r="M41" s="1" t="str">
        <f t="shared" si="13"/>
        <v>2019/06/09</v>
      </c>
      <c r="N41" s="4" t="str">
        <f t="shared" si="14"/>
        <v/>
      </c>
      <c r="O41">
        <v>3.9000000000000037E-4</v>
      </c>
      <c r="P41" s="1" t="str">
        <f t="shared" si="15"/>
        <v/>
      </c>
      <c r="Q41" s="1" t="str">
        <f t="shared" si="16"/>
        <v/>
      </c>
      <c r="R41" s="1">
        <f t="shared" si="17"/>
        <v>9</v>
      </c>
      <c r="U41" s="1">
        <f t="shared" si="18"/>
        <v>56.30039</v>
      </c>
      <c r="V41" s="1">
        <f t="shared" si="19"/>
        <v>91</v>
      </c>
      <c r="W41" s="1">
        <f t="shared" si="20"/>
        <v>9</v>
      </c>
      <c r="Z41" s="1" t="str">
        <f t="shared" si="21"/>
        <v/>
      </c>
      <c r="AA41" s="1" t="str">
        <f t="shared" si="22"/>
        <v/>
      </c>
      <c r="AB41" s="1">
        <f t="shared" si="23"/>
        <v>9</v>
      </c>
      <c r="AE41" s="1">
        <f t="shared" si="24"/>
        <v>38.900390000000002</v>
      </c>
      <c r="AF41" s="1">
        <f t="shared" si="25"/>
        <v>58</v>
      </c>
      <c r="AG41" s="1">
        <f t="shared" si="26"/>
        <v>9</v>
      </c>
      <c r="AJ41" s="1" t="str">
        <f t="shared" si="27"/>
        <v/>
      </c>
      <c r="AK41" s="1" t="str">
        <f t="shared" si="28"/>
        <v/>
      </c>
      <c r="AL41" s="1">
        <f t="shared" si="29"/>
        <v>9</v>
      </c>
      <c r="AO41" s="1">
        <f t="shared" si="30"/>
        <v>25.000389999999999</v>
      </c>
      <c r="AP41" s="1">
        <f t="shared" si="31"/>
        <v>48</v>
      </c>
      <c r="AQ41" s="1">
        <f t="shared" si="32"/>
        <v>9</v>
      </c>
      <c r="AT41" s="1">
        <f t="shared" si="33"/>
        <v>3.4999999999999982</v>
      </c>
      <c r="AU41" s="1">
        <f t="shared" si="34"/>
        <v>1.3000000000000007</v>
      </c>
      <c r="AV41" s="1">
        <f t="shared" si="35"/>
        <v>0.19999999999999929</v>
      </c>
      <c r="AW41" s="1">
        <f t="shared" si="36"/>
        <v>4.9999999999999982</v>
      </c>
      <c r="AX41" s="1">
        <f t="shared" si="37"/>
        <v>1.667056666666666</v>
      </c>
      <c r="BC41" s="1">
        <f t="shared" si="40"/>
        <v>4.8003899999999993</v>
      </c>
      <c r="BD41" s="1">
        <f t="shared" si="41"/>
        <v>8</v>
      </c>
      <c r="BE41" s="1">
        <f t="shared" si="42"/>
        <v>9</v>
      </c>
      <c r="BH41" s="1" t="str">
        <f t="shared" si="43"/>
        <v/>
      </c>
      <c r="BI41" s="1" t="str">
        <f>IF(A41="","",IF(BH41="","",RANK(BH41,$BH$3:$BH191,1)))</f>
        <v/>
      </c>
      <c r="BJ41" s="1">
        <f t="shared" si="44"/>
        <v>9</v>
      </c>
      <c r="BM41" s="1">
        <f t="shared" si="45"/>
        <v>4.0168749999999989</v>
      </c>
      <c r="BN41" s="1">
        <f>IF(A41="","",IF(BM41="","",RANK(BM41,$BM$3:$BM191,1)))</f>
        <v>142</v>
      </c>
      <c r="BO41" s="1">
        <f t="shared" si="46"/>
        <v>9</v>
      </c>
      <c r="BR41" s="1">
        <f t="shared" si="47"/>
        <v>9</v>
      </c>
      <c r="BS41" s="1" t="str">
        <f t="shared" si="48"/>
        <v>メイショウイサナ　　　　　　　　　　</v>
      </c>
      <c r="CD41" s="1" t="str">
        <f t="shared" si="52"/>
        <v/>
      </c>
      <c r="CE41" s="1" t="str">
        <f>IF(A41="","",IF(CD41="","",RANK(CD41,$CD$3:$CD191,1)))</f>
        <v/>
      </c>
      <c r="CF41" s="1">
        <f t="shared" si="53"/>
        <v>9</v>
      </c>
      <c r="CI41" s="1" t="str">
        <f t="shared" si="54"/>
        <v/>
      </c>
      <c r="CJ41" s="1" t="str">
        <f>IF(A41="","",IF(CI41="","",RANK(CI41,$CI$3:$CI191,1)))</f>
        <v/>
      </c>
      <c r="CK41" s="1">
        <f t="shared" si="55"/>
        <v>9</v>
      </c>
      <c r="CN41" s="1" t="str">
        <f t="shared" si="56"/>
        <v/>
      </c>
      <c r="CO41" s="1" t="str">
        <f>IF(A41="","",IF(CN41="","",RANK(CN41,$CN$3:$CN191,1)))</f>
        <v/>
      </c>
      <c r="CP41" s="1">
        <f t="shared" si="57"/>
        <v>9</v>
      </c>
      <c r="CS41" s="1" t="str">
        <f t="shared" si="58"/>
        <v/>
      </c>
      <c r="CT41" s="1" t="str">
        <f>IF(A41="","",IF(CS41="","",RANK(CS41,$CS$3:$CS191,1)))</f>
        <v/>
      </c>
      <c r="CU41" s="1">
        <f t="shared" si="59"/>
        <v>9</v>
      </c>
      <c r="CX41" s="1" t="str">
        <f t="shared" si="60"/>
        <v/>
      </c>
      <c r="CY41" s="1" t="str">
        <f>IF(CX41="","",IF(A41="","",RANK(CX41,$CX$3:$CX191,1)))</f>
        <v/>
      </c>
      <c r="CZ41" s="1">
        <f t="shared" si="61"/>
        <v>9</v>
      </c>
      <c r="DC41" s="1" t="str">
        <f t="shared" si="62"/>
        <v/>
      </c>
      <c r="DD41" s="1" t="str">
        <f>IF(DC41="","",IF(A41="","",RANK(DC41,$DC$3:$DC191,1)))</f>
        <v/>
      </c>
      <c r="DE41" s="1">
        <f t="shared" si="63"/>
        <v>9</v>
      </c>
      <c r="DH41" s="1" t="str">
        <f t="shared" si="64"/>
        <v/>
      </c>
      <c r="DI41" s="1" t="str">
        <f>IF(DH41="","",IF(A41="","",RANK(DH41,$DH$3:$DH191,1)))</f>
        <v/>
      </c>
      <c r="DJ41" s="1">
        <f t="shared" si="65"/>
        <v>9</v>
      </c>
      <c r="DM41" s="1" t="str">
        <f t="shared" si="66"/>
        <v/>
      </c>
      <c r="DN41" s="1" t="str">
        <f>IF(DM41="","",IF(A41="","",RANK(DM41,$DM$3:$DM191,1)))</f>
        <v/>
      </c>
      <c r="DO41" s="1">
        <f t="shared" si="67"/>
        <v>9</v>
      </c>
      <c r="DR41" s="1">
        <f t="shared" si="68"/>
        <v>17.400389999999998</v>
      </c>
      <c r="DS41" s="1">
        <f>IF(DR41="","",IF(A41="","",RANK(DR41,$DR$3:$DR191,1)))</f>
        <v>132</v>
      </c>
      <c r="DT41" s="1">
        <f t="shared" si="69"/>
        <v>9</v>
      </c>
      <c r="DW41" s="1">
        <f t="shared" si="70"/>
        <v>13.90039</v>
      </c>
      <c r="DX41" s="1">
        <f>IF(DW41="","",IF(A41="","",RANK(DW41,$DW$3:$DW191,1)))</f>
        <v>71</v>
      </c>
      <c r="DY41" s="1">
        <f t="shared" si="71"/>
        <v>9</v>
      </c>
      <c r="EB41" s="1">
        <f t="shared" si="72"/>
        <v>12.600389999999999</v>
      </c>
      <c r="EC41" s="1">
        <f>IF(EB41="","",IF(A41="","",RANK(EB41,$EB$3:$EB191,1)))</f>
        <v>55</v>
      </c>
      <c r="ED41" s="1">
        <f t="shared" si="73"/>
        <v>9</v>
      </c>
      <c r="EG41" s="1">
        <f t="shared" si="74"/>
        <v>12.40039</v>
      </c>
      <c r="EH41" s="1">
        <f>IF(EG41="","",IF(A41="","",RANK(EG41,$EG$3:$EG191,1)))</f>
        <v>39</v>
      </c>
      <c r="EI41" s="1">
        <f t="shared" si="75"/>
        <v>9</v>
      </c>
    </row>
    <row r="42" spans="1:139" ht="18.75">
      <c r="A42" s="1" t="s">
        <v>88</v>
      </c>
      <c r="B42" s="1">
        <v>20190619</v>
      </c>
      <c r="C42" s="1" t="s">
        <v>93</v>
      </c>
      <c r="D42" s="1">
        <v>4</v>
      </c>
      <c r="E42" s="30">
        <v>53.7</v>
      </c>
      <c r="F42" s="30">
        <v>38.299999999999997</v>
      </c>
      <c r="G42" s="30">
        <v>24.8</v>
      </c>
      <c r="H42" s="30">
        <v>12.4</v>
      </c>
      <c r="I42" s="30">
        <v>15.4</v>
      </c>
      <c r="J42" s="30">
        <v>13.5</v>
      </c>
      <c r="K42" s="30">
        <v>12.4</v>
      </c>
      <c r="L42" s="30">
        <v>12.4</v>
      </c>
      <c r="M42" s="1" t="str">
        <f t="shared" si="13"/>
        <v>2019/06/19</v>
      </c>
      <c r="N42" s="4" t="str">
        <f t="shared" si="14"/>
        <v/>
      </c>
      <c r="O42">
        <v>4.000000000000004E-4</v>
      </c>
      <c r="P42" s="1" t="str">
        <f t="shared" si="15"/>
        <v/>
      </c>
      <c r="Q42" s="1" t="str">
        <f t="shared" si="16"/>
        <v/>
      </c>
      <c r="R42" s="1">
        <f t="shared" si="17"/>
        <v>4</v>
      </c>
      <c r="U42" s="1">
        <f t="shared" si="18"/>
        <v>53.700400000000002</v>
      </c>
      <c r="V42" s="1">
        <f t="shared" si="19"/>
        <v>38</v>
      </c>
      <c r="W42" s="1">
        <f t="shared" si="20"/>
        <v>4</v>
      </c>
      <c r="Z42" s="1" t="str">
        <f t="shared" si="21"/>
        <v/>
      </c>
      <c r="AA42" s="1" t="str">
        <f t="shared" si="22"/>
        <v/>
      </c>
      <c r="AB42" s="1">
        <f t="shared" si="23"/>
        <v>4</v>
      </c>
      <c r="AE42" s="1">
        <f t="shared" si="24"/>
        <v>38.300399999999996</v>
      </c>
      <c r="AF42" s="1">
        <f t="shared" si="25"/>
        <v>34</v>
      </c>
      <c r="AG42" s="1">
        <f t="shared" si="26"/>
        <v>4</v>
      </c>
      <c r="AJ42" s="1" t="str">
        <f t="shared" si="27"/>
        <v/>
      </c>
      <c r="AK42" s="1" t="str">
        <f t="shared" si="28"/>
        <v/>
      </c>
      <c r="AL42" s="1">
        <f t="shared" si="29"/>
        <v>4</v>
      </c>
      <c r="AO42" s="1">
        <f t="shared" si="30"/>
        <v>24.8004</v>
      </c>
      <c r="AP42" s="1">
        <f t="shared" si="31"/>
        <v>28</v>
      </c>
      <c r="AQ42" s="1">
        <f t="shared" si="32"/>
        <v>4</v>
      </c>
      <c r="AT42" s="1">
        <f t="shared" si="33"/>
        <v>1.9000000000000004</v>
      </c>
      <c r="AU42" s="1">
        <f t="shared" si="34"/>
        <v>1.0999999999999996</v>
      </c>
      <c r="AV42" s="1">
        <f t="shared" si="35"/>
        <v>0</v>
      </c>
      <c r="AW42" s="1">
        <f t="shared" si="36"/>
        <v>3</v>
      </c>
      <c r="AX42" s="1">
        <f t="shared" si="37"/>
        <v>1.0004</v>
      </c>
      <c r="BC42" s="1">
        <f t="shared" si="40"/>
        <v>3.0004</v>
      </c>
      <c r="BD42" s="1">
        <f t="shared" si="41"/>
        <v>50</v>
      </c>
      <c r="BE42" s="1">
        <f t="shared" si="42"/>
        <v>4</v>
      </c>
      <c r="BH42" s="1" t="str">
        <f t="shared" si="43"/>
        <v/>
      </c>
      <c r="BI42" s="1" t="str">
        <f>IF(A42="","",IF(BH42="","",RANK(BH42,$BH$3:$BH192,1)))</f>
        <v/>
      </c>
      <c r="BJ42" s="1">
        <f t="shared" si="44"/>
        <v>4</v>
      </c>
      <c r="BM42" s="1">
        <f t="shared" si="45"/>
        <v>1.5018750000000001</v>
      </c>
      <c r="BN42" s="1">
        <f>IF(A42="","",IF(BM42="","",RANK(BM42,$BM$3:$BM192,1)))</f>
        <v>93</v>
      </c>
      <c r="BO42" s="1">
        <f t="shared" si="46"/>
        <v>4</v>
      </c>
      <c r="BR42" s="1">
        <f t="shared" si="47"/>
        <v>4</v>
      </c>
      <c r="BS42" s="1" t="str">
        <f t="shared" si="48"/>
        <v>ウィズ　　　　　　　　　　　　　　　</v>
      </c>
      <c r="CD42" s="1" t="str">
        <f t="shared" si="52"/>
        <v/>
      </c>
      <c r="CE42" s="1" t="str">
        <f>IF(A42="","",IF(CD42="","",RANK(CD42,$CD$3:$CD192,1)))</f>
        <v/>
      </c>
      <c r="CF42" s="1">
        <f t="shared" si="53"/>
        <v>4</v>
      </c>
      <c r="CI42" s="1" t="str">
        <f t="shared" si="54"/>
        <v/>
      </c>
      <c r="CJ42" s="1" t="str">
        <f>IF(A42="","",IF(CI42="","",RANK(CI42,$CI$3:$CI192,1)))</f>
        <v/>
      </c>
      <c r="CK42" s="1">
        <f t="shared" si="55"/>
        <v>4</v>
      </c>
      <c r="CN42" s="1" t="str">
        <f t="shared" si="56"/>
        <v/>
      </c>
      <c r="CO42" s="1" t="str">
        <f>IF(A42="","",IF(CN42="","",RANK(CN42,$CN$3:$CN192,1)))</f>
        <v/>
      </c>
      <c r="CP42" s="1">
        <f t="shared" si="57"/>
        <v>4</v>
      </c>
      <c r="CS42" s="1" t="str">
        <f t="shared" si="58"/>
        <v/>
      </c>
      <c r="CT42" s="1" t="str">
        <f>IF(A42="","",IF(CS42="","",RANK(CS42,$CS$3:$CS192,1)))</f>
        <v/>
      </c>
      <c r="CU42" s="1">
        <f t="shared" si="59"/>
        <v>4</v>
      </c>
      <c r="CX42" s="1" t="str">
        <f t="shared" si="60"/>
        <v/>
      </c>
      <c r="CY42" s="1" t="str">
        <f>IF(CX42="","",IF(A42="","",RANK(CX42,$CX$3:$CX192,1)))</f>
        <v/>
      </c>
      <c r="CZ42" s="1">
        <f t="shared" si="61"/>
        <v>4</v>
      </c>
      <c r="DC42" s="1" t="str">
        <f t="shared" si="62"/>
        <v/>
      </c>
      <c r="DD42" s="1" t="str">
        <f>IF(DC42="","",IF(A42="","",RANK(DC42,$DC$3:$DC192,1)))</f>
        <v/>
      </c>
      <c r="DE42" s="1">
        <f t="shared" si="63"/>
        <v>4</v>
      </c>
      <c r="DH42" s="1" t="str">
        <f t="shared" si="64"/>
        <v/>
      </c>
      <c r="DI42" s="1" t="str">
        <f>IF(DH42="","",IF(A42="","",RANK(DH42,$DH$3:$DH192,1)))</f>
        <v/>
      </c>
      <c r="DJ42" s="1">
        <f t="shared" si="65"/>
        <v>4</v>
      </c>
      <c r="DM42" s="1" t="str">
        <f t="shared" si="66"/>
        <v/>
      </c>
      <c r="DN42" s="1" t="str">
        <f>IF(DM42="","",IF(A42="","",RANK(DM42,$DM$3:$DM192,1)))</f>
        <v/>
      </c>
      <c r="DO42" s="1">
        <f t="shared" si="67"/>
        <v>4</v>
      </c>
      <c r="DR42" s="1">
        <f t="shared" si="68"/>
        <v>15.400400000000001</v>
      </c>
      <c r="DS42" s="1">
        <f>IF(DR42="","",IF(A42="","",RANK(DR42,$DR$3:$DR192,1)))</f>
        <v>64</v>
      </c>
      <c r="DT42" s="1">
        <f t="shared" si="69"/>
        <v>4</v>
      </c>
      <c r="DW42" s="1">
        <f t="shared" si="70"/>
        <v>13.500400000000001</v>
      </c>
      <c r="DX42" s="1">
        <f>IF(DW42="","",IF(A42="","",RANK(DW42,$DW$3:$DW192,1)))</f>
        <v>39</v>
      </c>
      <c r="DY42" s="1">
        <f t="shared" si="71"/>
        <v>4</v>
      </c>
      <c r="EB42" s="1">
        <f t="shared" si="72"/>
        <v>12.400400000000001</v>
      </c>
      <c r="EC42" s="1">
        <f>IF(EB42="","",IF(A42="","",RANK(EB42,$EB$3:$EB192,1)))</f>
        <v>36</v>
      </c>
      <c r="ED42" s="1">
        <f t="shared" si="73"/>
        <v>4</v>
      </c>
      <c r="EG42" s="1">
        <f t="shared" si="74"/>
        <v>12.400400000000001</v>
      </c>
      <c r="EH42" s="1">
        <f>IF(EG42="","",IF(A42="","",RANK(EG42,$EG$3:$EG192,1)))</f>
        <v>40</v>
      </c>
      <c r="EI42" s="1">
        <f t="shared" si="75"/>
        <v>4</v>
      </c>
    </row>
    <row r="43" spans="1:139" ht="18.75">
      <c r="A43" s="1" t="s">
        <v>88</v>
      </c>
      <c r="B43" s="1">
        <v>20190116</v>
      </c>
      <c r="C43" s="1" t="s">
        <v>92</v>
      </c>
      <c r="D43" s="1">
        <v>3</v>
      </c>
      <c r="E43" s="30">
        <v>53.2</v>
      </c>
      <c r="F43" s="30">
        <v>38.299999999999997</v>
      </c>
      <c r="G43" s="30">
        <v>24.8</v>
      </c>
      <c r="H43" s="30">
        <v>12.5</v>
      </c>
      <c r="I43" s="30">
        <v>14.9</v>
      </c>
      <c r="J43" s="30">
        <v>13.5</v>
      </c>
      <c r="K43" s="30">
        <v>12.3</v>
      </c>
      <c r="L43" s="30">
        <v>12.5</v>
      </c>
      <c r="M43" s="1" t="str">
        <f t="shared" si="13"/>
        <v>2019/01/16</v>
      </c>
      <c r="N43" s="4" t="str">
        <f t="shared" si="14"/>
        <v/>
      </c>
      <c r="O43">
        <v>4.1000000000000042E-4</v>
      </c>
      <c r="P43" s="1" t="str">
        <f t="shared" si="15"/>
        <v/>
      </c>
      <c r="Q43" s="1" t="str">
        <f t="shared" si="16"/>
        <v/>
      </c>
      <c r="R43" s="1">
        <f t="shared" si="17"/>
        <v>3</v>
      </c>
      <c r="U43" s="1">
        <f t="shared" si="18"/>
        <v>53.200410000000005</v>
      </c>
      <c r="V43" s="1">
        <f t="shared" si="19"/>
        <v>32</v>
      </c>
      <c r="W43" s="1">
        <f t="shared" si="20"/>
        <v>3</v>
      </c>
      <c r="Z43" s="1" t="str">
        <f t="shared" si="21"/>
        <v/>
      </c>
      <c r="AA43" s="1" t="str">
        <f t="shared" si="22"/>
        <v/>
      </c>
      <c r="AB43" s="1">
        <f t="shared" si="23"/>
        <v>3</v>
      </c>
      <c r="AE43" s="1">
        <f t="shared" si="24"/>
        <v>38.300409999999999</v>
      </c>
      <c r="AF43" s="1">
        <f t="shared" si="25"/>
        <v>35</v>
      </c>
      <c r="AG43" s="1">
        <f t="shared" si="26"/>
        <v>3</v>
      </c>
      <c r="AJ43" s="1" t="str">
        <f t="shared" si="27"/>
        <v/>
      </c>
      <c r="AK43" s="1" t="str">
        <f t="shared" si="28"/>
        <v/>
      </c>
      <c r="AL43" s="1">
        <f t="shared" si="29"/>
        <v>3</v>
      </c>
      <c r="AO43" s="1">
        <f t="shared" si="30"/>
        <v>24.800409999999999</v>
      </c>
      <c r="AP43" s="1">
        <f t="shared" si="31"/>
        <v>29</v>
      </c>
      <c r="AQ43" s="1">
        <f t="shared" si="32"/>
        <v>3</v>
      </c>
      <c r="AT43" s="1">
        <f t="shared" si="33"/>
        <v>1.4000000000000004</v>
      </c>
      <c r="AU43" s="1">
        <f t="shared" si="34"/>
        <v>1.1999999999999993</v>
      </c>
      <c r="AV43" s="1">
        <f t="shared" si="35"/>
        <v>-0.19999999999999929</v>
      </c>
      <c r="AW43" s="1">
        <f t="shared" si="36"/>
        <v>2.4000000000000004</v>
      </c>
      <c r="AX43" s="1">
        <f t="shared" si="37"/>
        <v>0</v>
      </c>
      <c r="BC43" s="1">
        <f t="shared" si="40"/>
        <v>2.6004099999999997</v>
      </c>
      <c r="BD43" s="1">
        <f t="shared" si="41"/>
        <v>67</v>
      </c>
      <c r="BE43" s="1">
        <f t="shared" si="42"/>
        <v>3</v>
      </c>
      <c r="BH43" s="1" t="str">
        <f t="shared" si="43"/>
        <v/>
      </c>
      <c r="BI43" s="1" t="str">
        <f>IF(A43="","",IF(BH43="","",RANK(BH43,$BH$3:$BH193,1)))</f>
        <v/>
      </c>
      <c r="BJ43" s="1">
        <f t="shared" si="44"/>
        <v>3</v>
      </c>
      <c r="BM43" s="1">
        <f t="shared" si="45"/>
        <v>1.0599999999999998</v>
      </c>
      <c r="BN43" s="1">
        <f>IF(A43="","",IF(BM43="","",RANK(BM43,$BM$3:$BM193,1)))</f>
        <v>66</v>
      </c>
      <c r="BO43" s="1">
        <f t="shared" si="46"/>
        <v>3</v>
      </c>
      <c r="BR43" s="1">
        <f t="shared" si="47"/>
        <v>3</v>
      </c>
      <c r="BS43" s="1" t="str">
        <f t="shared" si="48"/>
        <v>ディアボレット　　　　　　　　　　　</v>
      </c>
      <c r="CD43" s="1" t="str">
        <f t="shared" si="52"/>
        <v/>
      </c>
      <c r="CE43" s="1" t="str">
        <f>IF(A43="","",IF(CD43="","",RANK(CD43,$CD$3:$CD193,1)))</f>
        <v/>
      </c>
      <c r="CF43" s="1">
        <f t="shared" si="53"/>
        <v>3</v>
      </c>
      <c r="CI43" s="1" t="str">
        <f t="shared" si="54"/>
        <v/>
      </c>
      <c r="CJ43" s="1" t="str">
        <f>IF(A43="","",IF(CI43="","",RANK(CI43,$CI$3:$CI193,1)))</f>
        <v/>
      </c>
      <c r="CK43" s="1">
        <f t="shared" si="55"/>
        <v>3</v>
      </c>
      <c r="CN43" s="1" t="str">
        <f t="shared" si="56"/>
        <v/>
      </c>
      <c r="CO43" s="1" t="str">
        <f>IF(A43="","",IF(CN43="","",RANK(CN43,$CN$3:$CN193,1)))</f>
        <v/>
      </c>
      <c r="CP43" s="1">
        <f t="shared" si="57"/>
        <v>3</v>
      </c>
      <c r="CS43" s="1" t="str">
        <f t="shared" si="58"/>
        <v/>
      </c>
      <c r="CT43" s="1" t="str">
        <f>IF(A43="","",IF(CS43="","",RANK(CS43,$CS$3:$CS193,1)))</f>
        <v/>
      </c>
      <c r="CU43" s="1">
        <f t="shared" si="59"/>
        <v>3</v>
      </c>
      <c r="CX43" s="1" t="str">
        <f t="shared" si="60"/>
        <v/>
      </c>
      <c r="CY43" s="1" t="str">
        <f>IF(CX43="","",IF(A43="","",RANK(CX43,$CX$3:$CX193,1)))</f>
        <v/>
      </c>
      <c r="CZ43" s="1">
        <f t="shared" si="61"/>
        <v>3</v>
      </c>
      <c r="DC43" s="1" t="str">
        <f t="shared" si="62"/>
        <v/>
      </c>
      <c r="DD43" s="1" t="str">
        <f>IF(DC43="","",IF(A43="","",RANK(DC43,$DC$3:$DC193,1)))</f>
        <v/>
      </c>
      <c r="DE43" s="1">
        <f t="shared" si="63"/>
        <v>3</v>
      </c>
      <c r="DH43" s="1" t="str">
        <f t="shared" si="64"/>
        <v/>
      </c>
      <c r="DI43" s="1" t="str">
        <f>IF(DH43="","",IF(A43="","",RANK(DH43,$DH$3:$DH193,1)))</f>
        <v/>
      </c>
      <c r="DJ43" s="1">
        <f t="shared" si="65"/>
        <v>3</v>
      </c>
      <c r="DM43" s="1" t="str">
        <f t="shared" si="66"/>
        <v/>
      </c>
      <c r="DN43" s="1" t="str">
        <f>IF(DM43="","",IF(A43="","",RANK(DM43,$DM$3:$DM193,1)))</f>
        <v/>
      </c>
      <c r="DO43" s="1">
        <f t="shared" si="67"/>
        <v>3</v>
      </c>
      <c r="DR43" s="1">
        <f t="shared" si="68"/>
        <v>14.900410000000001</v>
      </c>
      <c r="DS43" s="1">
        <f>IF(DR43="","",IF(A43="","",RANK(DR43,$DR$3:$DR193,1)))</f>
        <v>41</v>
      </c>
      <c r="DT43" s="1">
        <f t="shared" si="69"/>
        <v>3</v>
      </c>
      <c r="DW43" s="1">
        <f t="shared" si="70"/>
        <v>13.50041</v>
      </c>
      <c r="DX43" s="1">
        <f>IF(DW43="","",IF(A43="","",RANK(DW43,$DW$3:$DW193,1)))</f>
        <v>40</v>
      </c>
      <c r="DY43" s="1">
        <f t="shared" si="71"/>
        <v>3</v>
      </c>
      <c r="EB43" s="1">
        <f t="shared" si="72"/>
        <v>12.300410000000001</v>
      </c>
      <c r="EC43" s="1">
        <f>IF(EB43="","",IF(A43="","",RANK(EB43,$EB$3:$EB193,1)))</f>
        <v>25</v>
      </c>
      <c r="ED43" s="1">
        <f t="shared" si="73"/>
        <v>3</v>
      </c>
      <c r="EG43" s="1">
        <f t="shared" si="74"/>
        <v>12.50041</v>
      </c>
      <c r="EH43" s="1">
        <f>IF(EG43="","",IF(A43="","",RANK(EG43,$EG$3:$EG193,1)))</f>
        <v>41</v>
      </c>
      <c r="EI43" s="1">
        <f t="shared" si="75"/>
        <v>3</v>
      </c>
    </row>
    <row r="44" spans="1:139" ht="18.75">
      <c r="A44" s="1" t="s">
        <v>88</v>
      </c>
      <c r="B44" s="1">
        <v>20190206</v>
      </c>
      <c r="C44" s="1" t="s">
        <v>92</v>
      </c>
      <c r="D44" s="1">
        <v>3</v>
      </c>
      <c r="E44" s="30">
        <v>53.7</v>
      </c>
      <c r="F44" s="30">
        <v>38.700000000000003</v>
      </c>
      <c r="G44" s="30">
        <v>24.9</v>
      </c>
      <c r="H44" s="30">
        <v>12.5</v>
      </c>
      <c r="I44" s="30">
        <v>15</v>
      </c>
      <c r="J44" s="30">
        <v>13.8</v>
      </c>
      <c r="K44" s="30">
        <v>12.4</v>
      </c>
      <c r="L44" s="30">
        <v>12.5</v>
      </c>
      <c r="M44" s="1" t="str">
        <f t="shared" si="13"/>
        <v>2019/02/06</v>
      </c>
      <c r="N44" s="4" t="str">
        <f t="shared" si="14"/>
        <v/>
      </c>
      <c r="O44">
        <v>4.2000000000000045E-4</v>
      </c>
      <c r="P44" s="1" t="str">
        <f t="shared" si="15"/>
        <v/>
      </c>
      <c r="Q44" s="1" t="str">
        <f t="shared" si="16"/>
        <v/>
      </c>
      <c r="R44" s="1">
        <f t="shared" si="17"/>
        <v>3</v>
      </c>
      <c r="U44" s="1">
        <f t="shared" si="18"/>
        <v>53.700420000000001</v>
      </c>
      <c r="V44" s="1">
        <f t="shared" si="19"/>
        <v>39</v>
      </c>
      <c r="W44" s="1">
        <f t="shared" si="20"/>
        <v>3</v>
      </c>
      <c r="Z44" s="1" t="str">
        <f t="shared" si="21"/>
        <v/>
      </c>
      <c r="AA44" s="1" t="str">
        <f t="shared" si="22"/>
        <v/>
      </c>
      <c r="AB44" s="1">
        <f t="shared" si="23"/>
        <v>3</v>
      </c>
      <c r="AE44" s="1">
        <f t="shared" si="24"/>
        <v>38.700420000000001</v>
      </c>
      <c r="AF44" s="1">
        <f t="shared" si="25"/>
        <v>49</v>
      </c>
      <c r="AG44" s="1">
        <f t="shared" si="26"/>
        <v>3</v>
      </c>
      <c r="AJ44" s="1" t="str">
        <f t="shared" si="27"/>
        <v/>
      </c>
      <c r="AK44" s="1" t="str">
        <f t="shared" si="28"/>
        <v/>
      </c>
      <c r="AL44" s="1">
        <f t="shared" si="29"/>
        <v>3</v>
      </c>
      <c r="AO44" s="1">
        <f t="shared" si="30"/>
        <v>24.900419999999997</v>
      </c>
      <c r="AP44" s="1">
        <f t="shared" si="31"/>
        <v>37</v>
      </c>
      <c r="AQ44" s="1">
        <f t="shared" si="32"/>
        <v>3</v>
      </c>
      <c r="AT44" s="1">
        <f t="shared" si="33"/>
        <v>1.1999999999999993</v>
      </c>
      <c r="AU44" s="1">
        <f t="shared" si="34"/>
        <v>1.4000000000000004</v>
      </c>
      <c r="AV44" s="1">
        <f t="shared" si="35"/>
        <v>-9.9999999999999645E-2</v>
      </c>
      <c r="AW44" s="1">
        <f t="shared" si="36"/>
        <v>2.5</v>
      </c>
      <c r="AX44" s="1">
        <f t="shared" si="37"/>
        <v>0</v>
      </c>
      <c r="BC44" s="1">
        <f t="shared" si="40"/>
        <v>2.6004199999999997</v>
      </c>
      <c r="BD44" s="1">
        <f t="shared" si="41"/>
        <v>66</v>
      </c>
      <c r="BE44" s="1">
        <f t="shared" si="42"/>
        <v>3</v>
      </c>
      <c r="BH44" s="1" t="str">
        <f t="shared" si="43"/>
        <v/>
      </c>
      <c r="BI44" s="1" t="str">
        <f>IF(A44="","",IF(BH44="","",RANK(BH44,$BH$3:$BH194,1)))</f>
        <v/>
      </c>
      <c r="BJ44" s="1">
        <f t="shared" si="44"/>
        <v>3</v>
      </c>
      <c r="BM44" s="1">
        <f t="shared" si="45"/>
        <v>1.131875</v>
      </c>
      <c r="BN44" s="1">
        <f>IF(A44="","",IF(BM44="","",RANK(BM44,$BM$3:$BM194,1)))</f>
        <v>71</v>
      </c>
      <c r="BO44" s="1">
        <f t="shared" si="46"/>
        <v>3</v>
      </c>
      <c r="BR44" s="1">
        <f t="shared" si="47"/>
        <v>3</v>
      </c>
      <c r="BS44" s="1" t="str">
        <f t="shared" si="48"/>
        <v>ディアボレット　　　　　　　　　　　</v>
      </c>
      <c r="CD44" s="1" t="str">
        <f t="shared" si="52"/>
        <v/>
      </c>
      <c r="CE44" s="1" t="str">
        <f>IF(A44="","",IF(CD44="","",RANK(CD44,$CD$3:$CD194,1)))</f>
        <v/>
      </c>
      <c r="CF44" s="1">
        <f t="shared" si="53"/>
        <v>3</v>
      </c>
      <c r="CI44" s="1" t="str">
        <f t="shared" si="54"/>
        <v/>
      </c>
      <c r="CJ44" s="1" t="str">
        <f>IF(A44="","",IF(CI44="","",RANK(CI44,$CI$3:$CI194,1)))</f>
        <v/>
      </c>
      <c r="CK44" s="1">
        <f t="shared" si="55"/>
        <v>3</v>
      </c>
      <c r="CN44" s="1" t="str">
        <f t="shared" si="56"/>
        <v/>
      </c>
      <c r="CO44" s="1" t="str">
        <f>IF(A44="","",IF(CN44="","",RANK(CN44,$CN$3:$CN194,1)))</f>
        <v/>
      </c>
      <c r="CP44" s="1">
        <f t="shared" si="57"/>
        <v>3</v>
      </c>
      <c r="CS44" s="1" t="str">
        <f t="shared" si="58"/>
        <v/>
      </c>
      <c r="CT44" s="1" t="str">
        <f>IF(A44="","",IF(CS44="","",RANK(CS44,$CS$3:$CS194,1)))</f>
        <v/>
      </c>
      <c r="CU44" s="1">
        <f t="shared" si="59"/>
        <v>3</v>
      </c>
      <c r="CX44" s="1" t="str">
        <f t="shared" si="60"/>
        <v/>
      </c>
      <c r="CY44" s="1" t="str">
        <f>IF(CX44="","",IF(A44="","",RANK(CX44,$CX$3:$CX194,1)))</f>
        <v/>
      </c>
      <c r="CZ44" s="1">
        <f t="shared" si="61"/>
        <v>3</v>
      </c>
      <c r="DC44" s="1" t="str">
        <f t="shared" si="62"/>
        <v/>
      </c>
      <c r="DD44" s="1" t="str">
        <f>IF(DC44="","",IF(A44="","",RANK(DC44,$DC$3:$DC194,1)))</f>
        <v/>
      </c>
      <c r="DE44" s="1">
        <f t="shared" si="63"/>
        <v>3</v>
      </c>
      <c r="DH44" s="1" t="str">
        <f t="shared" si="64"/>
        <v/>
      </c>
      <c r="DI44" s="1" t="str">
        <f>IF(DH44="","",IF(A44="","",RANK(DH44,$DH$3:$DH194,1)))</f>
        <v/>
      </c>
      <c r="DJ44" s="1">
        <f t="shared" si="65"/>
        <v>3</v>
      </c>
      <c r="DM44" s="1" t="str">
        <f t="shared" si="66"/>
        <v/>
      </c>
      <c r="DN44" s="1" t="str">
        <f>IF(DM44="","",IF(A44="","",RANK(DM44,$DM$3:$DM194,1)))</f>
        <v/>
      </c>
      <c r="DO44" s="1">
        <f t="shared" si="67"/>
        <v>3</v>
      </c>
      <c r="DR44" s="1">
        <f t="shared" si="68"/>
        <v>15.00042</v>
      </c>
      <c r="DS44" s="1">
        <f>IF(DR44="","",IF(A44="","",RANK(DR44,$DR$3:$DR194,1)))</f>
        <v>49</v>
      </c>
      <c r="DT44" s="1">
        <f t="shared" si="69"/>
        <v>3</v>
      </c>
      <c r="DW44" s="1">
        <f t="shared" si="70"/>
        <v>13.800420000000001</v>
      </c>
      <c r="DX44" s="1">
        <f>IF(DW44="","",IF(A44="","",RANK(DW44,$DW$3:$DW194,1)))</f>
        <v>60</v>
      </c>
      <c r="DY44" s="1">
        <f t="shared" si="71"/>
        <v>3</v>
      </c>
      <c r="EB44" s="1">
        <f t="shared" si="72"/>
        <v>12.40042</v>
      </c>
      <c r="EC44" s="1">
        <f>IF(EB44="","",IF(A44="","",RANK(EB44,$EB$3:$EB194,1)))</f>
        <v>37</v>
      </c>
      <c r="ED44" s="1">
        <f t="shared" si="73"/>
        <v>3</v>
      </c>
      <c r="EG44" s="1">
        <f t="shared" si="74"/>
        <v>12.50042</v>
      </c>
      <c r="EH44" s="1">
        <f>IF(EG44="","",IF(A44="","",RANK(EG44,$EG$3:$EG194,1)))</f>
        <v>42</v>
      </c>
      <c r="EI44" s="1">
        <f t="shared" si="75"/>
        <v>3</v>
      </c>
    </row>
    <row r="45" spans="1:139" ht="18.75">
      <c r="A45" s="1" t="s">
        <v>88</v>
      </c>
      <c r="B45" s="1">
        <v>20190206</v>
      </c>
      <c r="C45" s="1" t="s">
        <v>99</v>
      </c>
      <c r="D45" s="1">
        <v>10</v>
      </c>
      <c r="E45" s="30">
        <v>52.9</v>
      </c>
      <c r="F45" s="30">
        <v>38.200000000000003</v>
      </c>
      <c r="G45" s="30">
        <v>25.2</v>
      </c>
      <c r="H45" s="30">
        <v>12.5</v>
      </c>
      <c r="I45" s="30">
        <v>14.7</v>
      </c>
      <c r="J45" s="30">
        <v>13</v>
      </c>
      <c r="K45" s="30">
        <v>12.7</v>
      </c>
      <c r="L45" s="30">
        <v>12.5</v>
      </c>
      <c r="M45" s="1" t="str">
        <f t="shared" si="13"/>
        <v>2019/02/06</v>
      </c>
      <c r="N45" s="4" t="str">
        <f t="shared" si="14"/>
        <v/>
      </c>
      <c r="O45">
        <v>4.3000000000000048E-4</v>
      </c>
      <c r="P45" s="1" t="str">
        <f t="shared" si="15"/>
        <v/>
      </c>
      <c r="Q45" s="1" t="str">
        <f t="shared" si="16"/>
        <v/>
      </c>
      <c r="R45" s="1">
        <f t="shared" si="17"/>
        <v>10</v>
      </c>
      <c r="U45" s="1">
        <f t="shared" si="18"/>
        <v>52.90043</v>
      </c>
      <c r="V45" s="1">
        <f t="shared" si="19"/>
        <v>23</v>
      </c>
      <c r="W45" s="1">
        <f t="shared" si="20"/>
        <v>10</v>
      </c>
      <c r="Z45" s="1" t="str">
        <f t="shared" si="21"/>
        <v/>
      </c>
      <c r="AA45" s="1" t="str">
        <f t="shared" si="22"/>
        <v/>
      </c>
      <c r="AB45" s="1">
        <f t="shared" si="23"/>
        <v>10</v>
      </c>
      <c r="AE45" s="1">
        <f t="shared" si="24"/>
        <v>38.200430000000004</v>
      </c>
      <c r="AF45" s="1">
        <f t="shared" si="25"/>
        <v>29</v>
      </c>
      <c r="AG45" s="1">
        <f t="shared" si="26"/>
        <v>10</v>
      </c>
      <c r="AJ45" s="1" t="str">
        <f t="shared" si="27"/>
        <v/>
      </c>
      <c r="AK45" s="1" t="str">
        <f t="shared" si="28"/>
        <v/>
      </c>
      <c r="AL45" s="1">
        <f t="shared" si="29"/>
        <v>10</v>
      </c>
      <c r="AO45" s="1">
        <f t="shared" si="30"/>
        <v>25.200430000000001</v>
      </c>
      <c r="AP45" s="1">
        <f t="shared" si="31"/>
        <v>54</v>
      </c>
      <c r="AQ45" s="1">
        <f t="shared" si="32"/>
        <v>10</v>
      </c>
      <c r="AT45" s="1">
        <f t="shared" si="33"/>
        <v>1.6999999999999993</v>
      </c>
      <c r="AU45" s="1">
        <f t="shared" si="34"/>
        <v>0.30000000000000071</v>
      </c>
      <c r="AV45" s="1">
        <f t="shared" si="35"/>
        <v>0.19999999999999929</v>
      </c>
      <c r="AW45" s="1">
        <f t="shared" si="36"/>
        <v>2.1999999999999993</v>
      </c>
      <c r="AX45" s="1">
        <f t="shared" si="37"/>
        <v>0.7337633333333331</v>
      </c>
      <c r="BC45" s="1">
        <f t="shared" si="40"/>
        <v>2.0004300000000002</v>
      </c>
      <c r="BD45" s="1">
        <f t="shared" si="41"/>
        <v>108</v>
      </c>
      <c r="BE45" s="1">
        <f t="shared" si="42"/>
        <v>10</v>
      </c>
      <c r="BH45" s="1" t="str">
        <f t="shared" si="43"/>
        <v/>
      </c>
      <c r="BI45" s="1" t="str">
        <f>IF(A45="","",IF(BH45="","",RANK(BH45,$BH$3:$BH195,1)))</f>
        <v/>
      </c>
      <c r="BJ45" s="1">
        <f t="shared" si="44"/>
        <v>10</v>
      </c>
      <c r="BM45" s="1">
        <f t="shared" si="45"/>
        <v>0.75687499999999952</v>
      </c>
      <c r="BN45" s="1">
        <f>IF(A45="","",IF(BM45="","",RANK(BM45,$BM$3:$BM195,1)))</f>
        <v>42</v>
      </c>
      <c r="BO45" s="1">
        <f t="shared" si="46"/>
        <v>10</v>
      </c>
      <c r="BR45" s="1">
        <f t="shared" si="47"/>
        <v>10</v>
      </c>
      <c r="BS45" s="1" t="str">
        <f t="shared" si="48"/>
        <v>コンパウンダー　　　　　　　　　　　</v>
      </c>
      <c r="CD45" s="1" t="str">
        <f t="shared" si="52"/>
        <v/>
      </c>
      <c r="CE45" s="1" t="str">
        <f>IF(A45="","",IF(CD45="","",RANK(CD45,$CD$3:$CD195,1)))</f>
        <v/>
      </c>
      <c r="CF45" s="1">
        <f t="shared" si="53"/>
        <v>10</v>
      </c>
      <c r="CI45" s="1" t="str">
        <f t="shared" si="54"/>
        <v/>
      </c>
      <c r="CJ45" s="1" t="str">
        <f>IF(A45="","",IF(CI45="","",RANK(CI45,$CI$3:$CI195,1)))</f>
        <v/>
      </c>
      <c r="CK45" s="1">
        <f t="shared" si="55"/>
        <v>10</v>
      </c>
      <c r="CN45" s="1" t="str">
        <f t="shared" si="56"/>
        <v/>
      </c>
      <c r="CO45" s="1" t="str">
        <f>IF(A45="","",IF(CN45="","",RANK(CN45,$CN$3:$CN195,1)))</f>
        <v/>
      </c>
      <c r="CP45" s="1">
        <f t="shared" si="57"/>
        <v>10</v>
      </c>
      <c r="CS45" s="1" t="str">
        <f t="shared" si="58"/>
        <v/>
      </c>
      <c r="CT45" s="1" t="str">
        <f>IF(A45="","",IF(CS45="","",RANK(CS45,$CS$3:$CS195,1)))</f>
        <v/>
      </c>
      <c r="CU45" s="1">
        <f t="shared" si="59"/>
        <v>10</v>
      </c>
      <c r="CX45" s="1" t="str">
        <f t="shared" si="60"/>
        <v/>
      </c>
      <c r="CY45" s="1" t="str">
        <f>IF(CX45="","",IF(A45="","",RANK(CX45,$CX$3:$CX195,1)))</f>
        <v/>
      </c>
      <c r="CZ45" s="1">
        <f t="shared" si="61"/>
        <v>10</v>
      </c>
      <c r="DC45" s="1" t="str">
        <f t="shared" si="62"/>
        <v/>
      </c>
      <c r="DD45" s="1" t="str">
        <f>IF(DC45="","",IF(A45="","",RANK(DC45,$DC$3:$DC195,1)))</f>
        <v/>
      </c>
      <c r="DE45" s="1">
        <f t="shared" si="63"/>
        <v>10</v>
      </c>
      <c r="DH45" s="1" t="str">
        <f t="shared" si="64"/>
        <v/>
      </c>
      <c r="DI45" s="1" t="str">
        <f>IF(DH45="","",IF(A45="","",RANK(DH45,$DH$3:$DH195,1)))</f>
        <v/>
      </c>
      <c r="DJ45" s="1">
        <f t="shared" si="65"/>
        <v>10</v>
      </c>
      <c r="DM45" s="1" t="str">
        <f t="shared" si="66"/>
        <v/>
      </c>
      <c r="DN45" s="1" t="str">
        <f>IF(DM45="","",IF(A45="","",RANK(DM45,$DM$3:$DM195,1)))</f>
        <v/>
      </c>
      <c r="DO45" s="1">
        <f t="shared" si="67"/>
        <v>10</v>
      </c>
      <c r="DR45" s="1">
        <f t="shared" si="68"/>
        <v>14.700429999999999</v>
      </c>
      <c r="DS45" s="1">
        <f>IF(DR45="","",IF(A45="","",RANK(DR45,$DR$3:$DR195,1)))</f>
        <v>30</v>
      </c>
      <c r="DT45" s="1">
        <f t="shared" si="69"/>
        <v>10</v>
      </c>
      <c r="DW45" s="1">
        <f t="shared" si="70"/>
        <v>13.00043</v>
      </c>
      <c r="DX45" s="1">
        <f>IF(DW45="","",IF(A45="","",RANK(DW45,$DW$3:$DW195,1)))</f>
        <v>12</v>
      </c>
      <c r="DY45" s="1">
        <f t="shared" si="71"/>
        <v>10</v>
      </c>
      <c r="EB45" s="1">
        <f t="shared" si="72"/>
        <v>12.700429999999999</v>
      </c>
      <c r="EC45" s="1">
        <f>IF(EB45="","",IF(A45="","",RANK(EB45,$EB$3:$EB195,1)))</f>
        <v>67</v>
      </c>
      <c r="ED45" s="1">
        <f t="shared" si="73"/>
        <v>10</v>
      </c>
      <c r="EG45" s="1">
        <f t="shared" si="74"/>
        <v>12.50043</v>
      </c>
      <c r="EH45" s="1">
        <f>IF(EG45="","",IF(A45="","",RANK(EG45,$EG$3:$EG195,1)))</f>
        <v>43</v>
      </c>
      <c r="EI45" s="1">
        <f t="shared" si="75"/>
        <v>10</v>
      </c>
    </row>
    <row r="46" spans="1:139" ht="18.75">
      <c r="A46" s="1" t="s">
        <v>88</v>
      </c>
      <c r="B46" s="1">
        <v>20190228</v>
      </c>
      <c r="C46" s="1" t="s">
        <v>96</v>
      </c>
      <c r="D46" s="1">
        <v>7</v>
      </c>
      <c r="E46" s="30">
        <v>56.1</v>
      </c>
      <c r="F46" s="30">
        <v>42.7</v>
      </c>
      <c r="G46" s="30">
        <v>26.8</v>
      </c>
      <c r="H46" s="30">
        <v>12.5</v>
      </c>
      <c r="I46" s="30">
        <v>13.4</v>
      </c>
      <c r="J46" s="30">
        <v>15.9</v>
      </c>
      <c r="K46" s="30">
        <v>14.3</v>
      </c>
      <c r="L46" s="30">
        <v>12.5</v>
      </c>
      <c r="M46" s="1" t="str">
        <f t="shared" si="13"/>
        <v>2019/02/28</v>
      </c>
      <c r="N46" s="4" t="str">
        <f t="shared" si="14"/>
        <v/>
      </c>
      <c r="O46">
        <v>4.400000000000005E-4</v>
      </c>
      <c r="P46" s="1" t="str">
        <f t="shared" si="15"/>
        <v/>
      </c>
      <c r="Q46" s="1" t="str">
        <f t="shared" si="16"/>
        <v/>
      </c>
      <c r="R46" s="1">
        <f t="shared" si="17"/>
        <v>7</v>
      </c>
      <c r="U46" s="1">
        <f t="shared" si="18"/>
        <v>56.100439999999999</v>
      </c>
      <c r="V46" s="1">
        <f t="shared" si="19"/>
        <v>84</v>
      </c>
      <c r="W46" s="1">
        <f t="shared" si="20"/>
        <v>7</v>
      </c>
      <c r="Z46" s="1" t="str">
        <f t="shared" si="21"/>
        <v/>
      </c>
      <c r="AA46" s="1" t="str">
        <f t="shared" si="22"/>
        <v/>
      </c>
      <c r="AB46" s="1">
        <f t="shared" si="23"/>
        <v>7</v>
      </c>
      <c r="AE46" s="1">
        <f t="shared" si="24"/>
        <v>42.70044</v>
      </c>
      <c r="AF46" s="1">
        <f t="shared" si="25"/>
        <v>123</v>
      </c>
      <c r="AG46" s="1">
        <f t="shared" si="26"/>
        <v>7</v>
      </c>
      <c r="AJ46" s="1" t="str">
        <f t="shared" si="27"/>
        <v/>
      </c>
      <c r="AK46" s="1" t="str">
        <f t="shared" si="28"/>
        <v/>
      </c>
      <c r="AL46" s="1">
        <f t="shared" si="29"/>
        <v>7</v>
      </c>
      <c r="AO46" s="1">
        <f t="shared" si="30"/>
        <v>26.800440000000002</v>
      </c>
      <c r="AP46" s="1">
        <f t="shared" si="31"/>
        <v>109</v>
      </c>
      <c r="AQ46" s="1">
        <f t="shared" si="32"/>
        <v>7</v>
      </c>
      <c r="AT46" s="1">
        <f t="shared" si="33"/>
        <v>-2.5</v>
      </c>
      <c r="AU46" s="1">
        <f t="shared" si="34"/>
        <v>1.5999999999999996</v>
      </c>
      <c r="AV46" s="1">
        <f t="shared" si="35"/>
        <v>1.8000000000000007</v>
      </c>
      <c r="AW46" s="1">
        <f t="shared" si="36"/>
        <v>0.90000000000000036</v>
      </c>
      <c r="AX46" s="1">
        <f t="shared" si="37"/>
        <v>0.3004400000000001</v>
      </c>
      <c r="BC46" s="1">
        <f t="shared" si="40"/>
        <v>-0.89956000000000036</v>
      </c>
      <c r="BD46" s="1">
        <f t="shared" si="41"/>
        <v>151</v>
      </c>
      <c r="BE46" s="1">
        <f t="shared" si="42"/>
        <v>7</v>
      </c>
      <c r="BH46" s="1" t="str">
        <f t="shared" si="43"/>
        <v/>
      </c>
      <c r="BI46" s="1" t="str">
        <f>IF(A46="","",IF(BH46="","",RANK(BH46,$BH$3:$BH196,1)))</f>
        <v/>
      </c>
      <c r="BJ46" s="1">
        <f t="shared" si="44"/>
        <v>7</v>
      </c>
      <c r="BM46" s="1">
        <f t="shared" si="45"/>
        <v>1.5768750000000002</v>
      </c>
      <c r="BN46" s="1">
        <f>IF(A46="","",IF(BM46="","",RANK(BM46,$BM$3:$BM196,1)))</f>
        <v>95</v>
      </c>
      <c r="BO46" s="1">
        <f t="shared" si="46"/>
        <v>7</v>
      </c>
      <c r="BR46" s="1">
        <f t="shared" si="47"/>
        <v>7</v>
      </c>
      <c r="BS46" s="1" t="str">
        <f t="shared" si="48"/>
        <v>サヤカチャン　　　　　　　　　　　　</v>
      </c>
      <c r="CD46" s="1" t="str">
        <f t="shared" si="52"/>
        <v/>
      </c>
      <c r="CE46" s="1" t="str">
        <f>IF(A46="","",IF(CD46="","",RANK(CD46,$CD$3:$CD196,1)))</f>
        <v/>
      </c>
      <c r="CF46" s="1">
        <f t="shared" si="53"/>
        <v>7</v>
      </c>
      <c r="CI46" s="1" t="str">
        <f t="shared" si="54"/>
        <v/>
      </c>
      <c r="CJ46" s="1" t="str">
        <f>IF(A46="","",IF(CI46="","",RANK(CI46,$CI$3:$CI196,1)))</f>
        <v/>
      </c>
      <c r="CK46" s="1">
        <f t="shared" si="55"/>
        <v>7</v>
      </c>
      <c r="CN46" s="1" t="str">
        <f t="shared" si="56"/>
        <v/>
      </c>
      <c r="CO46" s="1" t="str">
        <f>IF(A46="","",IF(CN46="","",RANK(CN46,$CN$3:$CN196,1)))</f>
        <v/>
      </c>
      <c r="CP46" s="1">
        <f t="shared" si="57"/>
        <v>7</v>
      </c>
      <c r="CS46" s="1" t="str">
        <f t="shared" si="58"/>
        <v/>
      </c>
      <c r="CT46" s="1" t="str">
        <f>IF(A46="","",IF(CS46="","",RANK(CS46,$CS$3:$CS196,1)))</f>
        <v/>
      </c>
      <c r="CU46" s="1">
        <f t="shared" si="59"/>
        <v>7</v>
      </c>
      <c r="CX46" s="1" t="str">
        <f t="shared" si="60"/>
        <v/>
      </c>
      <c r="CY46" s="1" t="str">
        <f>IF(CX46="","",IF(A46="","",RANK(CX46,$CX$3:$CX196,1)))</f>
        <v/>
      </c>
      <c r="CZ46" s="1">
        <f t="shared" si="61"/>
        <v>7</v>
      </c>
      <c r="DC46" s="1" t="str">
        <f t="shared" si="62"/>
        <v/>
      </c>
      <c r="DD46" s="1" t="str">
        <f>IF(DC46="","",IF(A46="","",RANK(DC46,$DC$3:$DC196,1)))</f>
        <v/>
      </c>
      <c r="DE46" s="1">
        <f t="shared" si="63"/>
        <v>7</v>
      </c>
      <c r="DH46" s="1" t="str">
        <f t="shared" si="64"/>
        <v/>
      </c>
      <c r="DI46" s="1" t="str">
        <f>IF(DH46="","",IF(A46="","",RANK(DH46,$DH$3:$DH196,1)))</f>
        <v/>
      </c>
      <c r="DJ46" s="1">
        <f t="shared" si="65"/>
        <v>7</v>
      </c>
      <c r="DM46" s="1" t="str">
        <f t="shared" si="66"/>
        <v/>
      </c>
      <c r="DN46" s="1" t="str">
        <f>IF(DM46="","",IF(A46="","",RANK(DM46,$DM$3:$DM196,1)))</f>
        <v/>
      </c>
      <c r="DO46" s="1">
        <f t="shared" si="67"/>
        <v>7</v>
      </c>
      <c r="DR46" s="1">
        <f t="shared" si="68"/>
        <v>13.40044</v>
      </c>
      <c r="DS46" s="1">
        <f>IF(DR46="","",IF(A46="","",RANK(DR46,$DR$3:$DR196,1)))</f>
        <v>1</v>
      </c>
      <c r="DT46" s="1">
        <f t="shared" si="69"/>
        <v>7</v>
      </c>
      <c r="DW46" s="1">
        <f t="shared" si="70"/>
        <v>15.90044</v>
      </c>
      <c r="DX46" s="1">
        <f>IF(DW46="","",IF(A46="","",RANK(DW46,$DW$3:$DW196,1)))</f>
        <v>136</v>
      </c>
      <c r="DY46" s="1">
        <f t="shared" si="71"/>
        <v>7</v>
      </c>
      <c r="EB46" s="1">
        <f t="shared" si="72"/>
        <v>14.30044</v>
      </c>
      <c r="EC46" s="1">
        <f>IF(EB46="","",IF(A46="","",RANK(EB46,$EB$3:$EB196,1)))</f>
        <v>130</v>
      </c>
      <c r="ED46" s="1">
        <f t="shared" si="73"/>
        <v>7</v>
      </c>
      <c r="EG46" s="1">
        <f t="shared" si="74"/>
        <v>12.500439999999999</v>
      </c>
      <c r="EH46" s="1">
        <f>IF(EG46="","",IF(A46="","",RANK(EG46,$EG$3:$EG196,1)))</f>
        <v>44</v>
      </c>
      <c r="EI46" s="1">
        <f t="shared" si="75"/>
        <v>7</v>
      </c>
    </row>
    <row r="47" spans="1:139" ht="18.75">
      <c r="A47" s="1" t="s">
        <v>88</v>
      </c>
      <c r="B47" s="1">
        <v>20190403</v>
      </c>
      <c r="C47" s="1" t="s">
        <v>91</v>
      </c>
      <c r="D47" s="1">
        <v>2</v>
      </c>
      <c r="E47" s="30">
        <v>52.8</v>
      </c>
      <c r="F47" s="30">
        <v>38.1</v>
      </c>
      <c r="G47" s="30">
        <v>24.8</v>
      </c>
      <c r="H47" s="30">
        <v>12.5</v>
      </c>
      <c r="I47" s="30">
        <v>14.7</v>
      </c>
      <c r="J47" s="30">
        <v>13.3</v>
      </c>
      <c r="K47" s="30">
        <v>12.3</v>
      </c>
      <c r="L47" s="30">
        <v>12.5</v>
      </c>
      <c r="M47" s="1" t="str">
        <f t="shared" si="13"/>
        <v>2019/04/03</v>
      </c>
      <c r="N47" s="4" t="str">
        <f t="shared" si="14"/>
        <v/>
      </c>
      <c r="O47">
        <v>4.5000000000000053E-4</v>
      </c>
      <c r="P47" s="1" t="str">
        <f t="shared" si="15"/>
        <v/>
      </c>
      <c r="Q47" s="1" t="str">
        <f t="shared" si="16"/>
        <v/>
      </c>
      <c r="R47" s="1">
        <f t="shared" si="17"/>
        <v>2</v>
      </c>
      <c r="U47" s="1">
        <f t="shared" si="18"/>
        <v>52.800449999999998</v>
      </c>
      <c r="V47" s="1">
        <f t="shared" si="19"/>
        <v>20</v>
      </c>
      <c r="W47" s="1">
        <f t="shared" si="20"/>
        <v>2</v>
      </c>
      <c r="Z47" s="1" t="str">
        <f t="shared" si="21"/>
        <v/>
      </c>
      <c r="AA47" s="1" t="str">
        <f t="shared" si="22"/>
        <v/>
      </c>
      <c r="AB47" s="1">
        <f t="shared" si="23"/>
        <v>2</v>
      </c>
      <c r="AE47" s="1">
        <f t="shared" si="24"/>
        <v>38.100450000000002</v>
      </c>
      <c r="AF47" s="1">
        <f t="shared" si="25"/>
        <v>22</v>
      </c>
      <c r="AG47" s="1">
        <f t="shared" si="26"/>
        <v>2</v>
      </c>
      <c r="AJ47" s="1" t="str">
        <f t="shared" si="27"/>
        <v/>
      </c>
      <c r="AK47" s="1" t="str">
        <f t="shared" si="28"/>
        <v/>
      </c>
      <c r="AL47" s="1">
        <f t="shared" si="29"/>
        <v>2</v>
      </c>
      <c r="AO47" s="1">
        <f t="shared" si="30"/>
        <v>24.800450000000001</v>
      </c>
      <c r="AP47" s="1">
        <f t="shared" si="31"/>
        <v>30</v>
      </c>
      <c r="AQ47" s="1">
        <f t="shared" si="32"/>
        <v>2</v>
      </c>
      <c r="AT47" s="1">
        <f t="shared" si="33"/>
        <v>1.3999999999999986</v>
      </c>
      <c r="AU47" s="1">
        <f t="shared" si="34"/>
        <v>1</v>
      </c>
      <c r="AV47" s="1">
        <f t="shared" si="35"/>
        <v>-0.19999999999999929</v>
      </c>
      <c r="AW47" s="1">
        <f t="shared" si="36"/>
        <v>2.1999999999999993</v>
      </c>
      <c r="AX47" s="1">
        <f t="shared" si="37"/>
        <v>0</v>
      </c>
      <c r="BC47" s="1">
        <f t="shared" si="40"/>
        <v>2.4004499999999984</v>
      </c>
      <c r="BD47" s="1">
        <f t="shared" si="41"/>
        <v>82</v>
      </c>
      <c r="BE47" s="1">
        <f t="shared" si="42"/>
        <v>2</v>
      </c>
      <c r="BH47" s="1" t="str">
        <f t="shared" si="43"/>
        <v/>
      </c>
      <c r="BI47" s="1" t="str">
        <f>IF(A47="","",IF(BH47="","",RANK(BH47,$BH$3:$BH197,1)))</f>
        <v/>
      </c>
      <c r="BJ47" s="1">
        <f t="shared" si="44"/>
        <v>2</v>
      </c>
      <c r="BM47" s="1">
        <f t="shared" si="45"/>
        <v>0.88999999999999913</v>
      </c>
      <c r="BN47" s="1">
        <f>IF(A47="","",IF(BM47="","",RANK(BM47,$BM$3:$BM197,1)))</f>
        <v>55</v>
      </c>
      <c r="BO47" s="1">
        <f t="shared" si="46"/>
        <v>2</v>
      </c>
      <c r="BR47" s="1">
        <f t="shared" si="47"/>
        <v>2</v>
      </c>
      <c r="BS47" s="1" t="str">
        <f t="shared" si="48"/>
        <v>フェルトベルク　　　　　　　　　　　</v>
      </c>
      <c r="CD47" s="1" t="str">
        <f t="shared" si="52"/>
        <v/>
      </c>
      <c r="CE47" s="1" t="str">
        <f>IF(A47="","",IF(CD47="","",RANK(CD47,$CD$3:$CD197,1)))</f>
        <v/>
      </c>
      <c r="CF47" s="1">
        <f t="shared" si="53"/>
        <v>2</v>
      </c>
      <c r="CI47" s="1" t="str">
        <f t="shared" si="54"/>
        <v/>
      </c>
      <c r="CJ47" s="1" t="str">
        <f>IF(A47="","",IF(CI47="","",RANK(CI47,$CI$3:$CI197,1)))</f>
        <v/>
      </c>
      <c r="CK47" s="1">
        <f t="shared" si="55"/>
        <v>2</v>
      </c>
      <c r="CN47" s="1" t="str">
        <f t="shared" si="56"/>
        <v/>
      </c>
      <c r="CO47" s="1" t="str">
        <f>IF(A47="","",IF(CN47="","",RANK(CN47,$CN$3:$CN197,1)))</f>
        <v/>
      </c>
      <c r="CP47" s="1">
        <f t="shared" si="57"/>
        <v>2</v>
      </c>
      <c r="CS47" s="1" t="str">
        <f t="shared" si="58"/>
        <v/>
      </c>
      <c r="CT47" s="1" t="str">
        <f>IF(A47="","",IF(CS47="","",RANK(CS47,$CS$3:$CS197,1)))</f>
        <v/>
      </c>
      <c r="CU47" s="1">
        <f t="shared" si="59"/>
        <v>2</v>
      </c>
      <c r="CX47" s="1" t="str">
        <f t="shared" si="60"/>
        <v/>
      </c>
      <c r="CY47" s="1" t="str">
        <f>IF(CX47="","",IF(A47="","",RANK(CX47,$CX$3:$CX197,1)))</f>
        <v/>
      </c>
      <c r="CZ47" s="1">
        <f t="shared" si="61"/>
        <v>2</v>
      </c>
      <c r="DC47" s="1" t="str">
        <f t="shared" si="62"/>
        <v/>
      </c>
      <c r="DD47" s="1" t="str">
        <f>IF(DC47="","",IF(A47="","",RANK(DC47,$DC$3:$DC197,1)))</f>
        <v/>
      </c>
      <c r="DE47" s="1">
        <f t="shared" si="63"/>
        <v>2</v>
      </c>
      <c r="DH47" s="1" t="str">
        <f t="shared" si="64"/>
        <v/>
      </c>
      <c r="DI47" s="1" t="str">
        <f>IF(DH47="","",IF(A47="","",RANK(DH47,$DH$3:$DH197,1)))</f>
        <v/>
      </c>
      <c r="DJ47" s="1">
        <f t="shared" si="65"/>
        <v>2</v>
      </c>
      <c r="DM47" s="1" t="str">
        <f t="shared" si="66"/>
        <v/>
      </c>
      <c r="DN47" s="1" t="str">
        <f>IF(DM47="","",IF(A47="","",RANK(DM47,$DM$3:$DM197,1)))</f>
        <v/>
      </c>
      <c r="DO47" s="1">
        <f t="shared" si="67"/>
        <v>2</v>
      </c>
      <c r="DR47" s="1">
        <f t="shared" si="68"/>
        <v>14.70045</v>
      </c>
      <c r="DS47" s="1">
        <f>IF(DR47="","",IF(A47="","",RANK(DR47,$DR$3:$DR197,1)))</f>
        <v>31</v>
      </c>
      <c r="DT47" s="1">
        <f t="shared" si="69"/>
        <v>2</v>
      </c>
      <c r="DW47" s="1">
        <f t="shared" si="70"/>
        <v>13.300450000000001</v>
      </c>
      <c r="DX47" s="1">
        <f>IF(DW47="","",IF(A47="","",RANK(DW47,$DW$3:$DW197,1)))</f>
        <v>22</v>
      </c>
      <c r="DY47" s="1">
        <f t="shared" si="71"/>
        <v>2</v>
      </c>
      <c r="EB47" s="1">
        <f t="shared" si="72"/>
        <v>12.300450000000001</v>
      </c>
      <c r="EC47" s="1">
        <f>IF(EB47="","",IF(A47="","",RANK(EB47,$EB$3:$EB197,1)))</f>
        <v>26</v>
      </c>
      <c r="ED47" s="1">
        <f t="shared" si="73"/>
        <v>2</v>
      </c>
      <c r="EG47" s="1">
        <f t="shared" si="74"/>
        <v>12.500450000000001</v>
      </c>
      <c r="EH47" s="1">
        <f>IF(EG47="","",IF(A47="","",RANK(EG47,$EG$3:$EG197,1)))</f>
        <v>45</v>
      </c>
      <c r="EI47" s="1">
        <f t="shared" si="75"/>
        <v>2</v>
      </c>
    </row>
    <row r="48" spans="1:139" ht="18.75">
      <c r="A48" s="1" t="s">
        <v>88</v>
      </c>
      <c r="B48" s="1">
        <v>20190505</v>
      </c>
      <c r="C48" s="1" t="s">
        <v>90</v>
      </c>
      <c r="D48" s="1">
        <v>1</v>
      </c>
      <c r="E48" s="30">
        <v>61.6</v>
      </c>
      <c r="F48" s="30">
        <v>42.3</v>
      </c>
      <c r="G48" s="30">
        <v>25.6</v>
      </c>
      <c r="H48" s="30">
        <v>12.5</v>
      </c>
      <c r="I48" s="30">
        <v>19.3</v>
      </c>
      <c r="J48" s="30">
        <v>16.7</v>
      </c>
      <c r="K48" s="30">
        <v>13.1</v>
      </c>
      <c r="L48" s="30">
        <v>12.5</v>
      </c>
      <c r="M48" s="1" t="str">
        <f t="shared" si="13"/>
        <v>2019/05/05</v>
      </c>
      <c r="N48" s="4" t="str">
        <f t="shared" si="14"/>
        <v/>
      </c>
      <c r="O48">
        <v>4.6000000000000056E-4</v>
      </c>
      <c r="P48" s="1" t="str">
        <f t="shared" si="15"/>
        <v/>
      </c>
      <c r="Q48" s="1" t="str">
        <f t="shared" si="16"/>
        <v/>
      </c>
      <c r="R48" s="1">
        <f t="shared" si="17"/>
        <v>1</v>
      </c>
      <c r="U48" s="1">
        <f t="shared" si="18"/>
        <v>61.600459999999998</v>
      </c>
      <c r="V48" s="1">
        <f t="shared" si="19"/>
        <v>136</v>
      </c>
      <c r="W48" s="1">
        <f t="shared" si="20"/>
        <v>1</v>
      </c>
      <c r="Z48" s="1" t="str">
        <f t="shared" si="21"/>
        <v/>
      </c>
      <c r="AA48" s="1" t="str">
        <f t="shared" si="22"/>
        <v/>
      </c>
      <c r="AB48" s="1">
        <f t="shared" si="23"/>
        <v>1</v>
      </c>
      <c r="AE48" s="1">
        <f t="shared" si="24"/>
        <v>42.300459999999994</v>
      </c>
      <c r="AF48" s="1">
        <f t="shared" si="25"/>
        <v>119</v>
      </c>
      <c r="AG48" s="1">
        <f t="shared" si="26"/>
        <v>1</v>
      </c>
      <c r="AJ48" s="1" t="str">
        <f t="shared" si="27"/>
        <v/>
      </c>
      <c r="AK48" s="1" t="str">
        <f t="shared" si="28"/>
        <v/>
      </c>
      <c r="AL48" s="1">
        <f t="shared" si="29"/>
        <v>1</v>
      </c>
      <c r="AO48" s="1">
        <f t="shared" si="30"/>
        <v>25.600460000000002</v>
      </c>
      <c r="AP48" s="1">
        <f t="shared" si="31"/>
        <v>76</v>
      </c>
      <c r="AQ48" s="1">
        <f t="shared" si="32"/>
        <v>1</v>
      </c>
      <c r="AT48" s="1">
        <f t="shared" si="33"/>
        <v>2.6000000000000014</v>
      </c>
      <c r="AU48" s="1">
        <f t="shared" si="34"/>
        <v>3.5999999999999996</v>
      </c>
      <c r="AV48" s="1">
        <f t="shared" si="35"/>
        <v>0.59999999999999964</v>
      </c>
      <c r="AW48" s="1">
        <f t="shared" si="36"/>
        <v>6.8000000000000007</v>
      </c>
      <c r="AX48" s="1">
        <f t="shared" si="37"/>
        <v>2.267126666666667</v>
      </c>
      <c r="BC48" s="1">
        <f t="shared" si="40"/>
        <v>6.2004600000000014</v>
      </c>
      <c r="BD48" s="1">
        <f t="shared" si="41"/>
        <v>3</v>
      </c>
      <c r="BE48" s="1">
        <f t="shared" si="42"/>
        <v>1</v>
      </c>
      <c r="BH48" s="1" t="str">
        <f t="shared" si="43"/>
        <v/>
      </c>
      <c r="BI48" s="1" t="str">
        <f>IF(A48="","",IF(BH48="","",RANK(BH48,$BH$3:$BH198,1)))</f>
        <v/>
      </c>
      <c r="BJ48" s="1">
        <f t="shared" si="44"/>
        <v>1</v>
      </c>
      <c r="BM48" s="1">
        <f t="shared" si="45"/>
        <v>7.6499999999999773</v>
      </c>
      <c r="BN48" s="1">
        <f>IF(A48="","",IF(BM48="","",RANK(BM48,$BM$3:$BM198,1)))</f>
        <v>149</v>
      </c>
      <c r="BO48" s="1">
        <f t="shared" si="46"/>
        <v>1</v>
      </c>
      <c r="BR48" s="1">
        <f t="shared" si="47"/>
        <v>1</v>
      </c>
      <c r="BS48" s="1" t="str">
        <f t="shared" si="48"/>
        <v>コウエイダリア　　　　　　　　　　　</v>
      </c>
      <c r="CD48" s="1" t="str">
        <f t="shared" si="52"/>
        <v/>
      </c>
      <c r="CE48" s="1" t="str">
        <f>IF(A48="","",IF(CD48="","",RANK(CD48,$CD$3:$CD198,1)))</f>
        <v/>
      </c>
      <c r="CF48" s="1">
        <f t="shared" si="53"/>
        <v>1</v>
      </c>
      <c r="CI48" s="1" t="str">
        <f t="shared" si="54"/>
        <v/>
      </c>
      <c r="CJ48" s="1" t="str">
        <f>IF(A48="","",IF(CI48="","",RANK(CI48,$CI$3:$CI198,1)))</f>
        <v/>
      </c>
      <c r="CK48" s="1">
        <f t="shared" si="55"/>
        <v>1</v>
      </c>
      <c r="CN48" s="1" t="str">
        <f t="shared" si="56"/>
        <v/>
      </c>
      <c r="CO48" s="1" t="str">
        <f>IF(A48="","",IF(CN48="","",RANK(CN48,$CN$3:$CN198,1)))</f>
        <v/>
      </c>
      <c r="CP48" s="1">
        <f t="shared" si="57"/>
        <v>1</v>
      </c>
      <c r="CS48" s="1" t="str">
        <f t="shared" si="58"/>
        <v/>
      </c>
      <c r="CT48" s="1" t="str">
        <f>IF(A48="","",IF(CS48="","",RANK(CS48,$CS$3:$CS198,1)))</f>
        <v/>
      </c>
      <c r="CU48" s="1">
        <f t="shared" si="59"/>
        <v>1</v>
      </c>
      <c r="CX48" s="1" t="str">
        <f t="shared" si="60"/>
        <v/>
      </c>
      <c r="CY48" s="1" t="str">
        <f>IF(CX48="","",IF(A48="","",RANK(CX48,$CX$3:$CX198,1)))</f>
        <v/>
      </c>
      <c r="CZ48" s="1">
        <f t="shared" si="61"/>
        <v>1</v>
      </c>
      <c r="DC48" s="1" t="str">
        <f t="shared" si="62"/>
        <v/>
      </c>
      <c r="DD48" s="1" t="str">
        <f>IF(DC48="","",IF(A48="","",RANK(DC48,$DC$3:$DC198,1)))</f>
        <v/>
      </c>
      <c r="DE48" s="1">
        <f t="shared" si="63"/>
        <v>1</v>
      </c>
      <c r="DH48" s="1" t="str">
        <f t="shared" si="64"/>
        <v/>
      </c>
      <c r="DI48" s="1" t="str">
        <f>IF(DH48="","",IF(A48="","",RANK(DH48,$DH$3:$DH198,1)))</f>
        <v/>
      </c>
      <c r="DJ48" s="1">
        <f t="shared" si="65"/>
        <v>1</v>
      </c>
      <c r="DM48" s="1" t="str">
        <f t="shared" si="66"/>
        <v/>
      </c>
      <c r="DN48" s="1" t="str">
        <f>IF(DM48="","",IF(A48="","",RANK(DM48,$DM$3:$DM198,1)))</f>
        <v/>
      </c>
      <c r="DO48" s="1">
        <f t="shared" si="67"/>
        <v>1</v>
      </c>
      <c r="DR48" s="1">
        <f t="shared" si="68"/>
        <v>19.300460000000001</v>
      </c>
      <c r="DS48" s="1">
        <f>IF(DR48="","",IF(A48="","",RANK(DR48,$DR$3:$DR198,1)))</f>
        <v>151</v>
      </c>
      <c r="DT48" s="1">
        <f t="shared" si="69"/>
        <v>1</v>
      </c>
      <c r="DW48" s="1">
        <f t="shared" si="70"/>
        <v>16.70046</v>
      </c>
      <c r="DX48" s="1">
        <f>IF(DW48="","",IF(A48="","",RANK(DW48,$DW$3:$DW198,1)))</f>
        <v>146</v>
      </c>
      <c r="DY48" s="1">
        <f t="shared" si="71"/>
        <v>1</v>
      </c>
      <c r="EB48" s="1">
        <f t="shared" si="72"/>
        <v>13.10046</v>
      </c>
      <c r="EC48" s="1">
        <f>IF(EB48="","",IF(A48="","",RANK(EB48,$EB$3:$EB198,1)))</f>
        <v>85</v>
      </c>
      <c r="ED48" s="1">
        <f t="shared" si="73"/>
        <v>1</v>
      </c>
      <c r="EG48" s="1">
        <f t="shared" si="74"/>
        <v>12.50046</v>
      </c>
      <c r="EH48" s="1">
        <f>IF(EG48="","",IF(A48="","",RANK(EG48,$EG$3:$EG198,1)))</f>
        <v>46</v>
      </c>
      <c r="EI48" s="1">
        <f t="shared" si="75"/>
        <v>1</v>
      </c>
    </row>
    <row r="49" spans="1:139" ht="18.75">
      <c r="A49" s="1" t="s">
        <v>88</v>
      </c>
      <c r="B49" s="1">
        <v>20190508</v>
      </c>
      <c r="C49" s="1" t="s">
        <v>92</v>
      </c>
      <c r="D49" s="1">
        <v>3</v>
      </c>
      <c r="E49" s="30">
        <v>54.8</v>
      </c>
      <c r="F49" s="30">
        <v>39.299999999999997</v>
      </c>
      <c r="G49" s="30">
        <v>25.4</v>
      </c>
      <c r="H49" s="30">
        <v>12.5</v>
      </c>
      <c r="I49" s="30">
        <v>15.5</v>
      </c>
      <c r="J49" s="30">
        <v>13.9</v>
      </c>
      <c r="K49" s="30">
        <v>12.9</v>
      </c>
      <c r="L49" s="30">
        <v>12.5</v>
      </c>
      <c r="M49" s="1" t="str">
        <f t="shared" si="13"/>
        <v>2019/05/08</v>
      </c>
      <c r="N49" s="4" t="str">
        <f t="shared" si="14"/>
        <v/>
      </c>
      <c r="O49">
        <v>4.7000000000000058E-4</v>
      </c>
      <c r="P49" s="1" t="str">
        <f t="shared" si="15"/>
        <v/>
      </c>
      <c r="Q49" s="1" t="str">
        <f t="shared" si="16"/>
        <v/>
      </c>
      <c r="R49" s="1">
        <f t="shared" si="17"/>
        <v>3</v>
      </c>
      <c r="U49" s="1">
        <f t="shared" si="18"/>
        <v>54.800469999999997</v>
      </c>
      <c r="V49" s="1">
        <f t="shared" si="19"/>
        <v>69</v>
      </c>
      <c r="W49" s="1">
        <f t="shared" si="20"/>
        <v>3</v>
      </c>
      <c r="Z49" s="1" t="str">
        <f t="shared" si="21"/>
        <v/>
      </c>
      <c r="AA49" s="1" t="str">
        <f t="shared" si="22"/>
        <v/>
      </c>
      <c r="AB49" s="1">
        <f t="shared" si="23"/>
        <v>3</v>
      </c>
      <c r="AE49" s="1">
        <f t="shared" si="24"/>
        <v>39.300469999999997</v>
      </c>
      <c r="AF49" s="1">
        <f t="shared" si="25"/>
        <v>65</v>
      </c>
      <c r="AG49" s="1">
        <f t="shared" si="26"/>
        <v>3</v>
      </c>
      <c r="AJ49" s="1" t="str">
        <f t="shared" si="27"/>
        <v/>
      </c>
      <c r="AK49" s="1" t="str">
        <f t="shared" si="28"/>
        <v/>
      </c>
      <c r="AL49" s="1">
        <f t="shared" si="29"/>
        <v>3</v>
      </c>
      <c r="AO49" s="1">
        <f t="shared" si="30"/>
        <v>25.400469999999999</v>
      </c>
      <c r="AP49" s="1">
        <f t="shared" si="31"/>
        <v>67</v>
      </c>
      <c r="AQ49" s="1">
        <f t="shared" si="32"/>
        <v>3</v>
      </c>
      <c r="AT49" s="1">
        <f t="shared" si="33"/>
        <v>1.5999999999999996</v>
      </c>
      <c r="AU49" s="1">
        <f t="shared" si="34"/>
        <v>1</v>
      </c>
      <c r="AV49" s="1">
        <f t="shared" si="35"/>
        <v>0.40000000000000036</v>
      </c>
      <c r="AW49" s="1">
        <f t="shared" si="36"/>
        <v>3</v>
      </c>
      <c r="AX49" s="1">
        <f t="shared" si="37"/>
        <v>1.00047</v>
      </c>
      <c r="BC49" s="1">
        <f t="shared" si="40"/>
        <v>2.6004699999999996</v>
      </c>
      <c r="BD49" s="1">
        <f t="shared" si="41"/>
        <v>65</v>
      </c>
      <c r="BE49" s="1">
        <f t="shared" si="42"/>
        <v>3</v>
      </c>
      <c r="BH49" s="1" t="str">
        <f t="shared" si="43"/>
        <v/>
      </c>
      <c r="BI49" s="1" t="str">
        <f>IF(A49="","",IF(BH49="","",RANK(BH49,$BH$3:$BH199,1)))</f>
        <v/>
      </c>
      <c r="BJ49" s="1">
        <f t="shared" si="44"/>
        <v>3</v>
      </c>
      <c r="BM49" s="1">
        <f t="shared" si="45"/>
        <v>1.3399999999999999</v>
      </c>
      <c r="BN49" s="1">
        <f>IF(A49="","",IF(BM49="","",RANK(BM49,$BM$3:$BM199,1)))</f>
        <v>87</v>
      </c>
      <c r="BO49" s="1">
        <f t="shared" si="46"/>
        <v>3</v>
      </c>
      <c r="BR49" s="1">
        <f t="shared" si="47"/>
        <v>3</v>
      </c>
      <c r="BS49" s="1" t="str">
        <f t="shared" si="48"/>
        <v>ディアボレット　　　　　　　　　　　</v>
      </c>
      <c r="CD49" s="1" t="str">
        <f t="shared" si="52"/>
        <v/>
      </c>
      <c r="CE49" s="1" t="str">
        <f>IF(A49="","",IF(CD49="","",RANK(CD49,$CD$3:$CD199,1)))</f>
        <v/>
      </c>
      <c r="CF49" s="1">
        <f t="shared" si="53"/>
        <v>3</v>
      </c>
      <c r="CI49" s="1" t="str">
        <f t="shared" si="54"/>
        <v/>
      </c>
      <c r="CJ49" s="1" t="str">
        <f>IF(A49="","",IF(CI49="","",RANK(CI49,$CI$3:$CI199,1)))</f>
        <v/>
      </c>
      <c r="CK49" s="1">
        <f t="shared" si="55"/>
        <v>3</v>
      </c>
      <c r="CN49" s="1" t="str">
        <f t="shared" si="56"/>
        <v/>
      </c>
      <c r="CO49" s="1" t="str">
        <f>IF(A49="","",IF(CN49="","",RANK(CN49,$CN$3:$CN199,1)))</f>
        <v/>
      </c>
      <c r="CP49" s="1">
        <f t="shared" si="57"/>
        <v>3</v>
      </c>
      <c r="CS49" s="1" t="str">
        <f t="shared" si="58"/>
        <v/>
      </c>
      <c r="CT49" s="1" t="str">
        <f>IF(A49="","",IF(CS49="","",RANK(CS49,$CS$3:$CS199,1)))</f>
        <v/>
      </c>
      <c r="CU49" s="1">
        <f t="shared" si="59"/>
        <v>3</v>
      </c>
      <c r="CX49" s="1" t="str">
        <f t="shared" si="60"/>
        <v/>
      </c>
      <c r="CY49" s="1" t="str">
        <f>IF(CX49="","",IF(A49="","",RANK(CX49,$CX$3:$CX199,1)))</f>
        <v/>
      </c>
      <c r="CZ49" s="1">
        <f t="shared" si="61"/>
        <v>3</v>
      </c>
      <c r="DC49" s="1" t="str">
        <f t="shared" si="62"/>
        <v/>
      </c>
      <c r="DD49" s="1" t="str">
        <f>IF(DC49="","",IF(A49="","",RANK(DC49,$DC$3:$DC199,1)))</f>
        <v/>
      </c>
      <c r="DE49" s="1">
        <f t="shared" si="63"/>
        <v>3</v>
      </c>
      <c r="DH49" s="1" t="str">
        <f t="shared" si="64"/>
        <v/>
      </c>
      <c r="DI49" s="1" t="str">
        <f>IF(DH49="","",IF(A49="","",RANK(DH49,$DH$3:$DH199,1)))</f>
        <v/>
      </c>
      <c r="DJ49" s="1">
        <f t="shared" si="65"/>
        <v>3</v>
      </c>
      <c r="DM49" s="1" t="str">
        <f t="shared" si="66"/>
        <v/>
      </c>
      <c r="DN49" s="1" t="str">
        <f>IF(DM49="","",IF(A49="","",RANK(DM49,$DM$3:$DM199,1)))</f>
        <v/>
      </c>
      <c r="DO49" s="1">
        <f t="shared" si="67"/>
        <v>3</v>
      </c>
      <c r="DR49" s="1">
        <f t="shared" si="68"/>
        <v>15.50047</v>
      </c>
      <c r="DS49" s="1">
        <f>IF(DR49="","",IF(A49="","",RANK(DR49,$DR$3:$DR199,1)))</f>
        <v>71</v>
      </c>
      <c r="DT49" s="1">
        <f t="shared" si="69"/>
        <v>3</v>
      </c>
      <c r="DW49" s="1">
        <f t="shared" si="70"/>
        <v>13.90047</v>
      </c>
      <c r="DX49" s="1">
        <f>IF(DW49="","",IF(A49="","",RANK(DW49,$DW$3:$DW199,1)))</f>
        <v>72</v>
      </c>
      <c r="DY49" s="1">
        <f t="shared" si="71"/>
        <v>3</v>
      </c>
      <c r="EB49" s="1">
        <f t="shared" si="72"/>
        <v>12.90047</v>
      </c>
      <c r="EC49" s="1">
        <f>IF(EB49="","",IF(A49="","",RANK(EB49,$EB$3:$EB199,1)))</f>
        <v>76</v>
      </c>
      <c r="ED49" s="1">
        <f t="shared" si="73"/>
        <v>3</v>
      </c>
      <c r="EG49" s="1">
        <f t="shared" si="74"/>
        <v>12.50047</v>
      </c>
      <c r="EH49" s="1">
        <f>IF(EG49="","",IF(A49="","",RANK(EG49,$EG$3:$EG199,1)))</f>
        <v>47</v>
      </c>
      <c r="EI49" s="1">
        <f t="shared" si="75"/>
        <v>3</v>
      </c>
    </row>
    <row r="50" spans="1:139" ht="18.75">
      <c r="A50" s="1" t="s">
        <v>88</v>
      </c>
      <c r="B50" s="1">
        <v>20190526</v>
      </c>
      <c r="C50" s="1" t="s">
        <v>90</v>
      </c>
      <c r="D50" s="1">
        <v>1</v>
      </c>
      <c r="E50" s="30">
        <v>58.7</v>
      </c>
      <c r="F50" s="30">
        <v>40.299999999999997</v>
      </c>
      <c r="G50" s="30">
        <v>25.1</v>
      </c>
      <c r="H50" s="30">
        <v>12.5</v>
      </c>
      <c r="I50" s="30">
        <v>18.399999999999999</v>
      </c>
      <c r="J50" s="30">
        <v>15.2</v>
      </c>
      <c r="K50" s="30">
        <v>12.6</v>
      </c>
      <c r="L50" s="30">
        <v>12.5</v>
      </c>
      <c r="M50" s="1" t="str">
        <f t="shared" si="13"/>
        <v>2019/05/26</v>
      </c>
      <c r="N50" s="4" t="str">
        <f t="shared" si="14"/>
        <v/>
      </c>
      <c r="O50">
        <v>4.8000000000000061E-4</v>
      </c>
      <c r="P50" s="1" t="str">
        <f t="shared" si="15"/>
        <v/>
      </c>
      <c r="Q50" s="1" t="str">
        <f t="shared" si="16"/>
        <v/>
      </c>
      <c r="R50" s="1">
        <f t="shared" si="17"/>
        <v>1</v>
      </c>
      <c r="U50" s="1">
        <f t="shared" si="18"/>
        <v>58.700480000000006</v>
      </c>
      <c r="V50" s="1">
        <f t="shared" si="19"/>
        <v>121</v>
      </c>
      <c r="W50" s="1">
        <f t="shared" si="20"/>
        <v>1</v>
      </c>
      <c r="Z50" s="1" t="str">
        <f t="shared" si="21"/>
        <v/>
      </c>
      <c r="AA50" s="1" t="str">
        <f t="shared" si="22"/>
        <v/>
      </c>
      <c r="AB50" s="1">
        <f t="shared" si="23"/>
        <v>1</v>
      </c>
      <c r="AE50" s="1">
        <f t="shared" si="24"/>
        <v>40.30048</v>
      </c>
      <c r="AF50" s="1">
        <f t="shared" si="25"/>
        <v>88</v>
      </c>
      <c r="AG50" s="1">
        <f t="shared" si="26"/>
        <v>1</v>
      </c>
      <c r="AJ50" s="1" t="str">
        <f t="shared" si="27"/>
        <v/>
      </c>
      <c r="AK50" s="1" t="str">
        <f t="shared" si="28"/>
        <v/>
      </c>
      <c r="AL50" s="1">
        <f t="shared" si="29"/>
        <v>1</v>
      </c>
      <c r="AO50" s="1">
        <f t="shared" si="30"/>
        <v>25.100480000000001</v>
      </c>
      <c r="AP50" s="1">
        <f t="shared" si="31"/>
        <v>52</v>
      </c>
      <c r="AQ50" s="1">
        <f t="shared" si="32"/>
        <v>1</v>
      </c>
      <c r="AT50" s="1">
        <f t="shared" si="33"/>
        <v>3.1999999999999993</v>
      </c>
      <c r="AU50" s="1">
        <f t="shared" si="34"/>
        <v>2.5999999999999996</v>
      </c>
      <c r="AV50" s="1">
        <f t="shared" si="35"/>
        <v>9.9999999999999645E-2</v>
      </c>
      <c r="AW50" s="1">
        <f t="shared" si="36"/>
        <v>5.8999999999999986</v>
      </c>
      <c r="AX50" s="1">
        <f t="shared" si="37"/>
        <v>1.9671466666666662</v>
      </c>
      <c r="BC50" s="1">
        <f t="shared" si="40"/>
        <v>5.8004799999999985</v>
      </c>
      <c r="BD50" s="1">
        <f t="shared" si="41"/>
        <v>4</v>
      </c>
      <c r="BE50" s="1">
        <f t="shared" si="42"/>
        <v>1</v>
      </c>
      <c r="BH50" s="1" t="str">
        <f t="shared" si="43"/>
        <v/>
      </c>
      <c r="BI50" s="1" t="str">
        <f>IF(A50="","",IF(BH50="","",RANK(BH50,$BH$3:$BH200,1)))</f>
        <v/>
      </c>
      <c r="BJ50" s="1">
        <f t="shared" si="44"/>
        <v>1</v>
      </c>
      <c r="BM50" s="1">
        <f t="shared" si="45"/>
        <v>5.796875</v>
      </c>
      <c r="BN50" s="1">
        <f>IF(A50="","",IF(BM50="","",RANK(BM50,$BM$3:$BM200,1)))</f>
        <v>146</v>
      </c>
      <c r="BO50" s="1">
        <f t="shared" si="46"/>
        <v>1</v>
      </c>
      <c r="BR50" s="1">
        <f t="shared" si="47"/>
        <v>1</v>
      </c>
      <c r="BS50" s="1" t="str">
        <f t="shared" si="48"/>
        <v>コウエイダリア　　　　　　　　　　　</v>
      </c>
      <c r="CD50" s="1" t="str">
        <f t="shared" si="52"/>
        <v/>
      </c>
      <c r="CE50" s="1" t="str">
        <f>IF(A50="","",IF(CD50="","",RANK(CD50,$CD$3:$CD200,1)))</f>
        <v/>
      </c>
      <c r="CF50" s="1">
        <f t="shared" si="53"/>
        <v>1</v>
      </c>
      <c r="CI50" s="1" t="str">
        <f t="shared" si="54"/>
        <v/>
      </c>
      <c r="CJ50" s="1" t="str">
        <f>IF(A50="","",IF(CI50="","",RANK(CI50,$CI$3:$CI200,1)))</f>
        <v/>
      </c>
      <c r="CK50" s="1">
        <f t="shared" si="55"/>
        <v>1</v>
      </c>
      <c r="CN50" s="1" t="str">
        <f t="shared" si="56"/>
        <v/>
      </c>
      <c r="CO50" s="1" t="str">
        <f>IF(A50="","",IF(CN50="","",RANK(CN50,$CN$3:$CN200,1)))</f>
        <v/>
      </c>
      <c r="CP50" s="1">
        <f t="shared" si="57"/>
        <v>1</v>
      </c>
      <c r="CS50" s="1" t="str">
        <f t="shared" si="58"/>
        <v/>
      </c>
      <c r="CT50" s="1" t="str">
        <f>IF(A50="","",IF(CS50="","",RANK(CS50,$CS$3:$CS200,1)))</f>
        <v/>
      </c>
      <c r="CU50" s="1">
        <f t="shared" si="59"/>
        <v>1</v>
      </c>
      <c r="CX50" s="1" t="str">
        <f t="shared" si="60"/>
        <v/>
      </c>
      <c r="CY50" s="1" t="str">
        <f>IF(CX50="","",IF(A50="","",RANK(CX50,$CX$3:$CX200,1)))</f>
        <v/>
      </c>
      <c r="CZ50" s="1">
        <f t="shared" si="61"/>
        <v>1</v>
      </c>
      <c r="DC50" s="1" t="str">
        <f t="shared" si="62"/>
        <v/>
      </c>
      <c r="DD50" s="1" t="str">
        <f>IF(DC50="","",IF(A50="","",RANK(DC50,$DC$3:$DC200,1)))</f>
        <v/>
      </c>
      <c r="DE50" s="1">
        <f t="shared" si="63"/>
        <v>1</v>
      </c>
      <c r="DH50" s="1" t="str">
        <f t="shared" si="64"/>
        <v/>
      </c>
      <c r="DI50" s="1" t="str">
        <f>IF(DH50="","",IF(A50="","",RANK(DH50,$DH$3:$DH200,1)))</f>
        <v/>
      </c>
      <c r="DJ50" s="1">
        <f t="shared" si="65"/>
        <v>1</v>
      </c>
      <c r="DM50" s="1" t="str">
        <f t="shared" si="66"/>
        <v/>
      </c>
      <c r="DN50" s="1" t="str">
        <f>IF(DM50="","",IF(A50="","",RANK(DM50,$DM$3:$DM200,1)))</f>
        <v/>
      </c>
      <c r="DO50" s="1">
        <f t="shared" si="67"/>
        <v>1</v>
      </c>
      <c r="DR50" s="1">
        <f t="shared" si="68"/>
        <v>18.400479999999998</v>
      </c>
      <c r="DS50" s="1">
        <f>IF(DR50="","",IF(A50="","",RANK(DR50,$DR$3:$DR200,1)))</f>
        <v>139</v>
      </c>
      <c r="DT50" s="1">
        <f t="shared" si="69"/>
        <v>1</v>
      </c>
      <c r="DW50" s="1">
        <f t="shared" si="70"/>
        <v>15.200479999999999</v>
      </c>
      <c r="DX50" s="1">
        <f>IF(DW50="","",IF(A50="","",RANK(DW50,$DW$3:$DW200,1)))</f>
        <v>124</v>
      </c>
      <c r="DY50" s="1">
        <f t="shared" si="71"/>
        <v>1</v>
      </c>
      <c r="EB50" s="1">
        <f t="shared" si="72"/>
        <v>12.600479999999999</v>
      </c>
      <c r="EC50" s="1">
        <f>IF(EB50="","",IF(A50="","",RANK(EB50,$EB$3:$EB200,1)))</f>
        <v>56</v>
      </c>
      <c r="ED50" s="1">
        <f t="shared" si="73"/>
        <v>1</v>
      </c>
      <c r="EG50" s="1">
        <f t="shared" si="74"/>
        <v>12.50048</v>
      </c>
      <c r="EH50" s="1">
        <f>IF(EG50="","",IF(A50="","",RANK(EG50,$EG$3:$EG200,1)))</f>
        <v>48</v>
      </c>
      <c r="EI50" s="1">
        <f t="shared" si="75"/>
        <v>1</v>
      </c>
    </row>
    <row r="51" spans="1:139" ht="18.75">
      <c r="A51" s="1" t="s">
        <v>88</v>
      </c>
      <c r="B51" s="1">
        <v>20190613</v>
      </c>
      <c r="C51" s="1" t="s">
        <v>99</v>
      </c>
      <c r="D51" s="1">
        <v>10</v>
      </c>
      <c r="E51" s="30">
        <v>52.1</v>
      </c>
      <c r="F51" s="30">
        <v>37.700000000000003</v>
      </c>
      <c r="G51" s="30">
        <v>24.9</v>
      </c>
      <c r="H51" s="30">
        <v>12.5</v>
      </c>
      <c r="I51" s="30">
        <v>14.4</v>
      </c>
      <c r="J51" s="30">
        <v>12.8</v>
      </c>
      <c r="K51" s="30">
        <v>12.4</v>
      </c>
      <c r="L51" s="30">
        <v>12.5</v>
      </c>
      <c r="M51" s="1" t="str">
        <f t="shared" si="13"/>
        <v>2019/06/13</v>
      </c>
      <c r="N51" s="4" t="str">
        <f t="shared" si="14"/>
        <v/>
      </c>
      <c r="O51">
        <v>4.9000000000000063E-4</v>
      </c>
      <c r="P51" s="1" t="str">
        <f t="shared" si="15"/>
        <v/>
      </c>
      <c r="Q51" s="1" t="str">
        <f t="shared" si="16"/>
        <v/>
      </c>
      <c r="R51" s="1">
        <f t="shared" si="17"/>
        <v>10</v>
      </c>
      <c r="U51" s="1">
        <f t="shared" si="18"/>
        <v>52.100490000000001</v>
      </c>
      <c r="V51" s="1">
        <f t="shared" si="19"/>
        <v>14</v>
      </c>
      <c r="W51" s="1">
        <f t="shared" si="20"/>
        <v>10</v>
      </c>
      <c r="Z51" s="1" t="str">
        <f t="shared" si="21"/>
        <v/>
      </c>
      <c r="AA51" s="1" t="str">
        <f t="shared" si="22"/>
        <v/>
      </c>
      <c r="AB51" s="1">
        <f t="shared" si="23"/>
        <v>10</v>
      </c>
      <c r="AE51" s="1">
        <f t="shared" si="24"/>
        <v>37.700490000000002</v>
      </c>
      <c r="AF51" s="1">
        <f t="shared" si="25"/>
        <v>14</v>
      </c>
      <c r="AG51" s="1">
        <f t="shared" si="26"/>
        <v>10</v>
      </c>
      <c r="AJ51" s="1" t="str">
        <f t="shared" si="27"/>
        <v/>
      </c>
      <c r="AK51" s="1" t="str">
        <f t="shared" si="28"/>
        <v/>
      </c>
      <c r="AL51" s="1">
        <f t="shared" si="29"/>
        <v>10</v>
      </c>
      <c r="AO51" s="1">
        <f t="shared" si="30"/>
        <v>24.900489999999998</v>
      </c>
      <c r="AP51" s="1">
        <f t="shared" si="31"/>
        <v>38</v>
      </c>
      <c r="AQ51" s="1">
        <f t="shared" si="32"/>
        <v>10</v>
      </c>
      <c r="AT51" s="1">
        <f t="shared" si="33"/>
        <v>1.5999999999999996</v>
      </c>
      <c r="AU51" s="1">
        <f t="shared" si="34"/>
        <v>0.40000000000000036</v>
      </c>
      <c r="AV51" s="1">
        <f t="shared" si="35"/>
        <v>-9.9999999999999645E-2</v>
      </c>
      <c r="AW51" s="1">
        <f t="shared" si="36"/>
        <v>1.9000000000000004</v>
      </c>
      <c r="AX51" s="1">
        <f t="shared" si="37"/>
        <v>0</v>
      </c>
      <c r="BC51" s="1">
        <f t="shared" si="40"/>
        <v>2.0004900000000001</v>
      </c>
      <c r="BD51" s="1">
        <f t="shared" si="41"/>
        <v>107</v>
      </c>
      <c r="BE51" s="1">
        <f t="shared" si="42"/>
        <v>10</v>
      </c>
      <c r="BH51" s="1" t="str">
        <f t="shared" si="43"/>
        <v/>
      </c>
      <c r="BI51" s="1" t="str">
        <f>IF(A51="","",IF(BH51="","",RANK(BH51,$BH$3:$BH201,1)))</f>
        <v/>
      </c>
      <c r="BJ51" s="1">
        <f t="shared" si="44"/>
        <v>10</v>
      </c>
      <c r="BM51" s="1">
        <f t="shared" si="45"/>
        <v>0.65187500000000009</v>
      </c>
      <c r="BN51" s="1">
        <f>IF(A51="","",IF(BM51="","",RANK(BM51,$BM$3:$BM201,1)))</f>
        <v>36</v>
      </c>
      <c r="BO51" s="1">
        <f t="shared" si="46"/>
        <v>10</v>
      </c>
      <c r="BR51" s="1">
        <f t="shared" si="47"/>
        <v>10</v>
      </c>
      <c r="BS51" s="1" t="str">
        <f t="shared" si="48"/>
        <v>コンパウンダー　　　　　　　　　　　</v>
      </c>
      <c r="CD51" s="1" t="str">
        <f t="shared" si="52"/>
        <v/>
      </c>
      <c r="CE51" s="1" t="str">
        <f>IF(A51="","",IF(CD51="","",RANK(CD51,$CD$3:$CD201,1)))</f>
        <v/>
      </c>
      <c r="CF51" s="1">
        <f t="shared" si="53"/>
        <v>10</v>
      </c>
      <c r="CI51" s="1" t="str">
        <f t="shared" si="54"/>
        <v/>
      </c>
      <c r="CJ51" s="1" t="str">
        <f>IF(A51="","",IF(CI51="","",RANK(CI51,$CI$3:$CI201,1)))</f>
        <v/>
      </c>
      <c r="CK51" s="1">
        <f t="shared" si="55"/>
        <v>10</v>
      </c>
      <c r="CN51" s="1" t="str">
        <f t="shared" si="56"/>
        <v/>
      </c>
      <c r="CO51" s="1" t="str">
        <f>IF(A51="","",IF(CN51="","",RANK(CN51,$CN$3:$CN201,1)))</f>
        <v/>
      </c>
      <c r="CP51" s="1">
        <f t="shared" si="57"/>
        <v>10</v>
      </c>
      <c r="CS51" s="1" t="str">
        <f t="shared" si="58"/>
        <v/>
      </c>
      <c r="CT51" s="1" t="str">
        <f>IF(A51="","",IF(CS51="","",RANK(CS51,$CS$3:$CS201,1)))</f>
        <v/>
      </c>
      <c r="CU51" s="1">
        <f t="shared" si="59"/>
        <v>10</v>
      </c>
      <c r="CX51" s="1" t="str">
        <f t="shared" si="60"/>
        <v/>
      </c>
      <c r="CY51" s="1" t="str">
        <f>IF(CX51="","",IF(A51="","",RANK(CX51,$CX$3:$CX201,1)))</f>
        <v/>
      </c>
      <c r="CZ51" s="1">
        <f t="shared" si="61"/>
        <v>10</v>
      </c>
      <c r="DC51" s="1" t="str">
        <f t="shared" si="62"/>
        <v/>
      </c>
      <c r="DD51" s="1" t="str">
        <f>IF(DC51="","",IF(A51="","",RANK(DC51,$DC$3:$DC201,1)))</f>
        <v/>
      </c>
      <c r="DE51" s="1">
        <f t="shared" si="63"/>
        <v>10</v>
      </c>
      <c r="DH51" s="1" t="str">
        <f t="shared" si="64"/>
        <v/>
      </c>
      <c r="DI51" s="1" t="str">
        <f>IF(DH51="","",IF(A51="","",RANK(DH51,$DH$3:$DH201,1)))</f>
        <v/>
      </c>
      <c r="DJ51" s="1">
        <f t="shared" si="65"/>
        <v>10</v>
      </c>
      <c r="DM51" s="1" t="str">
        <f t="shared" si="66"/>
        <v/>
      </c>
      <c r="DN51" s="1" t="str">
        <f>IF(DM51="","",IF(A51="","",RANK(DM51,$DM$3:$DM201,1)))</f>
        <v/>
      </c>
      <c r="DO51" s="1">
        <f t="shared" si="67"/>
        <v>10</v>
      </c>
      <c r="DR51" s="1">
        <f t="shared" si="68"/>
        <v>14.40049</v>
      </c>
      <c r="DS51" s="1">
        <f>IF(DR51="","",IF(A51="","",RANK(DR51,$DR$3:$DR201,1)))</f>
        <v>21</v>
      </c>
      <c r="DT51" s="1">
        <f t="shared" si="69"/>
        <v>10</v>
      </c>
      <c r="DW51" s="1">
        <f t="shared" si="70"/>
        <v>12.80049</v>
      </c>
      <c r="DX51" s="1">
        <f>IF(DW51="","",IF(A51="","",RANK(DW51,$DW$3:$DW201,1)))</f>
        <v>10</v>
      </c>
      <c r="DY51" s="1">
        <f t="shared" si="71"/>
        <v>10</v>
      </c>
      <c r="EB51" s="1">
        <f t="shared" si="72"/>
        <v>12.40049</v>
      </c>
      <c r="EC51" s="1">
        <f>IF(EB51="","",IF(A51="","",RANK(EB51,$EB$3:$EB201,1)))</f>
        <v>38</v>
      </c>
      <c r="ED51" s="1">
        <f t="shared" si="73"/>
        <v>10</v>
      </c>
      <c r="EG51" s="1">
        <f t="shared" si="74"/>
        <v>12.500489999999999</v>
      </c>
      <c r="EH51" s="1">
        <f>IF(EG51="","",IF(A51="","",RANK(EG51,$EG$3:$EG201,1)))</f>
        <v>49</v>
      </c>
      <c r="EI51" s="1">
        <f t="shared" si="75"/>
        <v>10</v>
      </c>
    </row>
    <row r="52" spans="1:139" ht="18.75">
      <c r="A52" s="1" t="s">
        <v>88</v>
      </c>
      <c r="B52" s="1">
        <v>20190619</v>
      </c>
      <c r="C52" s="1" t="s">
        <v>95</v>
      </c>
      <c r="D52" s="1">
        <v>6</v>
      </c>
      <c r="E52" s="30">
        <v>51.2</v>
      </c>
      <c r="F52" s="30">
        <v>37.6</v>
      </c>
      <c r="G52" s="30">
        <v>24.8</v>
      </c>
      <c r="H52" s="30">
        <v>12.5</v>
      </c>
      <c r="I52" s="30">
        <v>13.6</v>
      </c>
      <c r="J52" s="30">
        <v>12.8</v>
      </c>
      <c r="K52" s="30">
        <v>12.3</v>
      </c>
      <c r="L52" s="30">
        <v>12.5</v>
      </c>
      <c r="M52" s="1" t="str">
        <f t="shared" si="13"/>
        <v>2019/06/19</v>
      </c>
      <c r="N52" s="4" t="str">
        <f t="shared" si="14"/>
        <v/>
      </c>
      <c r="O52">
        <v>5.0000000000000066E-4</v>
      </c>
      <c r="P52" s="1" t="str">
        <f t="shared" si="15"/>
        <v/>
      </c>
      <c r="Q52" s="1" t="str">
        <f t="shared" si="16"/>
        <v/>
      </c>
      <c r="R52" s="1">
        <f t="shared" si="17"/>
        <v>6</v>
      </c>
      <c r="U52" s="1">
        <f>IF(A52="","",IF(E52=0,"",IF(E52="","",E52+O52)))</f>
        <v>51.200500000000005</v>
      </c>
      <c r="V52" s="1">
        <f t="shared" si="19"/>
        <v>3</v>
      </c>
      <c r="W52" s="1">
        <f t="shared" si="20"/>
        <v>6</v>
      </c>
      <c r="Z52" s="1" t="str">
        <f t="shared" si="21"/>
        <v/>
      </c>
      <c r="AA52" s="1" t="str">
        <f t="shared" si="22"/>
        <v/>
      </c>
      <c r="AB52" s="1">
        <f t="shared" si="23"/>
        <v>6</v>
      </c>
      <c r="AE52" s="1">
        <f t="shared" si="24"/>
        <v>37.600500000000004</v>
      </c>
      <c r="AF52" s="1">
        <f t="shared" si="25"/>
        <v>10</v>
      </c>
      <c r="AG52" s="1">
        <f t="shared" si="26"/>
        <v>6</v>
      </c>
      <c r="AJ52" s="1" t="str">
        <f t="shared" si="27"/>
        <v/>
      </c>
      <c r="AK52" s="1" t="str">
        <f t="shared" si="28"/>
        <v/>
      </c>
      <c r="AL52" s="1">
        <f t="shared" si="29"/>
        <v>6</v>
      </c>
      <c r="AO52" s="1">
        <f t="shared" si="30"/>
        <v>24.8005</v>
      </c>
      <c r="AP52" s="1">
        <f t="shared" si="31"/>
        <v>31</v>
      </c>
      <c r="AQ52" s="1">
        <f t="shared" si="32"/>
        <v>6</v>
      </c>
      <c r="AT52" s="1">
        <f t="shared" si="33"/>
        <v>0.79999999999999893</v>
      </c>
      <c r="AU52" s="1">
        <f t="shared" si="34"/>
        <v>0.5</v>
      </c>
      <c r="AV52" s="1">
        <f t="shared" si="35"/>
        <v>-0.19999999999999929</v>
      </c>
      <c r="AW52" s="1">
        <f t="shared" si="36"/>
        <v>1.0999999999999996</v>
      </c>
      <c r="AX52" s="1">
        <f t="shared" si="37"/>
        <v>0</v>
      </c>
      <c r="BC52" s="1">
        <f t="shared" si="40"/>
        <v>1.3004999999999989</v>
      </c>
      <c r="BD52" s="1">
        <f t="shared" si="41"/>
        <v>139</v>
      </c>
      <c r="BE52" s="1">
        <f t="shared" si="42"/>
        <v>6</v>
      </c>
      <c r="BH52" s="1" t="str">
        <f t="shared" si="43"/>
        <v/>
      </c>
      <c r="BI52" s="1" t="str">
        <f>IF(A52="","",IF(BH52="","",RANK(BH52,$BH$3:$BH202,1)))</f>
        <v/>
      </c>
      <c r="BJ52" s="1">
        <f t="shared" si="44"/>
        <v>6</v>
      </c>
      <c r="BM52" s="1">
        <f t="shared" si="45"/>
        <v>0.24499999999999969</v>
      </c>
      <c r="BN52" s="1">
        <f>IF(A52="","",IF(BM52="","",RANK(BM52,$BM$3:$BM202,1)))</f>
        <v>5</v>
      </c>
      <c r="BO52" s="1">
        <f t="shared" si="46"/>
        <v>6</v>
      </c>
      <c r="BR52" s="1">
        <f t="shared" si="47"/>
        <v>6</v>
      </c>
      <c r="BS52" s="1" t="str">
        <f t="shared" si="48"/>
        <v>ミカエルシチー　　　　　　　　　　　</v>
      </c>
      <c r="CD52" s="1" t="str">
        <f t="shared" si="52"/>
        <v/>
      </c>
      <c r="CE52" s="1" t="str">
        <f>IF(A52="","",IF(CD52="","",RANK(CD52,$CD$3:$CD202,1)))</f>
        <v/>
      </c>
      <c r="CF52" s="1">
        <f t="shared" si="53"/>
        <v>6</v>
      </c>
      <c r="CI52" s="1" t="str">
        <f t="shared" si="54"/>
        <v/>
      </c>
      <c r="CJ52" s="1" t="str">
        <f>IF(A52="","",IF(CI52="","",RANK(CI52,$CI$3:$CI202,1)))</f>
        <v/>
      </c>
      <c r="CK52" s="1">
        <f t="shared" si="55"/>
        <v>6</v>
      </c>
      <c r="CN52" s="1" t="str">
        <f t="shared" si="56"/>
        <v/>
      </c>
      <c r="CO52" s="1" t="str">
        <f>IF(A52="","",IF(CN52="","",RANK(CN52,$CN$3:$CN202,1)))</f>
        <v/>
      </c>
      <c r="CP52" s="1">
        <f t="shared" si="57"/>
        <v>6</v>
      </c>
      <c r="CS52" s="1" t="str">
        <f t="shared" si="58"/>
        <v/>
      </c>
      <c r="CT52" s="1" t="str">
        <f>IF(A52="","",IF(CS52="","",RANK(CS52,$CS$3:$CS202,1)))</f>
        <v/>
      </c>
      <c r="CU52" s="1">
        <f t="shared" si="59"/>
        <v>6</v>
      </c>
      <c r="CX52" s="1" t="str">
        <f t="shared" si="60"/>
        <v/>
      </c>
      <c r="CY52" s="1" t="str">
        <f>IF(CX52="","",IF(A52="","",RANK(CX52,$CX$3:$CX202,1)))</f>
        <v/>
      </c>
      <c r="CZ52" s="1">
        <f t="shared" si="61"/>
        <v>6</v>
      </c>
      <c r="DC52" s="1" t="str">
        <f t="shared" si="62"/>
        <v/>
      </c>
      <c r="DD52" s="1" t="str">
        <f>IF(DC52="","",IF(A52="","",RANK(DC52,$DC$3:$DC202,1)))</f>
        <v/>
      </c>
      <c r="DE52" s="1">
        <f t="shared" si="63"/>
        <v>6</v>
      </c>
      <c r="DH52" s="1" t="str">
        <f t="shared" si="64"/>
        <v/>
      </c>
      <c r="DI52" s="1" t="str">
        <f>IF(DH52="","",IF(A52="","",RANK(DH52,$DH$3:$DH202,1)))</f>
        <v/>
      </c>
      <c r="DJ52" s="1">
        <f t="shared" si="65"/>
        <v>6</v>
      </c>
      <c r="DM52" s="1" t="str">
        <f t="shared" si="66"/>
        <v/>
      </c>
      <c r="DN52" s="1" t="str">
        <f>IF(DM52="","",IF(A52="","",RANK(DM52,$DM$3:$DM202,1)))</f>
        <v/>
      </c>
      <c r="DO52" s="1">
        <f t="shared" si="67"/>
        <v>6</v>
      </c>
      <c r="DR52" s="1">
        <f t="shared" si="68"/>
        <v>13.6005</v>
      </c>
      <c r="DS52" s="1">
        <f>IF(DR52="","",IF(A52="","",RANK(DR52,$DR$3:$DR202,1)))</f>
        <v>2</v>
      </c>
      <c r="DT52" s="1">
        <f t="shared" si="69"/>
        <v>6</v>
      </c>
      <c r="DW52" s="1">
        <f t="shared" si="70"/>
        <v>12.800500000000001</v>
      </c>
      <c r="DX52" s="1">
        <f>IF(DW52="","",IF(A52="","",RANK(DW52,$DW$3:$DW202,1)))</f>
        <v>11</v>
      </c>
      <c r="DY52" s="1">
        <f t="shared" si="71"/>
        <v>6</v>
      </c>
      <c r="EB52" s="1">
        <f t="shared" si="72"/>
        <v>12.300500000000001</v>
      </c>
      <c r="EC52" s="1">
        <f>IF(EB52="","",IF(A52="","",RANK(EB52,$EB$3:$EB202,1)))</f>
        <v>27</v>
      </c>
      <c r="ED52" s="1">
        <f t="shared" si="73"/>
        <v>6</v>
      </c>
      <c r="EG52" s="1">
        <f t="shared" si="74"/>
        <v>12.500500000000001</v>
      </c>
      <c r="EH52" s="1">
        <f>IF(EG52="","",IF(A52="","",RANK(EG52,$EG$3:$EG202,1)))</f>
        <v>50</v>
      </c>
      <c r="EI52" s="1">
        <f t="shared" si="75"/>
        <v>6</v>
      </c>
    </row>
    <row r="53" spans="1:139" ht="18.75">
      <c r="A53" s="1" t="s">
        <v>88</v>
      </c>
      <c r="B53" s="1">
        <v>20190626</v>
      </c>
      <c r="C53" s="1" t="s">
        <v>98</v>
      </c>
      <c r="D53" s="1">
        <v>9</v>
      </c>
      <c r="E53" s="30">
        <v>53.2</v>
      </c>
      <c r="F53" s="30">
        <v>37.5</v>
      </c>
      <c r="G53" s="30">
        <v>24.9</v>
      </c>
      <c r="H53" s="30">
        <v>12.5</v>
      </c>
      <c r="I53" s="30">
        <v>15.7</v>
      </c>
      <c r="J53" s="30">
        <v>12.6</v>
      </c>
      <c r="K53" s="30">
        <v>12.4</v>
      </c>
      <c r="L53" s="30">
        <v>12.5</v>
      </c>
      <c r="M53" s="1" t="str">
        <f t="shared" si="13"/>
        <v>2019/06/26</v>
      </c>
      <c r="N53" s="4" t="str">
        <f t="shared" si="14"/>
        <v/>
      </c>
      <c r="O53">
        <v>5.1000000000000069E-4</v>
      </c>
      <c r="P53" s="1" t="str">
        <f t="shared" si="15"/>
        <v/>
      </c>
      <c r="Q53" s="1" t="str">
        <f t="shared" si="16"/>
        <v/>
      </c>
      <c r="R53" s="1">
        <f t="shared" si="17"/>
        <v>9</v>
      </c>
      <c r="U53" s="1">
        <f t="shared" si="18"/>
        <v>53.200510000000001</v>
      </c>
      <c r="V53" s="1">
        <f t="shared" si="19"/>
        <v>33</v>
      </c>
      <c r="W53" s="1">
        <f t="shared" si="20"/>
        <v>9</v>
      </c>
      <c r="Z53" s="1" t="str">
        <f t="shared" si="21"/>
        <v/>
      </c>
      <c r="AA53" s="1" t="str">
        <f t="shared" si="22"/>
        <v/>
      </c>
      <c r="AB53" s="1">
        <f t="shared" si="23"/>
        <v>9</v>
      </c>
      <c r="AE53" s="1">
        <f t="shared" si="24"/>
        <v>37.500509999999998</v>
      </c>
      <c r="AF53" s="1">
        <f t="shared" si="25"/>
        <v>6</v>
      </c>
      <c r="AG53" s="1">
        <f t="shared" si="26"/>
        <v>9</v>
      </c>
      <c r="AJ53" s="1" t="str">
        <f t="shared" si="27"/>
        <v/>
      </c>
      <c r="AK53" s="1" t="str">
        <f t="shared" si="28"/>
        <v/>
      </c>
      <c r="AL53" s="1">
        <f t="shared" si="29"/>
        <v>9</v>
      </c>
      <c r="AO53" s="1">
        <f t="shared" si="30"/>
        <v>24.900509999999997</v>
      </c>
      <c r="AP53" s="1">
        <f t="shared" si="31"/>
        <v>39</v>
      </c>
      <c r="AQ53" s="1">
        <f t="shared" si="32"/>
        <v>9</v>
      </c>
      <c r="AT53" s="1">
        <f t="shared" si="33"/>
        <v>3.0999999999999996</v>
      </c>
      <c r="AU53" s="1">
        <f t="shared" si="34"/>
        <v>0.19999999999999929</v>
      </c>
      <c r="AV53" s="1">
        <f t="shared" si="35"/>
        <v>-9.9999999999999645E-2</v>
      </c>
      <c r="AW53" s="1">
        <f t="shared" si="36"/>
        <v>3.1999999999999993</v>
      </c>
      <c r="AX53" s="1">
        <f t="shared" si="37"/>
        <v>0</v>
      </c>
      <c r="BC53" s="1">
        <f t="shared" si="40"/>
        <v>3.3005099999999987</v>
      </c>
      <c r="BD53" s="1">
        <f t="shared" si="41"/>
        <v>42</v>
      </c>
      <c r="BE53" s="1">
        <f t="shared" si="42"/>
        <v>9</v>
      </c>
      <c r="BH53" s="1" t="str">
        <f t="shared" si="43"/>
        <v/>
      </c>
      <c r="BI53" s="1" t="str">
        <f>IF(A53="","",IF(BH53="","",RANK(BH53,$BH$3:$BH203,1)))</f>
        <v/>
      </c>
      <c r="BJ53" s="1">
        <f t="shared" si="44"/>
        <v>9</v>
      </c>
      <c r="BM53" s="1">
        <f t="shared" si="45"/>
        <v>1.9250000000000398</v>
      </c>
      <c r="BN53" s="1">
        <f>IF(A53="","",IF(BM53="","",RANK(BM53,$BM$3:$BM203,1)))</f>
        <v>105</v>
      </c>
      <c r="BO53" s="1">
        <f t="shared" si="46"/>
        <v>9</v>
      </c>
      <c r="BR53" s="1">
        <f t="shared" si="47"/>
        <v>9</v>
      </c>
      <c r="BS53" s="1" t="str">
        <f t="shared" si="48"/>
        <v>メイショウイサナ　　　　　　　　　　</v>
      </c>
      <c r="CD53" s="1" t="str">
        <f t="shared" si="52"/>
        <v/>
      </c>
      <c r="CE53" s="1" t="str">
        <f>IF(A53="","",IF(CD53="","",RANK(CD53,$CD$3:$CD203,1)))</f>
        <v/>
      </c>
      <c r="CF53" s="1">
        <f t="shared" si="53"/>
        <v>9</v>
      </c>
      <c r="CI53" s="1" t="str">
        <f t="shared" si="54"/>
        <v/>
      </c>
      <c r="CJ53" s="1" t="str">
        <f>IF(A53="","",IF(CI53="","",RANK(CI53,$CI$3:$CI203,1)))</f>
        <v/>
      </c>
      <c r="CK53" s="1">
        <f t="shared" si="55"/>
        <v>9</v>
      </c>
      <c r="CN53" s="1" t="str">
        <f t="shared" si="56"/>
        <v/>
      </c>
      <c r="CO53" s="1" t="str">
        <f>IF(A53="","",IF(CN53="","",RANK(CN53,$CN$3:$CN203,1)))</f>
        <v/>
      </c>
      <c r="CP53" s="1">
        <f t="shared" si="57"/>
        <v>9</v>
      </c>
      <c r="CS53" s="1" t="str">
        <f t="shared" si="58"/>
        <v/>
      </c>
      <c r="CT53" s="1" t="str">
        <f>IF(A53="","",IF(CS53="","",RANK(CS53,$CS$3:$CS203,1)))</f>
        <v/>
      </c>
      <c r="CU53" s="1">
        <f t="shared" si="59"/>
        <v>9</v>
      </c>
      <c r="CX53" s="1" t="str">
        <f t="shared" si="60"/>
        <v/>
      </c>
      <c r="CY53" s="1" t="str">
        <f>IF(CX53="","",IF(A53="","",RANK(CX53,$CX$3:$CX203,1)))</f>
        <v/>
      </c>
      <c r="CZ53" s="1">
        <f t="shared" si="61"/>
        <v>9</v>
      </c>
      <c r="DC53" s="1" t="str">
        <f t="shared" si="62"/>
        <v/>
      </c>
      <c r="DD53" s="1" t="str">
        <f>IF(DC53="","",IF(A53="","",RANK(DC53,$DC$3:$DC203,1)))</f>
        <v/>
      </c>
      <c r="DE53" s="1">
        <f t="shared" si="63"/>
        <v>9</v>
      </c>
      <c r="DH53" s="1" t="str">
        <f t="shared" si="64"/>
        <v/>
      </c>
      <c r="DI53" s="1" t="str">
        <f>IF(DH53="","",IF(A53="","",RANK(DH53,$DH$3:$DH203,1)))</f>
        <v/>
      </c>
      <c r="DJ53" s="1">
        <f t="shared" si="65"/>
        <v>9</v>
      </c>
      <c r="DM53" s="1" t="str">
        <f t="shared" si="66"/>
        <v/>
      </c>
      <c r="DN53" s="1" t="str">
        <f>IF(DM53="","",IF(A53="","",RANK(DM53,$DM$3:$DM203,1)))</f>
        <v/>
      </c>
      <c r="DO53" s="1">
        <f t="shared" si="67"/>
        <v>9</v>
      </c>
      <c r="DR53" s="1">
        <f t="shared" si="68"/>
        <v>15.70051</v>
      </c>
      <c r="DS53" s="1">
        <f>IF(DR53="","",IF(A53="","",RANK(DR53,$DR$3:$DR203,1)))</f>
        <v>79</v>
      </c>
      <c r="DT53" s="1">
        <f t="shared" si="69"/>
        <v>9</v>
      </c>
      <c r="DW53" s="1">
        <f t="shared" si="70"/>
        <v>12.60051</v>
      </c>
      <c r="DX53" s="1">
        <f>IF(DW53="","",IF(A53="","",RANK(DW53,$DW$3:$DW203,1)))</f>
        <v>5</v>
      </c>
      <c r="DY53" s="1">
        <f t="shared" si="71"/>
        <v>9</v>
      </c>
      <c r="EB53" s="1">
        <f t="shared" si="72"/>
        <v>12.400510000000001</v>
      </c>
      <c r="EC53" s="1">
        <f>IF(EB53="","",IF(A53="","",RANK(EB53,$EB$3:$EB203,1)))</f>
        <v>39</v>
      </c>
      <c r="ED53" s="1">
        <f t="shared" si="73"/>
        <v>9</v>
      </c>
      <c r="EG53" s="1">
        <f t="shared" si="74"/>
        <v>12.50051</v>
      </c>
      <c r="EH53" s="1">
        <f>IF(EG53="","",IF(A53="","",RANK(EG53,$EG$3:$EG203,1)))</f>
        <v>51</v>
      </c>
      <c r="EI53" s="1">
        <f t="shared" si="75"/>
        <v>9</v>
      </c>
    </row>
    <row r="54" spans="1:139" ht="18.75">
      <c r="A54" s="1" t="s">
        <v>88</v>
      </c>
      <c r="B54" s="1">
        <v>20190703</v>
      </c>
      <c r="C54" s="1" t="s">
        <v>93</v>
      </c>
      <c r="D54" s="1">
        <v>4</v>
      </c>
      <c r="E54" s="30">
        <v>54.6</v>
      </c>
      <c r="F54" s="30">
        <v>38.700000000000003</v>
      </c>
      <c r="G54" s="30">
        <v>24.9</v>
      </c>
      <c r="H54" s="30">
        <v>12.5</v>
      </c>
      <c r="I54" s="30">
        <v>15.9</v>
      </c>
      <c r="J54" s="30">
        <v>13.8</v>
      </c>
      <c r="K54" s="30">
        <v>12.4</v>
      </c>
      <c r="L54" s="30">
        <v>12.5</v>
      </c>
      <c r="M54" s="1" t="str">
        <f t="shared" si="13"/>
        <v>2019/07/03</v>
      </c>
      <c r="N54" s="4" t="str">
        <f t="shared" si="14"/>
        <v/>
      </c>
      <c r="O54">
        <v>5.2000000000000071E-4</v>
      </c>
      <c r="P54" s="1" t="str">
        <f t="shared" si="15"/>
        <v/>
      </c>
      <c r="Q54" s="1" t="str">
        <f t="shared" si="16"/>
        <v/>
      </c>
      <c r="R54" s="1">
        <f t="shared" si="17"/>
        <v>4</v>
      </c>
      <c r="U54" s="1">
        <f t="shared" si="18"/>
        <v>54.600520000000003</v>
      </c>
      <c r="V54" s="1">
        <f t="shared" si="19"/>
        <v>65</v>
      </c>
      <c r="W54" s="1">
        <f t="shared" si="20"/>
        <v>4</v>
      </c>
      <c r="Z54" s="1" t="str">
        <f t="shared" si="21"/>
        <v/>
      </c>
      <c r="AA54" s="1" t="str">
        <f t="shared" si="22"/>
        <v/>
      </c>
      <c r="AB54" s="1">
        <f t="shared" si="23"/>
        <v>4</v>
      </c>
      <c r="AE54" s="1">
        <f t="shared" si="24"/>
        <v>38.700520000000004</v>
      </c>
      <c r="AF54" s="1">
        <f t="shared" si="25"/>
        <v>50</v>
      </c>
      <c r="AG54" s="1">
        <f t="shared" si="26"/>
        <v>4</v>
      </c>
      <c r="AJ54" s="1" t="str">
        <f t="shared" si="27"/>
        <v/>
      </c>
      <c r="AK54" s="1" t="str">
        <f t="shared" si="28"/>
        <v/>
      </c>
      <c r="AL54" s="1">
        <f t="shared" si="29"/>
        <v>4</v>
      </c>
      <c r="AO54" s="1">
        <f t="shared" si="30"/>
        <v>24.90052</v>
      </c>
      <c r="AP54" s="1">
        <f t="shared" si="31"/>
        <v>40</v>
      </c>
      <c r="AQ54" s="1">
        <f t="shared" si="32"/>
        <v>4</v>
      </c>
      <c r="AT54" s="1">
        <f t="shared" si="33"/>
        <v>2.0999999999999996</v>
      </c>
      <c r="AU54" s="1">
        <f t="shared" si="34"/>
        <v>1.4000000000000004</v>
      </c>
      <c r="AV54" s="1">
        <f t="shared" si="35"/>
        <v>-9.9999999999999645E-2</v>
      </c>
      <c r="AW54" s="1">
        <f t="shared" si="36"/>
        <v>3.4000000000000004</v>
      </c>
      <c r="AX54" s="1">
        <f t="shared" si="37"/>
        <v>0</v>
      </c>
      <c r="BC54" s="1">
        <f t="shared" si="40"/>
        <v>3.5005199999999999</v>
      </c>
      <c r="BD54" s="1">
        <f t="shared" si="41"/>
        <v>36</v>
      </c>
      <c r="BE54" s="1">
        <f t="shared" si="42"/>
        <v>4</v>
      </c>
      <c r="BH54" s="1" t="str">
        <f t="shared" si="43"/>
        <v/>
      </c>
      <c r="BI54" s="1" t="str">
        <f>IF(A54="","",IF(BH54="","",RANK(BH54,$BH$3:$BH204,1)))</f>
        <v/>
      </c>
      <c r="BJ54" s="1">
        <f t="shared" si="44"/>
        <v>4</v>
      </c>
      <c r="BM54" s="1">
        <f t="shared" si="45"/>
        <v>1.9924999999999784</v>
      </c>
      <c r="BN54" s="1">
        <f>IF(A54="","",IF(BM54="","",RANK(BM54,$BM$3:$BM204,1)))</f>
        <v>110</v>
      </c>
      <c r="BO54" s="1">
        <f t="shared" si="46"/>
        <v>4</v>
      </c>
      <c r="BR54" s="1">
        <f t="shared" si="47"/>
        <v>4</v>
      </c>
      <c r="BS54" s="1" t="str">
        <f t="shared" si="48"/>
        <v>ウィズ　　　　　　　　　　　　　　　</v>
      </c>
      <c r="CD54" s="1" t="str">
        <f t="shared" si="52"/>
        <v/>
      </c>
      <c r="CE54" s="1" t="str">
        <f>IF(A54="","",IF(CD54="","",RANK(CD54,$CD$3:$CD204,1)))</f>
        <v/>
      </c>
      <c r="CF54" s="1">
        <f t="shared" si="53"/>
        <v>4</v>
      </c>
      <c r="CI54" s="1" t="str">
        <f t="shared" si="54"/>
        <v/>
      </c>
      <c r="CJ54" s="1" t="str">
        <f>IF(A54="","",IF(CI54="","",RANK(CI54,$CI$3:$CI204,1)))</f>
        <v/>
      </c>
      <c r="CK54" s="1">
        <f t="shared" si="55"/>
        <v>4</v>
      </c>
      <c r="CN54" s="1" t="str">
        <f t="shared" si="56"/>
        <v/>
      </c>
      <c r="CO54" s="1" t="str">
        <f>IF(A54="","",IF(CN54="","",RANK(CN54,$CN$3:$CN204,1)))</f>
        <v/>
      </c>
      <c r="CP54" s="1">
        <f t="shared" si="57"/>
        <v>4</v>
      </c>
      <c r="CS54" s="1" t="str">
        <f t="shared" si="58"/>
        <v/>
      </c>
      <c r="CT54" s="1" t="str">
        <f>IF(A54="","",IF(CS54="","",RANK(CS54,$CS$3:$CS204,1)))</f>
        <v/>
      </c>
      <c r="CU54" s="1">
        <f t="shared" si="59"/>
        <v>4</v>
      </c>
      <c r="CX54" s="1" t="str">
        <f t="shared" si="60"/>
        <v/>
      </c>
      <c r="CY54" s="1" t="str">
        <f>IF(CX54="","",IF(A54="","",RANK(CX54,$CX$3:$CX204,1)))</f>
        <v/>
      </c>
      <c r="CZ54" s="1">
        <f t="shared" si="61"/>
        <v>4</v>
      </c>
      <c r="DC54" s="1" t="str">
        <f t="shared" si="62"/>
        <v/>
      </c>
      <c r="DD54" s="1" t="str">
        <f>IF(DC54="","",IF(A54="","",RANK(DC54,$DC$3:$DC204,1)))</f>
        <v/>
      </c>
      <c r="DE54" s="1">
        <f t="shared" si="63"/>
        <v>4</v>
      </c>
      <c r="DH54" s="1" t="str">
        <f t="shared" si="64"/>
        <v/>
      </c>
      <c r="DI54" s="1" t="str">
        <f>IF(DH54="","",IF(A54="","",RANK(DH54,$DH$3:$DH204,1)))</f>
        <v/>
      </c>
      <c r="DJ54" s="1">
        <f t="shared" si="65"/>
        <v>4</v>
      </c>
      <c r="DM54" s="1" t="str">
        <f t="shared" si="66"/>
        <v/>
      </c>
      <c r="DN54" s="1" t="str">
        <f>IF(DM54="","",IF(A54="","",RANK(DM54,$DM$3:$DM204,1)))</f>
        <v/>
      </c>
      <c r="DO54" s="1">
        <f t="shared" si="67"/>
        <v>4</v>
      </c>
      <c r="DR54" s="1">
        <f t="shared" si="68"/>
        <v>15.90052</v>
      </c>
      <c r="DS54" s="1">
        <f>IF(DR54="","",IF(A54="","",RANK(DR54,$DR$3:$DR204,1)))</f>
        <v>93</v>
      </c>
      <c r="DT54" s="1">
        <f t="shared" si="69"/>
        <v>4</v>
      </c>
      <c r="DW54" s="1">
        <f t="shared" si="70"/>
        <v>13.800520000000001</v>
      </c>
      <c r="DX54" s="1">
        <f>IF(DW54="","",IF(A54="","",RANK(DW54,$DW$3:$DW204,1)))</f>
        <v>61</v>
      </c>
      <c r="DY54" s="1">
        <f t="shared" si="71"/>
        <v>4</v>
      </c>
      <c r="EB54" s="1">
        <f t="shared" si="72"/>
        <v>12.40052</v>
      </c>
      <c r="EC54" s="1">
        <f>IF(EB54="","",IF(A54="","",RANK(EB54,$EB$3:$EB204,1)))</f>
        <v>40</v>
      </c>
      <c r="ED54" s="1">
        <f t="shared" si="73"/>
        <v>4</v>
      </c>
      <c r="EG54" s="1">
        <f t="shared" si="74"/>
        <v>12.50052</v>
      </c>
      <c r="EH54" s="1">
        <f>IF(EG54="","",IF(A54="","",RANK(EG54,$EG$3:$EG204,1)))</f>
        <v>52</v>
      </c>
      <c r="EI54" s="1">
        <f t="shared" si="75"/>
        <v>4</v>
      </c>
    </row>
    <row r="55" spans="1:139" ht="18.75">
      <c r="A55" s="1" t="s">
        <v>88</v>
      </c>
      <c r="B55" s="1">
        <v>20190710</v>
      </c>
      <c r="C55" s="1" t="s">
        <v>99</v>
      </c>
      <c r="D55" s="1">
        <v>10</v>
      </c>
      <c r="E55" s="30">
        <v>53.1</v>
      </c>
      <c r="F55" s="30">
        <v>38.6</v>
      </c>
      <c r="G55" s="30">
        <v>25.2</v>
      </c>
      <c r="H55" s="30">
        <v>12.5</v>
      </c>
      <c r="I55" s="30">
        <v>14.5</v>
      </c>
      <c r="J55" s="30">
        <v>13.4</v>
      </c>
      <c r="K55" s="30">
        <v>12.7</v>
      </c>
      <c r="L55" s="30">
        <v>12.5</v>
      </c>
      <c r="M55" s="1" t="str">
        <f t="shared" si="13"/>
        <v>2019/07/10</v>
      </c>
      <c r="N55" s="4" t="str">
        <f t="shared" si="14"/>
        <v/>
      </c>
      <c r="O55">
        <v>5.3000000000000074E-4</v>
      </c>
      <c r="P55" s="1" t="str">
        <f t="shared" si="15"/>
        <v/>
      </c>
      <c r="Q55" s="1" t="str">
        <f t="shared" si="16"/>
        <v/>
      </c>
      <c r="R55" s="1">
        <f t="shared" si="17"/>
        <v>10</v>
      </c>
      <c r="U55" s="1">
        <f t="shared" si="18"/>
        <v>53.100529999999999</v>
      </c>
      <c r="V55" s="1">
        <f t="shared" si="19"/>
        <v>29</v>
      </c>
      <c r="W55" s="1">
        <f t="shared" si="20"/>
        <v>10</v>
      </c>
      <c r="Z55" s="1" t="str">
        <f t="shared" si="21"/>
        <v/>
      </c>
      <c r="AA55" s="1" t="str">
        <f t="shared" si="22"/>
        <v/>
      </c>
      <c r="AB55" s="1">
        <f t="shared" si="23"/>
        <v>10</v>
      </c>
      <c r="AE55" s="1">
        <f t="shared" si="24"/>
        <v>38.600529999999999</v>
      </c>
      <c r="AF55" s="1">
        <f t="shared" si="25"/>
        <v>46</v>
      </c>
      <c r="AG55" s="1">
        <f t="shared" si="26"/>
        <v>10</v>
      </c>
      <c r="AJ55" s="1" t="str">
        <f t="shared" si="27"/>
        <v/>
      </c>
      <c r="AK55" s="1" t="str">
        <f t="shared" si="28"/>
        <v/>
      </c>
      <c r="AL55" s="1">
        <f t="shared" si="29"/>
        <v>10</v>
      </c>
      <c r="AO55" s="1">
        <f t="shared" si="30"/>
        <v>25.200530000000001</v>
      </c>
      <c r="AP55" s="1">
        <f t="shared" si="31"/>
        <v>55</v>
      </c>
      <c r="AQ55" s="1">
        <f t="shared" si="32"/>
        <v>10</v>
      </c>
      <c r="AT55" s="1">
        <f t="shared" si="33"/>
        <v>1.0999999999999996</v>
      </c>
      <c r="AU55" s="1">
        <f t="shared" si="34"/>
        <v>0.70000000000000107</v>
      </c>
      <c r="AV55" s="1">
        <f t="shared" si="35"/>
        <v>0.19999999999999929</v>
      </c>
      <c r="AW55" s="1">
        <f t="shared" si="36"/>
        <v>2</v>
      </c>
      <c r="AX55" s="1">
        <f t="shared" si="37"/>
        <v>0.66719666666666666</v>
      </c>
      <c r="BC55" s="1">
        <f t="shared" si="40"/>
        <v>1.8005300000000006</v>
      </c>
      <c r="BD55" s="1">
        <f t="shared" si="41"/>
        <v>117</v>
      </c>
      <c r="BE55" s="1">
        <f t="shared" si="42"/>
        <v>10</v>
      </c>
      <c r="BH55" s="1" t="str">
        <f t="shared" si="43"/>
        <v/>
      </c>
      <c r="BI55" s="1" t="str">
        <f>IF(A55="","",IF(BH55="","",RANK(BH55,$BH$3:$BH205,1)))</f>
        <v/>
      </c>
      <c r="BJ55" s="1">
        <f t="shared" si="44"/>
        <v>10</v>
      </c>
      <c r="BM55" s="1">
        <f t="shared" si="45"/>
        <v>0.61187500000000017</v>
      </c>
      <c r="BN55" s="1">
        <f>IF(A55="","",IF(BM55="","",RANK(BM55,$BM$3:$BM205,1)))</f>
        <v>30</v>
      </c>
      <c r="BO55" s="1">
        <f t="shared" si="46"/>
        <v>10</v>
      </c>
      <c r="BR55" s="1">
        <f t="shared" si="47"/>
        <v>10</v>
      </c>
      <c r="BS55" s="1" t="str">
        <f t="shared" si="48"/>
        <v>コンパウンダー　　　　　　　　　　　</v>
      </c>
      <c r="CD55" s="1" t="str">
        <f t="shared" si="52"/>
        <v/>
      </c>
      <c r="CE55" s="1" t="str">
        <f>IF(A55="","",IF(CD55="","",RANK(CD55,$CD$3:$CD205,1)))</f>
        <v/>
      </c>
      <c r="CF55" s="1">
        <f t="shared" si="53"/>
        <v>10</v>
      </c>
      <c r="CI55" s="1" t="str">
        <f t="shared" si="54"/>
        <v/>
      </c>
      <c r="CJ55" s="1" t="str">
        <f>IF(A55="","",IF(CI55="","",RANK(CI55,$CI$3:$CI205,1)))</f>
        <v/>
      </c>
      <c r="CK55" s="1">
        <f t="shared" si="55"/>
        <v>10</v>
      </c>
      <c r="CN55" s="1" t="str">
        <f t="shared" si="56"/>
        <v/>
      </c>
      <c r="CO55" s="1" t="str">
        <f>IF(A55="","",IF(CN55="","",RANK(CN55,$CN$3:$CN205,1)))</f>
        <v/>
      </c>
      <c r="CP55" s="1">
        <f t="shared" si="57"/>
        <v>10</v>
      </c>
      <c r="CS55" s="1" t="str">
        <f t="shared" si="58"/>
        <v/>
      </c>
      <c r="CT55" s="1" t="str">
        <f>IF(A55="","",IF(CS55="","",RANK(CS55,$CS$3:$CS205,1)))</f>
        <v/>
      </c>
      <c r="CU55" s="1">
        <f t="shared" si="59"/>
        <v>10</v>
      </c>
      <c r="CX55" s="1" t="str">
        <f t="shared" si="60"/>
        <v/>
      </c>
      <c r="CY55" s="1" t="str">
        <f>IF(CX55="","",IF(A55="","",RANK(CX55,$CX$3:$CX205,1)))</f>
        <v/>
      </c>
      <c r="CZ55" s="1">
        <f t="shared" si="61"/>
        <v>10</v>
      </c>
      <c r="DC55" s="1" t="str">
        <f t="shared" si="62"/>
        <v/>
      </c>
      <c r="DD55" s="1" t="str">
        <f>IF(DC55="","",IF(A55="","",RANK(DC55,$DC$3:$DC205,1)))</f>
        <v/>
      </c>
      <c r="DE55" s="1">
        <f t="shared" si="63"/>
        <v>10</v>
      </c>
      <c r="DH55" s="1" t="str">
        <f t="shared" si="64"/>
        <v/>
      </c>
      <c r="DI55" s="1" t="str">
        <f>IF(DH55="","",IF(A55="","",RANK(DH55,$DH$3:$DH205,1)))</f>
        <v/>
      </c>
      <c r="DJ55" s="1">
        <f t="shared" si="65"/>
        <v>10</v>
      </c>
      <c r="DM55" s="1" t="str">
        <f t="shared" si="66"/>
        <v/>
      </c>
      <c r="DN55" s="1" t="str">
        <f>IF(DM55="","",IF(A55="","",RANK(DM55,$DM$3:$DM205,1)))</f>
        <v/>
      </c>
      <c r="DO55" s="1">
        <f t="shared" si="67"/>
        <v>10</v>
      </c>
      <c r="DR55" s="1">
        <f t="shared" si="68"/>
        <v>14.500529999999999</v>
      </c>
      <c r="DS55" s="1">
        <f>IF(DR55="","",IF(A55="","",RANK(DR55,$DR$3:$DR205,1)))</f>
        <v>22</v>
      </c>
      <c r="DT55" s="1">
        <f t="shared" si="69"/>
        <v>10</v>
      </c>
      <c r="DW55" s="1">
        <f t="shared" si="70"/>
        <v>13.40053</v>
      </c>
      <c r="DX55" s="1">
        <f>IF(DW55="","",IF(A55="","",RANK(DW55,$DW$3:$DW205,1)))</f>
        <v>31</v>
      </c>
      <c r="DY55" s="1">
        <f t="shared" si="71"/>
        <v>10</v>
      </c>
      <c r="EB55" s="1">
        <f t="shared" si="72"/>
        <v>12.700529999999999</v>
      </c>
      <c r="EC55" s="1">
        <f>IF(EB55="","",IF(A55="","",RANK(EB55,$EB$3:$EB205,1)))</f>
        <v>68</v>
      </c>
      <c r="ED55" s="1">
        <f t="shared" si="73"/>
        <v>10</v>
      </c>
      <c r="EG55" s="1">
        <f t="shared" si="74"/>
        <v>12.500529999999999</v>
      </c>
      <c r="EH55" s="1">
        <f>IF(EG55="","",IF(A55="","",RANK(EG55,$EG$3:$EG205,1)))</f>
        <v>53</v>
      </c>
      <c r="EI55" s="1">
        <f t="shared" si="75"/>
        <v>10</v>
      </c>
    </row>
    <row r="56" spans="1:139" ht="18.75">
      <c r="A56" s="1" t="s">
        <v>88</v>
      </c>
      <c r="B56" s="1">
        <v>20190130</v>
      </c>
      <c r="C56" s="1" t="s">
        <v>92</v>
      </c>
      <c r="D56" s="1">
        <v>3</v>
      </c>
      <c r="E56" s="30">
        <v>54.8</v>
      </c>
      <c r="F56" s="30">
        <v>40.1</v>
      </c>
      <c r="G56" s="30">
        <v>25.8</v>
      </c>
      <c r="H56" s="30">
        <v>12.6</v>
      </c>
      <c r="I56" s="30">
        <v>14.7</v>
      </c>
      <c r="J56" s="30">
        <v>14.3</v>
      </c>
      <c r="K56" s="30">
        <v>13.2</v>
      </c>
      <c r="L56" s="30">
        <v>12.6</v>
      </c>
      <c r="M56" s="1" t="str">
        <f t="shared" si="13"/>
        <v>2019/01/30</v>
      </c>
      <c r="N56" s="4" t="str">
        <f t="shared" si="14"/>
        <v/>
      </c>
      <c r="O56">
        <v>5.4000000000000077E-4</v>
      </c>
      <c r="P56" s="1" t="str">
        <f t="shared" si="15"/>
        <v/>
      </c>
      <c r="Q56" s="1" t="str">
        <f t="shared" si="16"/>
        <v/>
      </c>
      <c r="R56" s="1">
        <f t="shared" si="17"/>
        <v>3</v>
      </c>
      <c r="U56" s="1">
        <f t="shared" si="18"/>
        <v>54.800539999999998</v>
      </c>
      <c r="V56" s="1">
        <f t="shared" si="19"/>
        <v>70</v>
      </c>
      <c r="W56" s="1">
        <f t="shared" si="20"/>
        <v>3</v>
      </c>
      <c r="Z56" s="1" t="str">
        <f t="shared" si="21"/>
        <v/>
      </c>
      <c r="AA56" s="1" t="str">
        <f t="shared" si="22"/>
        <v/>
      </c>
      <c r="AB56" s="1">
        <f t="shared" si="23"/>
        <v>3</v>
      </c>
      <c r="AE56" s="1">
        <f t="shared" si="24"/>
        <v>40.100540000000002</v>
      </c>
      <c r="AF56" s="1">
        <f t="shared" si="25"/>
        <v>81</v>
      </c>
      <c r="AG56" s="1">
        <f t="shared" si="26"/>
        <v>3</v>
      </c>
      <c r="AJ56" s="1" t="str">
        <f t="shared" si="27"/>
        <v/>
      </c>
      <c r="AK56" s="1" t="str">
        <f t="shared" si="28"/>
        <v/>
      </c>
      <c r="AL56" s="1">
        <f t="shared" si="29"/>
        <v>3</v>
      </c>
      <c r="AO56" s="1">
        <f t="shared" si="30"/>
        <v>25.800540000000002</v>
      </c>
      <c r="AP56" s="1">
        <f t="shared" si="31"/>
        <v>85</v>
      </c>
      <c r="AQ56" s="1">
        <f t="shared" si="32"/>
        <v>3</v>
      </c>
      <c r="AT56" s="1">
        <f t="shared" si="33"/>
        <v>0.39999999999999858</v>
      </c>
      <c r="AU56" s="1">
        <f t="shared" si="34"/>
        <v>1.1000000000000014</v>
      </c>
      <c r="AV56" s="1">
        <f t="shared" si="35"/>
        <v>0.59999999999999964</v>
      </c>
      <c r="AW56" s="1">
        <f t="shared" si="36"/>
        <v>2.0999999999999996</v>
      </c>
      <c r="AX56" s="1">
        <f t="shared" si="37"/>
        <v>0.70053999999999983</v>
      </c>
      <c r="BC56" s="1">
        <f t="shared" si="40"/>
        <v>1.50054</v>
      </c>
      <c r="BD56" s="1">
        <f t="shared" si="41"/>
        <v>132</v>
      </c>
      <c r="BE56" s="1">
        <f t="shared" si="42"/>
        <v>3</v>
      </c>
      <c r="BH56" s="1" t="str">
        <f t="shared" si="43"/>
        <v/>
      </c>
      <c r="BI56" s="1" t="str">
        <f>IF(A56="","",IF(BH56="","",RANK(BH56,$BH$3:$BH206,1)))</f>
        <v/>
      </c>
      <c r="BJ56" s="1">
        <f t="shared" si="44"/>
        <v>3</v>
      </c>
      <c r="BM56" s="1">
        <f t="shared" si="45"/>
        <v>0.70500000000000029</v>
      </c>
      <c r="BN56" s="1">
        <f>IF(A56="","",IF(BM56="","",RANK(BM56,$BM$3:$BM206,1)))</f>
        <v>39</v>
      </c>
      <c r="BO56" s="1">
        <f t="shared" si="46"/>
        <v>3</v>
      </c>
      <c r="BR56" s="1">
        <f t="shared" si="47"/>
        <v>3</v>
      </c>
      <c r="BS56" s="1" t="str">
        <f t="shared" si="48"/>
        <v>ディアボレット　　　　　　　　　　　</v>
      </c>
      <c r="CD56" s="1" t="str">
        <f t="shared" si="52"/>
        <v/>
      </c>
      <c r="CE56" s="1" t="str">
        <f>IF(A56="","",IF(CD56="","",RANK(CD56,$CD$3:$CD206,1)))</f>
        <v/>
      </c>
      <c r="CF56" s="1">
        <f t="shared" si="53"/>
        <v>3</v>
      </c>
      <c r="CI56" s="1" t="str">
        <f t="shared" si="54"/>
        <v/>
      </c>
      <c r="CJ56" s="1" t="str">
        <f>IF(A56="","",IF(CI56="","",RANK(CI56,$CI$3:$CI206,1)))</f>
        <v/>
      </c>
      <c r="CK56" s="1">
        <f t="shared" si="55"/>
        <v>3</v>
      </c>
      <c r="CN56" s="1" t="str">
        <f t="shared" si="56"/>
        <v/>
      </c>
      <c r="CO56" s="1" t="str">
        <f>IF(A56="","",IF(CN56="","",RANK(CN56,$CN$3:$CN206,1)))</f>
        <v/>
      </c>
      <c r="CP56" s="1">
        <f t="shared" si="57"/>
        <v>3</v>
      </c>
      <c r="CS56" s="1" t="str">
        <f t="shared" si="58"/>
        <v/>
      </c>
      <c r="CT56" s="1" t="str">
        <f>IF(A56="","",IF(CS56="","",RANK(CS56,$CS$3:$CS206,1)))</f>
        <v/>
      </c>
      <c r="CU56" s="1">
        <f t="shared" si="59"/>
        <v>3</v>
      </c>
      <c r="CX56" s="1" t="str">
        <f t="shared" si="60"/>
        <v/>
      </c>
      <c r="CY56" s="1" t="str">
        <f>IF(CX56="","",IF(A56="","",RANK(CX56,$CX$3:$CX206,1)))</f>
        <v/>
      </c>
      <c r="CZ56" s="1">
        <f t="shared" si="61"/>
        <v>3</v>
      </c>
      <c r="DC56" s="1" t="str">
        <f t="shared" si="62"/>
        <v/>
      </c>
      <c r="DD56" s="1" t="str">
        <f>IF(DC56="","",IF(A56="","",RANK(DC56,$DC$3:$DC206,1)))</f>
        <v/>
      </c>
      <c r="DE56" s="1">
        <f t="shared" si="63"/>
        <v>3</v>
      </c>
      <c r="DH56" s="1" t="str">
        <f t="shared" si="64"/>
        <v/>
      </c>
      <c r="DI56" s="1" t="str">
        <f>IF(DH56="","",IF(A56="","",RANK(DH56,$DH$3:$DH206,1)))</f>
        <v/>
      </c>
      <c r="DJ56" s="1">
        <f t="shared" si="65"/>
        <v>3</v>
      </c>
      <c r="DM56" s="1" t="str">
        <f t="shared" si="66"/>
        <v/>
      </c>
      <c r="DN56" s="1" t="str">
        <f>IF(DM56="","",IF(A56="","",RANK(DM56,$DM$3:$DM206,1)))</f>
        <v/>
      </c>
      <c r="DO56" s="1">
        <f t="shared" si="67"/>
        <v>3</v>
      </c>
      <c r="DR56" s="1">
        <f t="shared" si="68"/>
        <v>14.70054</v>
      </c>
      <c r="DS56" s="1">
        <f>IF(DR56="","",IF(A56="","",RANK(DR56,$DR$3:$DR206,1)))</f>
        <v>32</v>
      </c>
      <c r="DT56" s="1">
        <f t="shared" si="69"/>
        <v>3</v>
      </c>
      <c r="DW56" s="1">
        <f t="shared" si="70"/>
        <v>14.300540000000002</v>
      </c>
      <c r="DX56" s="1">
        <f>IF(DW56="","",IF(A56="","",RANK(DW56,$DW$3:$DW206,1)))</f>
        <v>90</v>
      </c>
      <c r="DY56" s="1">
        <f t="shared" si="71"/>
        <v>3</v>
      </c>
      <c r="EB56" s="1">
        <f t="shared" si="72"/>
        <v>13.20054</v>
      </c>
      <c r="EC56" s="1">
        <f>IF(EB56="","",IF(A56="","",RANK(EB56,$EB$3:$EB206,1)))</f>
        <v>91</v>
      </c>
      <c r="ED56" s="1">
        <f t="shared" si="73"/>
        <v>3</v>
      </c>
      <c r="EG56" s="1">
        <f t="shared" si="74"/>
        <v>12.600540000000001</v>
      </c>
      <c r="EH56" s="1">
        <f>IF(EG56="","",IF(A56="","",RANK(EG56,$EG$3:$EG206,1)))</f>
        <v>54</v>
      </c>
      <c r="EI56" s="1">
        <f t="shared" si="75"/>
        <v>3</v>
      </c>
    </row>
    <row r="57" spans="1:139" ht="18.75">
      <c r="A57" s="1" t="s">
        <v>88</v>
      </c>
      <c r="B57" s="1">
        <v>20190206</v>
      </c>
      <c r="C57" s="1" t="s">
        <v>97</v>
      </c>
      <c r="D57" s="1">
        <v>8</v>
      </c>
      <c r="E57" s="30">
        <v>55.6</v>
      </c>
      <c r="F57" s="30">
        <v>40.9</v>
      </c>
      <c r="G57" s="30">
        <v>26.3</v>
      </c>
      <c r="H57" s="30">
        <v>12.6</v>
      </c>
      <c r="I57" s="30">
        <v>14.7</v>
      </c>
      <c r="J57" s="30">
        <v>14.6</v>
      </c>
      <c r="K57" s="30">
        <v>13.7</v>
      </c>
      <c r="L57" s="30">
        <v>12.6</v>
      </c>
      <c r="M57" s="1" t="str">
        <f t="shared" si="13"/>
        <v>2019/02/06</v>
      </c>
      <c r="N57" s="4" t="str">
        <f t="shared" si="14"/>
        <v/>
      </c>
      <c r="O57">
        <v>5.5000000000000079E-4</v>
      </c>
      <c r="P57" s="1" t="str">
        <f t="shared" si="15"/>
        <v/>
      </c>
      <c r="Q57" s="1" t="str">
        <f t="shared" si="16"/>
        <v/>
      </c>
      <c r="R57" s="1">
        <f t="shared" si="17"/>
        <v>8</v>
      </c>
      <c r="U57" s="1">
        <f t="shared" si="18"/>
        <v>55.600549999999998</v>
      </c>
      <c r="V57" s="1">
        <f t="shared" si="19"/>
        <v>81</v>
      </c>
      <c r="W57" s="1">
        <f t="shared" si="20"/>
        <v>8</v>
      </c>
      <c r="Z57" s="1" t="str">
        <f t="shared" si="21"/>
        <v/>
      </c>
      <c r="AA57" s="1" t="str">
        <f t="shared" si="22"/>
        <v/>
      </c>
      <c r="AB57" s="1">
        <f t="shared" si="23"/>
        <v>8</v>
      </c>
      <c r="AE57" s="1">
        <f t="shared" si="24"/>
        <v>40.900549999999996</v>
      </c>
      <c r="AF57" s="1">
        <f t="shared" si="25"/>
        <v>100</v>
      </c>
      <c r="AG57" s="1">
        <f t="shared" si="26"/>
        <v>8</v>
      </c>
      <c r="AJ57" s="1" t="str">
        <f t="shared" si="27"/>
        <v/>
      </c>
      <c r="AK57" s="1" t="str">
        <f t="shared" si="28"/>
        <v/>
      </c>
      <c r="AL57" s="1">
        <f t="shared" si="29"/>
        <v>8</v>
      </c>
      <c r="AO57" s="1">
        <f t="shared" si="30"/>
        <v>26.300550000000001</v>
      </c>
      <c r="AP57" s="1">
        <f t="shared" si="31"/>
        <v>102</v>
      </c>
      <c r="AQ57" s="1">
        <f t="shared" si="32"/>
        <v>8</v>
      </c>
      <c r="AT57" s="1">
        <f t="shared" si="33"/>
        <v>9.9999999999999645E-2</v>
      </c>
      <c r="AU57" s="1">
        <f t="shared" si="34"/>
        <v>0.90000000000000036</v>
      </c>
      <c r="AV57" s="1">
        <f t="shared" si="35"/>
        <v>1.0999999999999996</v>
      </c>
      <c r="AW57" s="1">
        <f t="shared" si="36"/>
        <v>2.0999999999999996</v>
      </c>
      <c r="AX57" s="1">
        <f t="shared" si="37"/>
        <v>0.7005499999999999</v>
      </c>
      <c r="BC57" s="1">
        <f t="shared" si="40"/>
        <v>1.0005500000000001</v>
      </c>
      <c r="BD57" s="1">
        <f t="shared" si="41"/>
        <v>147</v>
      </c>
      <c r="BE57" s="1">
        <f t="shared" si="42"/>
        <v>8</v>
      </c>
      <c r="BH57" s="1" t="str">
        <f t="shared" si="43"/>
        <v/>
      </c>
      <c r="BI57" s="1" t="str">
        <f>IF(A57="","",IF(BH57="","",RANK(BH57,$BH$3:$BH207,1)))</f>
        <v/>
      </c>
      <c r="BJ57" s="1">
        <f t="shared" si="44"/>
        <v>8</v>
      </c>
      <c r="BM57" s="1">
        <f t="shared" si="45"/>
        <v>0.71499999999999986</v>
      </c>
      <c r="BN57" s="1">
        <f>IF(A57="","",IF(BM57="","",RANK(BM57,$BM$3:$BM207,1)))</f>
        <v>40</v>
      </c>
      <c r="BO57" s="1">
        <f t="shared" si="46"/>
        <v>8</v>
      </c>
      <c r="BR57" s="1">
        <f t="shared" si="47"/>
        <v>8</v>
      </c>
      <c r="BS57" s="1" t="str">
        <f t="shared" si="48"/>
        <v>タマモメイトウ　　　　　　　　　　　</v>
      </c>
      <c r="CD57" s="1" t="str">
        <f t="shared" si="52"/>
        <v/>
      </c>
      <c r="CE57" s="1" t="str">
        <f>IF(A57="","",IF(CD57="","",RANK(CD57,$CD$3:$CD207,1)))</f>
        <v/>
      </c>
      <c r="CF57" s="1">
        <f t="shared" si="53"/>
        <v>8</v>
      </c>
      <c r="CI57" s="1" t="str">
        <f t="shared" si="54"/>
        <v/>
      </c>
      <c r="CJ57" s="1" t="str">
        <f>IF(A57="","",IF(CI57="","",RANK(CI57,$CI$3:$CI207,1)))</f>
        <v/>
      </c>
      <c r="CK57" s="1">
        <f t="shared" si="55"/>
        <v>8</v>
      </c>
      <c r="CN57" s="1" t="str">
        <f t="shared" si="56"/>
        <v/>
      </c>
      <c r="CO57" s="1" t="str">
        <f>IF(A57="","",IF(CN57="","",RANK(CN57,$CN$3:$CN207,1)))</f>
        <v/>
      </c>
      <c r="CP57" s="1">
        <f t="shared" si="57"/>
        <v>8</v>
      </c>
      <c r="CS57" s="1" t="str">
        <f t="shared" si="58"/>
        <v/>
      </c>
      <c r="CT57" s="1" t="str">
        <f>IF(A57="","",IF(CS57="","",RANK(CS57,$CS$3:$CS207,1)))</f>
        <v/>
      </c>
      <c r="CU57" s="1">
        <f t="shared" si="59"/>
        <v>8</v>
      </c>
      <c r="CX57" s="1" t="str">
        <f t="shared" si="60"/>
        <v/>
      </c>
      <c r="CY57" s="1" t="str">
        <f>IF(CX57="","",IF(A57="","",RANK(CX57,$CX$3:$CX207,1)))</f>
        <v/>
      </c>
      <c r="CZ57" s="1">
        <f t="shared" si="61"/>
        <v>8</v>
      </c>
      <c r="DC57" s="1" t="str">
        <f t="shared" si="62"/>
        <v/>
      </c>
      <c r="DD57" s="1" t="str">
        <f>IF(DC57="","",IF(A57="","",RANK(DC57,$DC$3:$DC207,1)))</f>
        <v/>
      </c>
      <c r="DE57" s="1">
        <f t="shared" si="63"/>
        <v>8</v>
      </c>
      <c r="DH57" s="1" t="str">
        <f t="shared" si="64"/>
        <v/>
      </c>
      <c r="DI57" s="1" t="str">
        <f>IF(DH57="","",IF(A57="","",RANK(DH57,$DH$3:$DH207,1)))</f>
        <v/>
      </c>
      <c r="DJ57" s="1">
        <f t="shared" si="65"/>
        <v>8</v>
      </c>
      <c r="DM57" s="1" t="str">
        <f t="shared" si="66"/>
        <v/>
      </c>
      <c r="DN57" s="1" t="str">
        <f>IF(DM57="","",IF(A57="","",RANK(DM57,$DM$3:$DM207,1)))</f>
        <v/>
      </c>
      <c r="DO57" s="1">
        <f t="shared" si="67"/>
        <v>8</v>
      </c>
      <c r="DR57" s="1">
        <f t="shared" si="68"/>
        <v>14.70055</v>
      </c>
      <c r="DS57" s="1">
        <f>IF(DR57="","",IF(A57="","",RANK(DR57,$DR$3:$DR207,1)))</f>
        <v>33</v>
      </c>
      <c r="DT57" s="1">
        <f t="shared" si="69"/>
        <v>8</v>
      </c>
      <c r="DW57" s="1">
        <f t="shared" si="70"/>
        <v>14.60055</v>
      </c>
      <c r="DX57" s="1">
        <f>IF(DW57="","",IF(A57="","",RANK(DW57,$DW$3:$DW207,1)))</f>
        <v>104</v>
      </c>
      <c r="DY57" s="1">
        <f t="shared" si="71"/>
        <v>8</v>
      </c>
      <c r="EB57" s="1">
        <f t="shared" si="72"/>
        <v>13.70055</v>
      </c>
      <c r="EC57" s="1">
        <f>IF(EB57="","",IF(A57="","",RANK(EB57,$EB$3:$EB207,1)))</f>
        <v>113</v>
      </c>
      <c r="ED57" s="1">
        <f t="shared" si="73"/>
        <v>8</v>
      </c>
      <c r="EG57" s="1">
        <f t="shared" si="74"/>
        <v>12.60055</v>
      </c>
      <c r="EH57" s="1">
        <f>IF(EG57="","",IF(A57="","",RANK(EG57,$EG$3:$EG207,1)))</f>
        <v>55</v>
      </c>
      <c r="EI57" s="1">
        <f t="shared" si="75"/>
        <v>8</v>
      </c>
    </row>
    <row r="58" spans="1:139" ht="18.75">
      <c r="A58" s="1" t="s">
        <v>88</v>
      </c>
      <c r="B58" s="1">
        <v>20190330</v>
      </c>
      <c r="C58" s="1" t="s">
        <v>97</v>
      </c>
      <c r="D58" s="1">
        <v>8</v>
      </c>
      <c r="E58" s="30">
        <v>52.7</v>
      </c>
      <c r="F58" s="30">
        <v>38.1</v>
      </c>
      <c r="G58" s="30">
        <v>24.8</v>
      </c>
      <c r="H58" s="30">
        <v>12.6</v>
      </c>
      <c r="I58" s="30">
        <v>14.6</v>
      </c>
      <c r="J58" s="30">
        <v>13.3</v>
      </c>
      <c r="K58" s="30">
        <v>12.2</v>
      </c>
      <c r="L58" s="30">
        <v>12.6</v>
      </c>
      <c r="M58" s="1" t="str">
        <f t="shared" si="13"/>
        <v>2019/03/30</v>
      </c>
      <c r="N58" s="4" t="str">
        <f t="shared" si="14"/>
        <v/>
      </c>
      <c r="O58">
        <v>5.6000000000000082E-4</v>
      </c>
      <c r="P58" s="1" t="str">
        <f t="shared" si="15"/>
        <v/>
      </c>
      <c r="Q58" s="1" t="str">
        <f t="shared" si="16"/>
        <v/>
      </c>
      <c r="R58" s="1">
        <f t="shared" si="17"/>
        <v>8</v>
      </c>
      <c r="U58" s="1">
        <f t="shared" si="18"/>
        <v>52.700560000000003</v>
      </c>
      <c r="V58" s="1">
        <f t="shared" si="19"/>
        <v>19</v>
      </c>
      <c r="W58" s="1">
        <f t="shared" si="20"/>
        <v>8</v>
      </c>
      <c r="Z58" s="1" t="str">
        <f t="shared" si="21"/>
        <v/>
      </c>
      <c r="AA58" s="1" t="str">
        <f t="shared" si="22"/>
        <v/>
      </c>
      <c r="AB58" s="1">
        <f t="shared" si="23"/>
        <v>8</v>
      </c>
      <c r="AE58" s="1">
        <f t="shared" si="24"/>
        <v>38.100560000000002</v>
      </c>
      <c r="AF58" s="1">
        <f t="shared" si="25"/>
        <v>23</v>
      </c>
      <c r="AG58" s="1">
        <f t="shared" si="26"/>
        <v>8</v>
      </c>
      <c r="AJ58" s="1" t="str">
        <f t="shared" si="27"/>
        <v/>
      </c>
      <c r="AK58" s="1" t="str">
        <f t="shared" si="28"/>
        <v/>
      </c>
      <c r="AL58" s="1">
        <f t="shared" si="29"/>
        <v>8</v>
      </c>
      <c r="AO58" s="1">
        <f t="shared" si="30"/>
        <v>24.800560000000001</v>
      </c>
      <c r="AP58" s="1">
        <f t="shared" si="31"/>
        <v>32</v>
      </c>
      <c r="AQ58" s="1">
        <f t="shared" si="32"/>
        <v>8</v>
      </c>
      <c r="AT58" s="1">
        <f t="shared" si="33"/>
        <v>1.2999999999999989</v>
      </c>
      <c r="AU58" s="1">
        <f t="shared" si="34"/>
        <v>1.1000000000000014</v>
      </c>
      <c r="AV58" s="1">
        <f t="shared" si="35"/>
        <v>-0.40000000000000036</v>
      </c>
      <c r="AW58" s="1">
        <f t="shared" si="36"/>
        <v>2</v>
      </c>
      <c r="AX58" s="1">
        <f t="shared" si="37"/>
        <v>0</v>
      </c>
      <c r="BC58" s="1">
        <f t="shared" si="40"/>
        <v>2.4005600000000005</v>
      </c>
      <c r="BD58" s="1">
        <f t="shared" si="41"/>
        <v>81</v>
      </c>
      <c r="BE58" s="1">
        <f t="shared" si="42"/>
        <v>8</v>
      </c>
      <c r="BH58" s="1" t="str">
        <f t="shared" si="43"/>
        <v/>
      </c>
      <c r="BI58" s="1" t="str">
        <f>IF(A58="","",IF(BH58="","",RANK(BH58,$BH$3:$BH208,1)))</f>
        <v/>
      </c>
      <c r="BJ58" s="1">
        <f t="shared" si="44"/>
        <v>8</v>
      </c>
      <c r="BM58" s="1">
        <f t="shared" si="45"/>
        <v>0.83187500000000014</v>
      </c>
      <c r="BN58" s="1">
        <f>IF(A58="","",IF(BM58="","",RANK(BM58,$BM$3:$BM208,1)))</f>
        <v>50</v>
      </c>
      <c r="BO58" s="1">
        <f t="shared" si="46"/>
        <v>8</v>
      </c>
      <c r="BR58" s="1">
        <f t="shared" si="47"/>
        <v>8</v>
      </c>
      <c r="BS58" s="1" t="str">
        <f t="shared" si="48"/>
        <v>タマモメイトウ　　　　　　　　　　　</v>
      </c>
      <c r="CD58" s="1" t="str">
        <f t="shared" si="52"/>
        <v/>
      </c>
      <c r="CE58" s="1" t="str">
        <f>IF(A58="","",IF(CD58="","",RANK(CD58,$CD$3:$CD208,1)))</f>
        <v/>
      </c>
      <c r="CF58" s="1">
        <f t="shared" si="53"/>
        <v>8</v>
      </c>
      <c r="CI58" s="1" t="str">
        <f t="shared" si="54"/>
        <v/>
      </c>
      <c r="CJ58" s="1" t="str">
        <f>IF(A58="","",IF(CI58="","",RANK(CI58,$CI$3:$CI208,1)))</f>
        <v/>
      </c>
      <c r="CK58" s="1">
        <f t="shared" si="55"/>
        <v>8</v>
      </c>
      <c r="CN58" s="1" t="str">
        <f t="shared" si="56"/>
        <v/>
      </c>
      <c r="CO58" s="1" t="str">
        <f>IF(A58="","",IF(CN58="","",RANK(CN58,$CN$3:$CN208,1)))</f>
        <v/>
      </c>
      <c r="CP58" s="1">
        <f t="shared" si="57"/>
        <v>8</v>
      </c>
      <c r="CS58" s="1" t="str">
        <f t="shared" si="58"/>
        <v/>
      </c>
      <c r="CT58" s="1" t="str">
        <f>IF(A58="","",IF(CS58="","",RANK(CS58,$CS$3:$CS208,1)))</f>
        <v/>
      </c>
      <c r="CU58" s="1">
        <f t="shared" si="59"/>
        <v>8</v>
      </c>
      <c r="CX58" s="1" t="str">
        <f t="shared" si="60"/>
        <v/>
      </c>
      <c r="CY58" s="1" t="str">
        <f>IF(CX58="","",IF(A58="","",RANK(CX58,$CX$3:$CX208,1)))</f>
        <v/>
      </c>
      <c r="CZ58" s="1">
        <f t="shared" si="61"/>
        <v>8</v>
      </c>
      <c r="DC58" s="1" t="str">
        <f t="shared" si="62"/>
        <v/>
      </c>
      <c r="DD58" s="1" t="str">
        <f>IF(DC58="","",IF(A58="","",RANK(DC58,$DC$3:$DC208,1)))</f>
        <v/>
      </c>
      <c r="DE58" s="1">
        <f t="shared" si="63"/>
        <v>8</v>
      </c>
      <c r="DH58" s="1" t="str">
        <f t="shared" si="64"/>
        <v/>
      </c>
      <c r="DI58" s="1" t="str">
        <f>IF(DH58="","",IF(A58="","",RANK(DH58,$DH$3:$DH208,1)))</f>
        <v/>
      </c>
      <c r="DJ58" s="1">
        <f t="shared" si="65"/>
        <v>8</v>
      </c>
      <c r="DM58" s="1" t="str">
        <f t="shared" si="66"/>
        <v/>
      </c>
      <c r="DN58" s="1" t="str">
        <f>IF(DM58="","",IF(A58="","",RANK(DM58,$DM$3:$DM208,1)))</f>
        <v/>
      </c>
      <c r="DO58" s="1">
        <f t="shared" si="67"/>
        <v>8</v>
      </c>
      <c r="DR58" s="1">
        <f t="shared" si="68"/>
        <v>14.60056</v>
      </c>
      <c r="DS58" s="1">
        <f>IF(DR58="","",IF(A58="","",RANK(DR58,$DR$3:$DR208,1)))</f>
        <v>27</v>
      </c>
      <c r="DT58" s="1">
        <f t="shared" si="69"/>
        <v>8</v>
      </c>
      <c r="DW58" s="1">
        <f t="shared" si="70"/>
        <v>13.300560000000001</v>
      </c>
      <c r="DX58" s="1">
        <f>IF(DW58="","",IF(A58="","",RANK(DW58,$DW$3:$DW208,1)))</f>
        <v>23</v>
      </c>
      <c r="DY58" s="1">
        <f t="shared" si="71"/>
        <v>8</v>
      </c>
      <c r="EB58" s="1">
        <f t="shared" si="72"/>
        <v>12.200559999999999</v>
      </c>
      <c r="EC58" s="1">
        <f>IF(EB58="","",IF(A58="","",RANK(EB58,$EB$3:$EB208,1)))</f>
        <v>17</v>
      </c>
      <c r="ED58" s="1">
        <f t="shared" si="73"/>
        <v>8</v>
      </c>
      <c r="EG58" s="1">
        <f t="shared" si="74"/>
        <v>12.60056</v>
      </c>
      <c r="EH58" s="1">
        <f>IF(EG58="","",IF(A58="","",RANK(EG58,$EG$3:$EG208,1)))</f>
        <v>56</v>
      </c>
      <c r="EI58" s="1">
        <f t="shared" si="75"/>
        <v>8</v>
      </c>
    </row>
    <row r="59" spans="1:139" ht="18.75">
      <c r="A59" s="1" t="s">
        <v>88</v>
      </c>
      <c r="B59" s="1">
        <v>20190605</v>
      </c>
      <c r="C59" s="1" t="s">
        <v>95</v>
      </c>
      <c r="D59" s="1">
        <v>6</v>
      </c>
      <c r="E59" s="30">
        <v>52.4</v>
      </c>
      <c r="F59" s="30">
        <v>38.6</v>
      </c>
      <c r="G59" s="30">
        <v>25.1</v>
      </c>
      <c r="H59" s="30">
        <v>12.6</v>
      </c>
      <c r="I59" s="30">
        <v>13.8</v>
      </c>
      <c r="J59" s="30">
        <v>13.5</v>
      </c>
      <c r="K59" s="30">
        <v>12.5</v>
      </c>
      <c r="L59" s="30">
        <v>12.6</v>
      </c>
      <c r="M59" s="1" t="str">
        <f t="shared" si="13"/>
        <v>2019/06/05</v>
      </c>
      <c r="N59" s="4" t="str">
        <f t="shared" si="14"/>
        <v/>
      </c>
      <c r="O59">
        <v>5.7000000000000084E-4</v>
      </c>
      <c r="P59" s="1" t="str">
        <f t="shared" si="15"/>
        <v/>
      </c>
      <c r="Q59" s="1" t="str">
        <f t="shared" si="16"/>
        <v/>
      </c>
      <c r="R59" s="1">
        <f t="shared" si="17"/>
        <v>6</v>
      </c>
      <c r="U59" s="1">
        <f t="shared" si="18"/>
        <v>52.400570000000002</v>
      </c>
      <c r="V59" s="1">
        <f t="shared" si="19"/>
        <v>16</v>
      </c>
      <c r="W59" s="1">
        <f t="shared" si="20"/>
        <v>6</v>
      </c>
      <c r="Z59" s="1" t="str">
        <f t="shared" si="21"/>
        <v/>
      </c>
      <c r="AA59" s="1" t="str">
        <f t="shared" si="22"/>
        <v/>
      </c>
      <c r="AB59" s="1">
        <f t="shared" si="23"/>
        <v>6</v>
      </c>
      <c r="AE59" s="1">
        <f t="shared" si="24"/>
        <v>38.600570000000005</v>
      </c>
      <c r="AF59" s="1">
        <f t="shared" si="25"/>
        <v>47</v>
      </c>
      <c r="AG59" s="1">
        <f t="shared" si="26"/>
        <v>6</v>
      </c>
      <c r="AJ59" s="1" t="str">
        <f t="shared" si="27"/>
        <v/>
      </c>
      <c r="AK59" s="1" t="str">
        <f t="shared" si="28"/>
        <v/>
      </c>
      <c r="AL59" s="1">
        <f t="shared" si="29"/>
        <v>6</v>
      </c>
      <c r="AO59" s="1">
        <f t="shared" si="30"/>
        <v>25.100570000000001</v>
      </c>
      <c r="AP59" s="1">
        <f t="shared" si="31"/>
        <v>53</v>
      </c>
      <c r="AQ59" s="1">
        <f t="shared" si="32"/>
        <v>6</v>
      </c>
      <c r="AT59" s="1">
        <f t="shared" si="33"/>
        <v>0.30000000000000071</v>
      </c>
      <c r="AU59" s="1">
        <f t="shared" si="34"/>
        <v>1</v>
      </c>
      <c r="AV59" s="1">
        <f t="shared" si="35"/>
        <v>-9.9999999999999645E-2</v>
      </c>
      <c r="AW59" s="1">
        <f t="shared" si="36"/>
        <v>1.2000000000000011</v>
      </c>
      <c r="AX59" s="1">
        <f t="shared" si="37"/>
        <v>0</v>
      </c>
      <c r="BC59" s="1">
        <f t="shared" si="40"/>
        <v>1.3005700000000007</v>
      </c>
      <c r="BD59" s="1">
        <f t="shared" si="41"/>
        <v>138</v>
      </c>
      <c r="BE59" s="1">
        <f t="shared" si="42"/>
        <v>6</v>
      </c>
      <c r="BH59" s="1" t="str">
        <f t="shared" si="43"/>
        <v/>
      </c>
      <c r="BI59" s="1" t="str">
        <f>IF(A59="","",IF(BH59="","",RANK(BH59,$BH$3:$BH209,1)))</f>
        <v/>
      </c>
      <c r="BJ59" s="1">
        <f t="shared" si="44"/>
        <v>6</v>
      </c>
      <c r="BM59" s="1">
        <f t="shared" si="45"/>
        <v>0.31500000000000034</v>
      </c>
      <c r="BN59" s="1">
        <f>IF(A59="","",IF(BM59="","",RANK(BM59,$BM$3:$BM209,1)))</f>
        <v>10</v>
      </c>
      <c r="BO59" s="1">
        <f t="shared" si="46"/>
        <v>6</v>
      </c>
      <c r="BR59" s="1">
        <f t="shared" si="47"/>
        <v>6</v>
      </c>
      <c r="BS59" s="1" t="str">
        <f t="shared" si="48"/>
        <v>ミカエルシチー　　　　　　　　　　　</v>
      </c>
      <c r="CD59" s="1" t="str">
        <f t="shared" si="52"/>
        <v/>
      </c>
      <c r="CE59" s="1" t="str">
        <f>IF(A59="","",IF(CD59="","",RANK(CD59,$CD$3:$CD209,1)))</f>
        <v/>
      </c>
      <c r="CF59" s="1">
        <f t="shared" si="53"/>
        <v>6</v>
      </c>
      <c r="CI59" s="1" t="str">
        <f t="shared" si="54"/>
        <v/>
      </c>
      <c r="CJ59" s="1" t="str">
        <f>IF(A59="","",IF(CI59="","",RANK(CI59,$CI$3:$CI209,1)))</f>
        <v/>
      </c>
      <c r="CK59" s="1">
        <f t="shared" si="55"/>
        <v>6</v>
      </c>
      <c r="CN59" s="1" t="str">
        <f t="shared" si="56"/>
        <v/>
      </c>
      <c r="CO59" s="1" t="str">
        <f>IF(A59="","",IF(CN59="","",RANK(CN59,$CN$3:$CN209,1)))</f>
        <v/>
      </c>
      <c r="CP59" s="1">
        <f t="shared" si="57"/>
        <v>6</v>
      </c>
      <c r="CS59" s="1" t="str">
        <f t="shared" si="58"/>
        <v/>
      </c>
      <c r="CT59" s="1" t="str">
        <f>IF(A59="","",IF(CS59="","",RANK(CS59,$CS$3:$CS209,1)))</f>
        <v/>
      </c>
      <c r="CU59" s="1">
        <f t="shared" si="59"/>
        <v>6</v>
      </c>
      <c r="CX59" s="1" t="str">
        <f t="shared" si="60"/>
        <v/>
      </c>
      <c r="CY59" s="1" t="str">
        <f>IF(CX59="","",IF(A59="","",RANK(CX59,$CX$3:$CX209,1)))</f>
        <v/>
      </c>
      <c r="CZ59" s="1">
        <f t="shared" si="61"/>
        <v>6</v>
      </c>
      <c r="DC59" s="1" t="str">
        <f t="shared" si="62"/>
        <v/>
      </c>
      <c r="DD59" s="1" t="str">
        <f>IF(DC59="","",IF(A59="","",RANK(DC59,$DC$3:$DC209,1)))</f>
        <v/>
      </c>
      <c r="DE59" s="1">
        <f t="shared" si="63"/>
        <v>6</v>
      </c>
      <c r="DH59" s="1" t="str">
        <f t="shared" si="64"/>
        <v/>
      </c>
      <c r="DI59" s="1" t="str">
        <f>IF(DH59="","",IF(A59="","",RANK(DH59,$DH$3:$DH209,1)))</f>
        <v/>
      </c>
      <c r="DJ59" s="1">
        <f t="shared" si="65"/>
        <v>6</v>
      </c>
      <c r="DM59" s="1" t="str">
        <f t="shared" si="66"/>
        <v/>
      </c>
      <c r="DN59" s="1" t="str">
        <f>IF(DM59="","",IF(A59="","",RANK(DM59,$DM$3:$DM209,1)))</f>
        <v/>
      </c>
      <c r="DO59" s="1">
        <f t="shared" si="67"/>
        <v>6</v>
      </c>
      <c r="DR59" s="1">
        <f t="shared" si="68"/>
        <v>13.80057</v>
      </c>
      <c r="DS59" s="1">
        <f>IF(DR59="","",IF(A59="","",RANK(DR59,$DR$3:$DR209,1)))</f>
        <v>5</v>
      </c>
      <c r="DT59" s="1">
        <f t="shared" si="69"/>
        <v>6</v>
      </c>
      <c r="DW59" s="1">
        <f t="shared" si="70"/>
        <v>13.50057</v>
      </c>
      <c r="DX59" s="1">
        <f>IF(DW59="","",IF(A59="","",RANK(DW59,$DW$3:$DW209,1)))</f>
        <v>41</v>
      </c>
      <c r="DY59" s="1">
        <f t="shared" si="71"/>
        <v>6</v>
      </c>
      <c r="EB59" s="1">
        <f t="shared" si="72"/>
        <v>12.50057</v>
      </c>
      <c r="EC59" s="1">
        <f>IF(EB59="","",IF(A59="","",RANK(EB59,$EB$3:$EB209,1)))</f>
        <v>47</v>
      </c>
      <c r="ED59" s="1">
        <f t="shared" si="73"/>
        <v>6</v>
      </c>
      <c r="EG59" s="1">
        <f t="shared" si="74"/>
        <v>12.600569999999999</v>
      </c>
      <c r="EH59" s="1">
        <f>IF(EG59="","",IF(A59="","",RANK(EG59,$EG$3:$EG209,1)))</f>
        <v>57</v>
      </c>
      <c r="EI59" s="1">
        <f t="shared" si="75"/>
        <v>6</v>
      </c>
    </row>
    <row r="60" spans="1:139" ht="18.75">
      <c r="A60" s="1" t="s">
        <v>88</v>
      </c>
      <c r="B60" s="1">
        <v>20190606</v>
      </c>
      <c r="C60" s="1" t="s">
        <v>93</v>
      </c>
      <c r="D60" s="1">
        <v>4</v>
      </c>
      <c r="E60" s="30">
        <v>56.6</v>
      </c>
      <c r="F60" s="30">
        <v>41</v>
      </c>
      <c r="G60" s="30">
        <v>26.3</v>
      </c>
      <c r="H60" s="30">
        <v>12.6</v>
      </c>
      <c r="I60" s="30">
        <v>15.6</v>
      </c>
      <c r="J60" s="30">
        <v>14.7</v>
      </c>
      <c r="K60" s="30">
        <v>13.7</v>
      </c>
      <c r="L60" s="30">
        <v>12.6</v>
      </c>
      <c r="M60" s="1" t="str">
        <f t="shared" si="13"/>
        <v>2019/06/06</v>
      </c>
      <c r="N60" s="4" t="str">
        <f t="shared" si="14"/>
        <v/>
      </c>
      <c r="O60">
        <v>5.8000000000000087E-4</v>
      </c>
      <c r="P60" s="1" t="str">
        <f t="shared" si="15"/>
        <v/>
      </c>
      <c r="Q60" s="1" t="str">
        <f t="shared" si="16"/>
        <v/>
      </c>
      <c r="R60" s="1">
        <f t="shared" si="17"/>
        <v>4</v>
      </c>
      <c r="U60" s="1">
        <f t="shared" si="18"/>
        <v>56.600580000000001</v>
      </c>
      <c r="V60" s="1">
        <f t="shared" si="19"/>
        <v>94</v>
      </c>
      <c r="W60" s="1">
        <f t="shared" si="20"/>
        <v>4</v>
      </c>
      <c r="Z60" s="1" t="str">
        <f t="shared" si="21"/>
        <v/>
      </c>
      <c r="AA60" s="1" t="str">
        <f t="shared" si="22"/>
        <v/>
      </c>
      <c r="AB60" s="1">
        <f t="shared" si="23"/>
        <v>4</v>
      </c>
      <c r="AE60" s="1">
        <f t="shared" si="24"/>
        <v>41.000579999999999</v>
      </c>
      <c r="AF60" s="1">
        <f t="shared" si="25"/>
        <v>102</v>
      </c>
      <c r="AG60" s="1">
        <f t="shared" si="26"/>
        <v>4</v>
      </c>
      <c r="AJ60" s="1" t="str">
        <f t="shared" si="27"/>
        <v/>
      </c>
      <c r="AK60" s="1" t="str">
        <f t="shared" si="28"/>
        <v/>
      </c>
      <c r="AL60" s="1">
        <f t="shared" si="29"/>
        <v>4</v>
      </c>
      <c r="AO60" s="1">
        <f t="shared" si="30"/>
        <v>26.30058</v>
      </c>
      <c r="AP60" s="1">
        <f t="shared" si="31"/>
        <v>103</v>
      </c>
      <c r="AQ60" s="1">
        <f t="shared" si="32"/>
        <v>4</v>
      </c>
      <c r="AT60" s="1">
        <f t="shared" si="33"/>
        <v>0.90000000000000036</v>
      </c>
      <c r="AU60" s="1">
        <f t="shared" si="34"/>
        <v>1</v>
      </c>
      <c r="AV60" s="1">
        <f t="shared" si="35"/>
        <v>1.0999999999999996</v>
      </c>
      <c r="AW60" s="1">
        <f t="shared" si="36"/>
        <v>3</v>
      </c>
      <c r="AX60" s="1">
        <f t="shared" si="37"/>
        <v>1.00058</v>
      </c>
      <c r="BC60" s="1">
        <f t="shared" si="40"/>
        <v>1.9005800000000004</v>
      </c>
      <c r="BD60" s="1">
        <f t="shared" si="41"/>
        <v>113</v>
      </c>
      <c r="BE60" s="1">
        <f t="shared" si="42"/>
        <v>4</v>
      </c>
      <c r="BH60" s="1" t="str">
        <f t="shared" si="43"/>
        <v/>
      </c>
      <c r="BI60" s="1" t="str">
        <f>IF(A60="","",IF(BH60="","",RANK(BH60,$BH$3:$BH210,1)))</f>
        <v/>
      </c>
      <c r="BJ60" s="1">
        <f t="shared" si="44"/>
        <v>4</v>
      </c>
      <c r="BM60" s="1">
        <f t="shared" si="45"/>
        <v>1.2524999999999999</v>
      </c>
      <c r="BN60" s="1">
        <f>IF(A60="","",IF(BM60="","",RANK(BM60,$BM$3:$BM210,1)))</f>
        <v>78</v>
      </c>
      <c r="BO60" s="1">
        <f t="shared" si="46"/>
        <v>4</v>
      </c>
      <c r="BR60" s="1">
        <f t="shared" si="47"/>
        <v>4</v>
      </c>
      <c r="BS60" s="1" t="str">
        <f t="shared" si="48"/>
        <v>ウィズ　　　　　　　　　　　　　　　</v>
      </c>
      <c r="CD60" s="1" t="str">
        <f t="shared" si="52"/>
        <v/>
      </c>
      <c r="CE60" s="1" t="str">
        <f>IF(A60="","",IF(CD60="","",RANK(CD60,$CD$3:$CD210,1)))</f>
        <v/>
      </c>
      <c r="CF60" s="1">
        <f t="shared" si="53"/>
        <v>4</v>
      </c>
      <c r="CI60" s="1" t="str">
        <f t="shared" si="54"/>
        <v/>
      </c>
      <c r="CJ60" s="1" t="str">
        <f>IF(A60="","",IF(CI60="","",RANK(CI60,$CI$3:$CI210,1)))</f>
        <v/>
      </c>
      <c r="CK60" s="1">
        <f t="shared" si="55"/>
        <v>4</v>
      </c>
      <c r="CN60" s="1" t="str">
        <f t="shared" si="56"/>
        <v/>
      </c>
      <c r="CO60" s="1" t="str">
        <f>IF(A60="","",IF(CN60="","",RANK(CN60,$CN$3:$CN210,1)))</f>
        <v/>
      </c>
      <c r="CP60" s="1">
        <f t="shared" si="57"/>
        <v>4</v>
      </c>
      <c r="CS60" s="1" t="str">
        <f t="shared" si="58"/>
        <v/>
      </c>
      <c r="CT60" s="1" t="str">
        <f>IF(A60="","",IF(CS60="","",RANK(CS60,$CS$3:$CS210,1)))</f>
        <v/>
      </c>
      <c r="CU60" s="1">
        <f t="shared" si="59"/>
        <v>4</v>
      </c>
      <c r="CX60" s="1" t="str">
        <f t="shared" si="60"/>
        <v/>
      </c>
      <c r="CY60" s="1" t="str">
        <f>IF(CX60="","",IF(A60="","",RANK(CX60,$CX$3:$CX210,1)))</f>
        <v/>
      </c>
      <c r="CZ60" s="1">
        <f t="shared" si="61"/>
        <v>4</v>
      </c>
      <c r="DC60" s="1" t="str">
        <f t="shared" si="62"/>
        <v/>
      </c>
      <c r="DD60" s="1" t="str">
        <f>IF(DC60="","",IF(A60="","",RANK(DC60,$DC$3:$DC210,1)))</f>
        <v/>
      </c>
      <c r="DE60" s="1">
        <f t="shared" si="63"/>
        <v>4</v>
      </c>
      <c r="DH60" s="1" t="str">
        <f t="shared" si="64"/>
        <v/>
      </c>
      <c r="DI60" s="1" t="str">
        <f>IF(DH60="","",IF(A60="","",RANK(DH60,$DH$3:$DH210,1)))</f>
        <v/>
      </c>
      <c r="DJ60" s="1">
        <f t="shared" si="65"/>
        <v>4</v>
      </c>
      <c r="DM60" s="1" t="str">
        <f t="shared" si="66"/>
        <v/>
      </c>
      <c r="DN60" s="1" t="str">
        <f>IF(DM60="","",IF(A60="","",RANK(DM60,$DM$3:$DM210,1)))</f>
        <v/>
      </c>
      <c r="DO60" s="1">
        <f t="shared" si="67"/>
        <v>4</v>
      </c>
      <c r="DR60" s="1">
        <f t="shared" si="68"/>
        <v>15.600579999999999</v>
      </c>
      <c r="DS60" s="1">
        <f>IF(DR60="","",IF(A60="","",RANK(DR60,$DR$3:$DR210,1)))</f>
        <v>75</v>
      </c>
      <c r="DT60" s="1">
        <f t="shared" si="69"/>
        <v>4</v>
      </c>
      <c r="DW60" s="1">
        <f t="shared" si="70"/>
        <v>14.700579999999999</v>
      </c>
      <c r="DX60" s="1">
        <f>IF(DW60="","",IF(A60="","",RANK(DW60,$DW$3:$DW210,1)))</f>
        <v>110</v>
      </c>
      <c r="DY60" s="1">
        <f t="shared" si="71"/>
        <v>4</v>
      </c>
      <c r="EB60" s="1">
        <f t="shared" si="72"/>
        <v>13.700579999999999</v>
      </c>
      <c r="EC60" s="1">
        <f>IF(EB60="","",IF(A60="","",RANK(EB60,$EB$3:$EB210,1)))</f>
        <v>114</v>
      </c>
      <c r="ED60" s="1">
        <f t="shared" si="73"/>
        <v>4</v>
      </c>
      <c r="EG60" s="1">
        <f t="shared" si="74"/>
        <v>12.600579999999999</v>
      </c>
      <c r="EH60" s="1">
        <f>IF(EG60="","",IF(A60="","",RANK(EG60,$EG$3:$EG210,1)))</f>
        <v>58</v>
      </c>
      <c r="EI60" s="1">
        <f t="shared" si="75"/>
        <v>4</v>
      </c>
    </row>
    <row r="61" spans="1:139" ht="18.75">
      <c r="A61" s="1" t="s">
        <v>88</v>
      </c>
      <c r="B61" s="1">
        <v>20190609</v>
      </c>
      <c r="C61" s="1" t="s">
        <v>93</v>
      </c>
      <c r="D61" s="1">
        <v>4</v>
      </c>
      <c r="E61" s="30">
        <v>54.4</v>
      </c>
      <c r="F61" s="30">
        <v>39.299999999999997</v>
      </c>
      <c r="G61" s="30">
        <v>25.3</v>
      </c>
      <c r="H61" s="30">
        <v>12.6</v>
      </c>
      <c r="I61" s="30">
        <v>15.1</v>
      </c>
      <c r="J61" s="30">
        <v>14</v>
      </c>
      <c r="K61" s="30">
        <v>12.7</v>
      </c>
      <c r="L61" s="30">
        <v>12.6</v>
      </c>
      <c r="M61" s="1" t="str">
        <f t="shared" si="13"/>
        <v>2019/06/09</v>
      </c>
      <c r="N61" s="4" t="str">
        <f t="shared" si="14"/>
        <v/>
      </c>
      <c r="O61">
        <v>5.900000000000009E-4</v>
      </c>
      <c r="P61" s="1" t="str">
        <f t="shared" si="15"/>
        <v/>
      </c>
      <c r="Q61" s="1" t="str">
        <f t="shared" si="16"/>
        <v/>
      </c>
      <c r="R61" s="1">
        <f t="shared" si="17"/>
        <v>4</v>
      </c>
      <c r="U61" s="1">
        <f t="shared" si="18"/>
        <v>54.400590000000001</v>
      </c>
      <c r="V61" s="1">
        <f t="shared" si="19"/>
        <v>54</v>
      </c>
      <c r="W61" s="1">
        <f t="shared" si="20"/>
        <v>4</v>
      </c>
      <c r="Z61" s="1" t="str">
        <f t="shared" si="21"/>
        <v/>
      </c>
      <c r="AA61" s="1" t="str">
        <f t="shared" si="22"/>
        <v/>
      </c>
      <c r="AB61" s="1">
        <f t="shared" si="23"/>
        <v>4</v>
      </c>
      <c r="AE61" s="1">
        <f t="shared" si="24"/>
        <v>39.30059</v>
      </c>
      <c r="AF61" s="1">
        <f t="shared" si="25"/>
        <v>66</v>
      </c>
      <c r="AG61" s="1">
        <f t="shared" si="26"/>
        <v>4</v>
      </c>
      <c r="AJ61" s="1" t="str">
        <f t="shared" si="27"/>
        <v/>
      </c>
      <c r="AK61" s="1" t="str">
        <f t="shared" si="28"/>
        <v/>
      </c>
      <c r="AL61" s="1">
        <f t="shared" si="29"/>
        <v>4</v>
      </c>
      <c r="AO61" s="1">
        <f t="shared" si="30"/>
        <v>25.30059</v>
      </c>
      <c r="AP61" s="1">
        <f t="shared" si="31"/>
        <v>59</v>
      </c>
      <c r="AQ61" s="1">
        <f t="shared" si="32"/>
        <v>4</v>
      </c>
      <c r="AT61" s="1">
        <f t="shared" si="33"/>
        <v>1.0999999999999996</v>
      </c>
      <c r="AU61" s="1">
        <f t="shared" si="34"/>
        <v>1.3000000000000007</v>
      </c>
      <c r="AV61" s="1">
        <f t="shared" si="35"/>
        <v>9.9999999999999645E-2</v>
      </c>
      <c r="AW61" s="1">
        <f t="shared" si="36"/>
        <v>2.5</v>
      </c>
      <c r="AX61" s="1">
        <f t="shared" si="37"/>
        <v>0.83392333333333335</v>
      </c>
      <c r="BC61" s="1">
        <f t="shared" si="40"/>
        <v>2.4005900000000002</v>
      </c>
      <c r="BD61" s="1">
        <f t="shared" si="41"/>
        <v>80</v>
      </c>
      <c r="BE61" s="1">
        <f t="shared" si="42"/>
        <v>4</v>
      </c>
      <c r="BH61" s="1" t="str">
        <f t="shared" si="43"/>
        <v/>
      </c>
      <c r="BI61" s="1" t="str">
        <f>IF(A61="","",IF(BH61="","",RANK(BH61,$BH$3:$BH211,1)))</f>
        <v/>
      </c>
      <c r="BJ61" s="1">
        <f t="shared" si="44"/>
        <v>4</v>
      </c>
      <c r="BM61" s="1">
        <f t="shared" si="45"/>
        <v>1.0550000000000002</v>
      </c>
      <c r="BN61" s="1">
        <f>IF(A61="","",IF(BM61="","",RANK(BM61,$BM$3:$BM211,1)))</f>
        <v>61</v>
      </c>
      <c r="BO61" s="1">
        <f t="shared" si="46"/>
        <v>4</v>
      </c>
      <c r="BR61" s="1">
        <f t="shared" si="47"/>
        <v>4</v>
      </c>
      <c r="BS61" s="1" t="str">
        <f t="shared" si="48"/>
        <v>ウィズ　　　　　　　　　　　　　　　</v>
      </c>
      <c r="CD61" s="1" t="str">
        <f t="shared" si="52"/>
        <v/>
      </c>
      <c r="CE61" s="1" t="str">
        <f>IF(A61="","",IF(CD61="","",RANK(CD61,$CD$3:$CD211,1)))</f>
        <v/>
      </c>
      <c r="CF61" s="1">
        <f t="shared" si="53"/>
        <v>4</v>
      </c>
      <c r="CI61" s="1" t="str">
        <f t="shared" si="54"/>
        <v/>
      </c>
      <c r="CJ61" s="1" t="str">
        <f>IF(A61="","",IF(CI61="","",RANK(CI61,$CI$3:$CI211,1)))</f>
        <v/>
      </c>
      <c r="CK61" s="1">
        <f t="shared" si="55"/>
        <v>4</v>
      </c>
      <c r="CN61" s="1" t="str">
        <f t="shared" si="56"/>
        <v/>
      </c>
      <c r="CO61" s="1" t="str">
        <f>IF(A61="","",IF(CN61="","",RANK(CN61,$CN$3:$CN211,1)))</f>
        <v/>
      </c>
      <c r="CP61" s="1">
        <f t="shared" si="57"/>
        <v>4</v>
      </c>
      <c r="CS61" s="1" t="str">
        <f t="shared" si="58"/>
        <v/>
      </c>
      <c r="CT61" s="1" t="str">
        <f>IF(A61="","",IF(CS61="","",RANK(CS61,$CS$3:$CS211,1)))</f>
        <v/>
      </c>
      <c r="CU61" s="1">
        <f t="shared" si="59"/>
        <v>4</v>
      </c>
      <c r="CX61" s="1" t="str">
        <f t="shared" si="60"/>
        <v/>
      </c>
      <c r="CY61" s="1" t="str">
        <f>IF(CX61="","",IF(A61="","",RANK(CX61,$CX$3:$CX211,1)))</f>
        <v/>
      </c>
      <c r="CZ61" s="1">
        <f t="shared" si="61"/>
        <v>4</v>
      </c>
      <c r="DC61" s="1" t="str">
        <f t="shared" si="62"/>
        <v/>
      </c>
      <c r="DD61" s="1" t="str">
        <f>IF(DC61="","",IF(A61="","",RANK(DC61,$DC$3:$DC211,1)))</f>
        <v/>
      </c>
      <c r="DE61" s="1">
        <f t="shared" si="63"/>
        <v>4</v>
      </c>
      <c r="DH61" s="1" t="str">
        <f t="shared" si="64"/>
        <v/>
      </c>
      <c r="DI61" s="1" t="str">
        <f>IF(DH61="","",IF(A61="","",RANK(DH61,$DH$3:$DH211,1)))</f>
        <v/>
      </c>
      <c r="DJ61" s="1">
        <f t="shared" si="65"/>
        <v>4</v>
      </c>
      <c r="DM61" s="1" t="str">
        <f t="shared" si="66"/>
        <v/>
      </c>
      <c r="DN61" s="1" t="str">
        <f>IF(DM61="","",IF(A61="","",RANK(DM61,$DM$3:$DM211,1)))</f>
        <v/>
      </c>
      <c r="DO61" s="1">
        <f t="shared" si="67"/>
        <v>4</v>
      </c>
      <c r="DR61" s="1">
        <f t="shared" si="68"/>
        <v>15.10059</v>
      </c>
      <c r="DS61" s="1">
        <f>IF(DR61="","",IF(A61="","",RANK(DR61,$DR$3:$DR211,1)))</f>
        <v>52</v>
      </c>
      <c r="DT61" s="1">
        <f t="shared" si="69"/>
        <v>4</v>
      </c>
      <c r="DW61" s="1">
        <f t="shared" si="70"/>
        <v>14.000590000000001</v>
      </c>
      <c r="DX61" s="1">
        <f>IF(DW61="","",IF(A61="","",RANK(DW61,$DW$3:$DW211,1)))</f>
        <v>79</v>
      </c>
      <c r="DY61" s="1">
        <f t="shared" si="71"/>
        <v>4</v>
      </c>
      <c r="EB61" s="1">
        <f t="shared" si="72"/>
        <v>12.70059</v>
      </c>
      <c r="EC61" s="1">
        <f>IF(EB61="","",IF(A61="","",RANK(EB61,$EB$3:$EB211,1)))</f>
        <v>69</v>
      </c>
      <c r="ED61" s="1">
        <f t="shared" si="73"/>
        <v>4</v>
      </c>
      <c r="EG61" s="1">
        <f t="shared" si="74"/>
        <v>12.60059</v>
      </c>
      <c r="EH61" s="1">
        <f>IF(EG61="","",IF(A61="","",RANK(EG61,$EG$3:$EG211,1)))</f>
        <v>59</v>
      </c>
      <c r="EI61" s="1">
        <f t="shared" si="75"/>
        <v>4</v>
      </c>
    </row>
    <row r="62" spans="1:139" ht="18.75">
      <c r="A62" s="1" t="s">
        <v>88</v>
      </c>
      <c r="B62" s="1">
        <v>20190609</v>
      </c>
      <c r="C62" s="1" t="s">
        <v>93</v>
      </c>
      <c r="D62" s="1">
        <v>4</v>
      </c>
      <c r="E62" s="30">
        <v>54.4</v>
      </c>
      <c r="F62" s="30">
        <v>39.299999999999997</v>
      </c>
      <c r="G62" s="30">
        <v>25.3</v>
      </c>
      <c r="H62" s="30">
        <v>12.6</v>
      </c>
      <c r="I62" s="30">
        <v>15.1</v>
      </c>
      <c r="J62" s="30">
        <v>14</v>
      </c>
      <c r="K62" s="30">
        <v>12.7</v>
      </c>
      <c r="L62" s="30">
        <v>12.6</v>
      </c>
      <c r="M62" s="1" t="str">
        <f t="shared" si="13"/>
        <v>2019/06/09</v>
      </c>
      <c r="N62" s="4" t="str">
        <f t="shared" si="14"/>
        <v/>
      </c>
      <c r="O62">
        <v>6.0000000000000092E-4</v>
      </c>
      <c r="P62" s="1" t="str">
        <f t="shared" si="15"/>
        <v/>
      </c>
      <c r="Q62" s="1" t="str">
        <f t="shared" si="16"/>
        <v/>
      </c>
      <c r="R62" s="1">
        <f t="shared" si="17"/>
        <v>4</v>
      </c>
      <c r="U62" s="1">
        <f t="shared" si="18"/>
        <v>54.400599999999997</v>
      </c>
      <c r="V62" s="1">
        <f t="shared" si="19"/>
        <v>55</v>
      </c>
      <c r="W62" s="1">
        <f t="shared" si="20"/>
        <v>4</v>
      </c>
      <c r="Z62" s="1" t="str">
        <f t="shared" si="21"/>
        <v/>
      </c>
      <c r="AA62" s="1" t="str">
        <f t="shared" si="22"/>
        <v/>
      </c>
      <c r="AB62" s="1">
        <f t="shared" si="23"/>
        <v>4</v>
      </c>
      <c r="AE62" s="1">
        <f t="shared" si="24"/>
        <v>39.300599999999996</v>
      </c>
      <c r="AF62" s="1">
        <f t="shared" si="25"/>
        <v>67</v>
      </c>
      <c r="AG62" s="1">
        <f t="shared" si="26"/>
        <v>4</v>
      </c>
      <c r="AJ62" s="1" t="str">
        <f t="shared" si="27"/>
        <v/>
      </c>
      <c r="AK62" s="1" t="str">
        <f t="shared" si="28"/>
        <v/>
      </c>
      <c r="AL62" s="1">
        <f t="shared" si="29"/>
        <v>4</v>
      </c>
      <c r="AO62" s="1">
        <f t="shared" si="30"/>
        <v>25.300599999999999</v>
      </c>
      <c r="AP62" s="1">
        <f t="shared" si="31"/>
        <v>60</v>
      </c>
      <c r="AQ62" s="1">
        <f t="shared" si="32"/>
        <v>4</v>
      </c>
      <c r="AT62" s="1">
        <f t="shared" si="33"/>
        <v>1.0999999999999996</v>
      </c>
      <c r="AU62" s="1">
        <f t="shared" si="34"/>
        <v>1.3000000000000007</v>
      </c>
      <c r="AV62" s="1">
        <f t="shared" si="35"/>
        <v>9.9999999999999645E-2</v>
      </c>
      <c r="AW62" s="1">
        <f t="shared" si="36"/>
        <v>2.5</v>
      </c>
      <c r="AX62" s="1">
        <f t="shared" si="37"/>
        <v>0.83393333333333342</v>
      </c>
      <c r="BC62" s="1">
        <f t="shared" si="40"/>
        <v>2.4006000000000003</v>
      </c>
      <c r="BD62" s="1">
        <f t="shared" si="41"/>
        <v>79</v>
      </c>
      <c r="BE62" s="1">
        <f t="shared" si="42"/>
        <v>4</v>
      </c>
      <c r="BH62" s="1" t="str">
        <f t="shared" si="43"/>
        <v/>
      </c>
      <c r="BI62" s="1" t="str">
        <f>IF(A62="","",IF(BH62="","",RANK(BH62,$BH$3:$BH212,1)))</f>
        <v/>
      </c>
      <c r="BJ62" s="1">
        <f t="shared" si="44"/>
        <v>4</v>
      </c>
      <c r="BM62" s="1">
        <f t="shared" si="45"/>
        <v>1.0550000000000002</v>
      </c>
      <c r="BN62" s="1">
        <f>IF(A62="","",IF(BM62="","",RANK(BM62,$BM$3:$BM212,1)))</f>
        <v>61</v>
      </c>
      <c r="BO62" s="1">
        <f t="shared" si="46"/>
        <v>4</v>
      </c>
      <c r="BR62" s="1">
        <f t="shared" si="47"/>
        <v>4</v>
      </c>
      <c r="BS62" s="1" t="str">
        <f t="shared" si="48"/>
        <v>ウィズ　　　　　　　　　　　　　　　</v>
      </c>
      <c r="CD62" s="1" t="str">
        <f t="shared" si="52"/>
        <v/>
      </c>
      <c r="CE62" s="1" t="str">
        <f>IF(A62="","",IF(CD62="","",RANK(CD62,$CD$3:$CD212,1)))</f>
        <v/>
      </c>
      <c r="CF62" s="1">
        <f t="shared" si="53"/>
        <v>4</v>
      </c>
      <c r="CI62" s="1" t="str">
        <f t="shared" si="54"/>
        <v/>
      </c>
      <c r="CJ62" s="1" t="str">
        <f>IF(A62="","",IF(CI62="","",RANK(CI62,$CI$3:$CI212,1)))</f>
        <v/>
      </c>
      <c r="CK62" s="1">
        <f t="shared" si="55"/>
        <v>4</v>
      </c>
      <c r="CN62" s="1" t="str">
        <f t="shared" si="56"/>
        <v/>
      </c>
      <c r="CO62" s="1" t="str">
        <f>IF(A62="","",IF(CN62="","",RANK(CN62,$CN$3:$CN212,1)))</f>
        <v/>
      </c>
      <c r="CP62" s="1">
        <f t="shared" si="57"/>
        <v>4</v>
      </c>
      <c r="CS62" s="1" t="str">
        <f t="shared" si="58"/>
        <v/>
      </c>
      <c r="CT62" s="1" t="str">
        <f>IF(A62="","",IF(CS62="","",RANK(CS62,$CS$3:$CS212,1)))</f>
        <v/>
      </c>
      <c r="CU62" s="1">
        <f t="shared" si="59"/>
        <v>4</v>
      </c>
      <c r="CX62" s="1" t="str">
        <f t="shared" si="60"/>
        <v/>
      </c>
      <c r="CY62" s="1" t="str">
        <f>IF(CX62="","",IF(A62="","",RANK(CX62,$CX$3:$CX212,1)))</f>
        <v/>
      </c>
      <c r="CZ62" s="1">
        <f t="shared" si="61"/>
        <v>4</v>
      </c>
      <c r="DC62" s="1" t="str">
        <f t="shared" si="62"/>
        <v/>
      </c>
      <c r="DD62" s="1" t="str">
        <f>IF(DC62="","",IF(A62="","",RANK(DC62,$DC$3:$DC212,1)))</f>
        <v/>
      </c>
      <c r="DE62" s="1">
        <f t="shared" si="63"/>
        <v>4</v>
      </c>
      <c r="DH62" s="1" t="str">
        <f t="shared" si="64"/>
        <v/>
      </c>
      <c r="DI62" s="1" t="str">
        <f>IF(DH62="","",IF(A62="","",RANK(DH62,$DH$3:$DH212,1)))</f>
        <v/>
      </c>
      <c r="DJ62" s="1">
        <f t="shared" si="65"/>
        <v>4</v>
      </c>
      <c r="DM62" s="1" t="str">
        <f t="shared" si="66"/>
        <v/>
      </c>
      <c r="DN62" s="1" t="str">
        <f>IF(DM62="","",IF(A62="","",RANK(DM62,$DM$3:$DM212,1)))</f>
        <v/>
      </c>
      <c r="DO62" s="1">
        <f t="shared" si="67"/>
        <v>4</v>
      </c>
      <c r="DR62" s="1">
        <f t="shared" si="68"/>
        <v>15.1006</v>
      </c>
      <c r="DS62" s="1">
        <f>IF(DR62="","",IF(A62="","",RANK(DR62,$DR$3:$DR212,1)))</f>
        <v>53</v>
      </c>
      <c r="DT62" s="1">
        <f t="shared" si="69"/>
        <v>4</v>
      </c>
      <c r="DW62" s="1">
        <f t="shared" si="70"/>
        <v>14.0006</v>
      </c>
      <c r="DX62" s="1">
        <f>IF(DW62="","",IF(A62="","",RANK(DW62,$DW$3:$DW212,1)))</f>
        <v>80</v>
      </c>
      <c r="DY62" s="1">
        <f t="shared" si="71"/>
        <v>4</v>
      </c>
      <c r="EB62" s="1">
        <f t="shared" si="72"/>
        <v>12.7006</v>
      </c>
      <c r="EC62" s="1">
        <f>IF(EB62="","",IF(A62="","",RANK(EB62,$EB$3:$EB212,1)))</f>
        <v>70</v>
      </c>
      <c r="ED62" s="1">
        <f t="shared" si="73"/>
        <v>4</v>
      </c>
      <c r="EG62" s="1">
        <f t="shared" si="74"/>
        <v>12.6006</v>
      </c>
      <c r="EH62" s="1">
        <f>IF(EG62="","",IF(A62="","",RANK(EG62,$EG$3:$EG212,1)))</f>
        <v>60</v>
      </c>
      <c r="EI62" s="1">
        <f t="shared" si="75"/>
        <v>4</v>
      </c>
    </row>
    <row r="63" spans="1:139" ht="18.75">
      <c r="A63" s="1" t="s">
        <v>88</v>
      </c>
      <c r="B63" s="1">
        <v>20190612</v>
      </c>
      <c r="C63" s="1" t="s">
        <v>93</v>
      </c>
      <c r="D63" s="1">
        <v>4</v>
      </c>
      <c r="E63" s="30">
        <v>51.6</v>
      </c>
      <c r="F63" s="30">
        <v>37.299999999999997</v>
      </c>
      <c r="G63" s="30">
        <v>24.6</v>
      </c>
      <c r="H63" s="30">
        <v>12.6</v>
      </c>
      <c r="I63" s="30">
        <v>14.3</v>
      </c>
      <c r="J63" s="30">
        <v>12.7</v>
      </c>
      <c r="K63" s="30">
        <v>12</v>
      </c>
      <c r="L63" s="30">
        <v>12.6</v>
      </c>
      <c r="M63" s="1" t="str">
        <f t="shared" si="13"/>
        <v>2019/06/12</v>
      </c>
      <c r="N63" s="4" t="str">
        <f t="shared" si="14"/>
        <v/>
      </c>
      <c r="O63">
        <v>6.1000000000000095E-4</v>
      </c>
      <c r="P63" s="1" t="str">
        <f t="shared" si="15"/>
        <v/>
      </c>
      <c r="Q63" s="1" t="str">
        <f t="shared" si="16"/>
        <v/>
      </c>
      <c r="R63" s="1">
        <f t="shared" si="17"/>
        <v>4</v>
      </c>
      <c r="U63" s="1">
        <f t="shared" si="18"/>
        <v>51.600610000000003</v>
      </c>
      <c r="V63" s="1">
        <f t="shared" si="19"/>
        <v>5</v>
      </c>
      <c r="W63" s="1">
        <f t="shared" si="20"/>
        <v>4</v>
      </c>
      <c r="Z63" s="1" t="str">
        <f t="shared" si="21"/>
        <v/>
      </c>
      <c r="AA63" s="1" t="str">
        <f t="shared" si="22"/>
        <v/>
      </c>
      <c r="AB63" s="1">
        <f t="shared" si="23"/>
        <v>4</v>
      </c>
      <c r="AE63" s="1">
        <f t="shared" si="24"/>
        <v>37.300609999999999</v>
      </c>
      <c r="AF63" s="1">
        <f t="shared" si="25"/>
        <v>1</v>
      </c>
      <c r="AG63" s="1">
        <f t="shared" si="26"/>
        <v>4</v>
      </c>
      <c r="AJ63" s="1" t="str">
        <f t="shared" si="27"/>
        <v/>
      </c>
      <c r="AK63" s="1" t="str">
        <f t="shared" si="28"/>
        <v/>
      </c>
      <c r="AL63" s="1">
        <f t="shared" si="29"/>
        <v>4</v>
      </c>
      <c r="AO63" s="1">
        <f t="shared" si="30"/>
        <v>24.600610000000003</v>
      </c>
      <c r="AP63" s="1">
        <f t="shared" si="31"/>
        <v>16</v>
      </c>
      <c r="AQ63" s="1">
        <f t="shared" si="32"/>
        <v>4</v>
      </c>
      <c r="AT63" s="1">
        <f t="shared" si="33"/>
        <v>1.6000000000000014</v>
      </c>
      <c r="AU63" s="1">
        <f t="shared" si="34"/>
        <v>0.69999999999999929</v>
      </c>
      <c r="AV63" s="1">
        <f t="shared" si="35"/>
        <v>-0.59999999999999964</v>
      </c>
      <c r="AW63" s="1">
        <f t="shared" si="36"/>
        <v>1.7000000000000011</v>
      </c>
      <c r="AX63" s="1">
        <f t="shared" si="37"/>
        <v>0</v>
      </c>
      <c r="BC63" s="1">
        <f t="shared" si="40"/>
        <v>2.3006100000000007</v>
      </c>
      <c r="BD63" s="1">
        <f t="shared" si="41"/>
        <v>89</v>
      </c>
      <c r="BE63" s="1">
        <f t="shared" si="42"/>
        <v>4</v>
      </c>
      <c r="BH63" s="1" t="str">
        <f t="shared" si="43"/>
        <v/>
      </c>
      <c r="BI63" s="1" t="str">
        <f>IF(A63="","",IF(BH63="","",RANK(BH63,$BH$3:$BH213,1)))</f>
        <v/>
      </c>
      <c r="BJ63" s="1">
        <f t="shared" si="44"/>
        <v>4</v>
      </c>
      <c r="BM63" s="1">
        <f t="shared" si="45"/>
        <v>0.72500000000000053</v>
      </c>
      <c r="BN63" s="1">
        <f>IF(A63="","",IF(BM63="","",RANK(BM63,$BM$3:$BM213,1)))</f>
        <v>41</v>
      </c>
      <c r="BO63" s="1">
        <f t="shared" si="46"/>
        <v>4</v>
      </c>
      <c r="BR63" s="1">
        <f t="shared" si="47"/>
        <v>4</v>
      </c>
      <c r="BS63" s="1" t="str">
        <f t="shared" si="48"/>
        <v>ウィズ　　　　　　　　　　　　　　　</v>
      </c>
      <c r="CD63" s="1" t="str">
        <f t="shared" si="52"/>
        <v/>
      </c>
      <c r="CE63" s="1" t="str">
        <f>IF(A63="","",IF(CD63="","",RANK(CD63,$CD$3:$CD213,1)))</f>
        <v/>
      </c>
      <c r="CF63" s="1">
        <f t="shared" si="53"/>
        <v>4</v>
      </c>
      <c r="CI63" s="1" t="str">
        <f t="shared" si="54"/>
        <v/>
      </c>
      <c r="CJ63" s="1" t="str">
        <f>IF(A63="","",IF(CI63="","",RANK(CI63,$CI$3:$CI213,1)))</f>
        <v/>
      </c>
      <c r="CK63" s="1">
        <f t="shared" si="55"/>
        <v>4</v>
      </c>
      <c r="CN63" s="1" t="str">
        <f t="shared" si="56"/>
        <v/>
      </c>
      <c r="CO63" s="1" t="str">
        <f>IF(A63="","",IF(CN63="","",RANK(CN63,$CN$3:$CN213,1)))</f>
        <v/>
      </c>
      <c r="CP63" s="1">
        <f t="shared" si="57"/>
        <v>4</v>
      </c>
      <c r="CS63" s="1" t="str">
        <f t="shared" si="58"/>
        <v/>
      </c>
      <c r="CT63" s="1" t="str">
        <f>IF(A63="","",IF(CS63="","",RANK(CS63,$CS$3:$CS213,1)))</f>
        <v/>
      </c>
      <c r="CU63" s="1">
        <f t="shared" si="59"/>
        <v>4</v>
      </c>
      <c r="CX63" s="1" t="str">
        <f t="shared" si="60"/>
        <v/>
      </c>
      <c r="CY63" s="1" t="str">
        <f>IF(CX63="","",IF(A63="","",RANK(CX63,$CX$3:$CX213,1)))</f>
        <v/>
      </c>
      <c r="CZ63" s="1">
        <f t="shared" si="61"/>
        <v>4</v>
      </c>
      <c r="DC63" s="1" t="str">
        <f t="shared" si="62"/>
        <v/>
      </c>
      <c r="DD63" s="1" t="str">
        <f>IF(DC63="","",IF(A63="","",RANK(DC63,$DC$3:$DC213,1)))</f>
        <v/>
      </c>
      <c r="DE63" s="1">
        <f t="shared" si="63"/>
        <v>4</v>
      </c>
      <c r="DH63" s="1" t="str">
        <f t="shared" si="64"/>
        <v/>
      </c>
      <c r="DI63" s="1" t="str">
        <f>IF(DH63="","",IF(A63="","",RANK(DH63,$DH$3:$DH213,1)))</f>
        <v/>
      </c>
      <c r="DJ63" s="1">
        <f t="shared" si="65"/>
        <v>4</v>
      </c>
      <c r="DM63" s="1" t="str">
        <f t="shared" si="66"/>
        <v/>
      </c>
      <c r="DN63" s="1" t="str">
        <f>IF(DM63="","",IF(A63="","",RANK(DM63,$DM$3:$DM213,1)))</f>
        <v/>
      </c>
      <c r="DO63" s="1">
        <f t="shared" si="67"/>
        <v>4</v>
      </c>
      <c r="DR63" s="1">
        <f t="shared" si="68"/>
        <v>14.300610000000001</v>
      </c>
      <c r="DS63" s="1">
        <f>IF(DR63="","",IF(A63="","",RANK(DR63,$DR$3:$DR213,1)))</f>
        <v>16</v>
      </c>
      <c r="DT63" s="1">
        <f t="shared" si="69"/>
        <v>4</v>
      </c>
      <c r="DW63" s="1">
        <f t="shared" si="70"/>
        <v>12.700609999999999</v>
      </c>
      <c r="DX63" s="1">
        <f>IF(DW63="","",IF(A63="","",RANK(DW63,$DW$3:$DW213,1)))</f>
        <v>7</v>
      </c>
      <c r="DY63" s="1">
        <f t="shared" si="71"/>
        <v>4</v>
      </c>
      <c r="EB63" s="1">
        <f t="shared" si="72"/>
        <v>12.00061</v>
      </c>
      <c r="EC63" s="1">
        <f>IF(EB63="","",IF(A63="","",RANK(EB63,$EB$3:$EB213,1)))</f>
        <v>9</v>
      </c>
      <c r="ED63" s="1">
        <f t="shared" si="73"/>
        <v>4</v>
      </c>
      <c r="EG63" s="1">
        <f t="shared" si="74"/>
        <v>12.60061</v>
      </c>
      <c r="EH63" s="1">
        <f>IF(EG63="","",IF(A63="","",RANK(EG63,$EG$3:$EG213,1)))</f>
        <v>61</v>
      </c>
      <c r="EI63" s="1">
        <f t="shared" si="75"/>
        <v>4</v>
      </c>
    </row>
    <row r="64" spans="1:139" ht="18.75">
      <c r="A64" s="1" t="s">
        <v>88</v>
      </c>
      <c r="B64" s="1">
        <v>20190616</v>
      </c>
      <c r="C64" s="1" t="s">
        <v>98</v>
      </c>
      <c r="D64" s="1">
        <v>9</v>
      </c>
      <c r="E64" s="30">
        <v>58.2</v>
      </c>
      <c r="F64" s="30">
        <v>40.700000000000003</v>
      </c>
      <c r="G64" s="30">
        <v>25.7</v>
      </c>
      <c r="H64" s="30">
        <v>12.6</v>
      </c>
      <c r="I64" s="30">
        <v>17.5</v>
      </c>
      <c r="J64" s="30">
        <v>15</v>
      </c>
      <c r="K64" s="30">
        <v>13.1</v>
      </c>
      <c r="L64" s="30">
        <v>12.6</v>
      </c>
      <c r="M64" s="1" t="str">
        <f t="shared" si="13"/>
        <v>2019/06/16</v>
      </c>
      <c r="N64" s="4" t="str">
        <f t="shared" si="14"/>
        <v/>
      </c>
      <c r="O64">
        <v>6.2000000000000098E-4</v>
      </c>
      <c r="P64" s="1" t="str">
        <f t="shared" si="15"/>
        <v/>
      </c>
      <c r="Q64" s="1" t="str">
        <f t="shared" si="16"/>
        <v/>
      </c>
      <c r="R64" s="1">
        <f t="shared" si="17"/>
        <v>9</v>
      </c>
      <c r="U64" s="1">
        <f t="shared" si="18"/>
        <v>58.200620000000001</v>
      </c>
      <c r="V64" s="1">
        <f t="shared" si="19"/>
        <v>113</v>
      </c>
      <c r="W64" s="1">
        <f t="shared" si="20"/>
        <v>9</v>
      </c>
      <c r="Z64" s="1" t="str">
        <f t="shared" si="21"/>
        <v/>
      </c>
      <c r="AA64" s="1" t="str">
        <f t="shared" si="22"/>
        <v/>
      </c>
      <c r="AB64" s="1">
        <f t="shared" si="23"/>
        <v>9</v>
      </c>
      <c r="AE64" s="1">
        <f t="shared" si="24"/>
        <v>40.700620000000001</v>
      </c>
      <c r="AF64" s="1">
        <f t="shared" si="25"/>
        <v>96</v>
      </c>
      <c r="AG64" s="1">
        <f t="shared" si="26"/>
        <v>9</v>
      </c>
      <c r="AJ64" s="1" t="str">
        <f t="shared" si="27"/>
        <v/>
      </c>
      <c r="AK64" s="1" t="str">
        <f t="shared" si="28"/>
        <v/>
      </c>
      <c r="AL64" s="1">
        <f t="shared" si="29"/>
        <v>9</v>
      </c>
      <c r="AO64" s="1">
        <f t="shared" si="30"/>
        <v>25.700620000000001</v>
      </c>
      <c r="AP64" s="1">
        <f t="shared" si="31"/>
        <v>80</v>
      </c>
      <c r="AQ64" s="1">
        <f t="shared" si="32"/>
        <v>9</v>
      </c>
      <c r="AT64" s="1">
        <f t="shared" si="33"/>
        <v>2.5</v>
      </c>
      <c r="AU64" s="1">
        <f t="shared" si="34"/>
        <v>1.9000000000000004</v>
      </c>
      <c r="AV64" s="1">
        <f t="shared" si="35"/>
        <v>0.5</v>
      </c>
      <c r="AW64" s="1">
        <f t="shared" si="36"/>
        <v>4.9000000000000004</v>
      </c>
      <c r="AX64" s="1">
        <f t="shared" si="37"/>
        <v>1.6339533333333336</v>
      </c>
      <c r="BC64" s="1">
        <f t="shared" si="40"/>
        <v>4.40062</v>
      </c>
      <c r="BD64" s="1">
        <f t="shared" si="41"/>
        <v>14</v>
      </c>
      <c r="BE64" s="1">
        <f t="shared" si="42"/>
        <v>9</v>
      </c>
      <c r="BH64" s="1" t="str">
        <f t="shared" si="43"/>
        <v/>
      </c>
      <c r="BI64" s="1" t="str">
        <f>IF(A64="","",IF(BH64="","",RANK(BH64,$BH$3:$BH214,1)))</f>
        <v/>
      </c>
      <c r="BJ64" s="1">
        <f t="shared" si="44"/>
        <v>9</v>
      </c>
      <c r="BM64" s="1">
        <f t="shared" si="45"/>
        <v>3.7024999999999864</v>
      </c>
      <c r="BN64" s="1">
        <f>IF(A64="","",IF(BM64="","",RANK(BM64,$BM$3:$BM214,1)))</f>
        <v>139</v>
      </c>
      <c r="BO64" s="1">
        <f t="shared" si="46"/>
        <v>9</v>
      </c>
      <c r="BR64" s="1">
        <f t="shared" si="47"/>
        <v>9</v>
      </c>
      <c r="BS64" s="1" t="str">
        <f t="shared" si="48"/>
        <v>メイショウイサナ　　　　　　　　　　</v>
      </c>
      <c r="CD64" s="1" t="str">
        <f t="shared" si="52"/>
        <v/>
      </c>
      <c r="CE64" s="1" t="str">
        <f>IF(A64="","",IF(CD64="","",RANK(CD64,$CD$3:$CD214,1)))</f>
        <v/>
      </c>
      <c r="CF64" s="1">
        <f t="shared" si="53"/>
        <v>9</v>
      </c>
      <c r="CI64" s="1" t="str">
        <f t="shared" si="54"/>
        <v/>
      </c>
      <c r="CJ64" s="1" t="str">
        <f>IF(A64="","",IF(CI64="","",RANK(CI64,$CI$3:$CI214,1)))</f>
        <v/>
      </c>
      <c r="CK64" s="1">
        <f t="shared" si="55"/>
        <v>9</v>
      </c>
      <c r="CN64" s="1" t="str">
        <f t="shared" si="56"/>
        <v/>
      </c>
      <c r="CO64" s="1" t="str">
        <f>IF(A64="","",IF(CN64="","",RANK(CN64,$CN$3:$CN214,1)))</f>
        <v/>
      </c>
      <c r="CP64" s="1">
        <f t="shared" si="57"/>
        <v>9</v>
      </c>
      <c r="CS64" s="1" t="str">
        <f t="shared" si="58"/>
        <v/>
      </c>
      <c r="CT64" s="1" t="str">
        <f>IF(A64="","",IF(CS64="","",RANK(CS64,$CS$3:$CS214,1)))</f>
        <v/>
      </c>
      <c r="CU64" s="1">
        <f t="shared" si="59"/>
        <v>9</v>
      </c>
      <c r="CX64" s="1" t="str">
        <f t="shared" si="60"/>
        <v/>
      </c>
      <c r="CY64" s="1" t="str">
        <f>IF(CX64="","",IF(A64="","",RANK(CX64,$CX$3:$CX214,1)))</f>
        <v/>
      </c>
      <c r="CZ64" s="1">
        <f t="shared" si="61"/>
        <v>9</v>
      </c>
      <c r="DC64" s="1" t="str">
        <f t="shared" si="62"/>
        <v/>
      </c>
      <c r="DD64" s="1" t="str">
        <f>IF(DC64="","",IF(A64="","",RANK(DC64,$DC$3:$DC214,1)))</f>
        <v/>
      </c>
      <c r="DE64" s="1">
        <f t="shared" si="63"/>
        <v>9</v>
      </c>
      <c r="DH64" s="1" t="str">
        <f t="shared" si="64"/>
        <v/>
      </c>
      <c r="DI64" s="1" t="str">
        <f>IF(DH64="","",IF(A64="","",RANK(DH64,$DH$3:$DH214,1)))</f>
        <v/>
      </c>
      <c r="DJ64" s="1">
        <f t="shared" si="65"/>
        <v>9</v>
      </c>
      <c r="DM64" s="1" t="str">
        <f t="shared" si="66"/>
        <v/>
      </c>
      <c r="DN64" s="1" t="str">
        <f>IF(DM64="","",IF(A64="","",RANK(DM64,$DM$3:$DM214,1)))</f>
        <v/>
      </c>
      <c r="DO64" s="1">
        <f t="shared" si="67"/>
        <v>9</v>
      </c>
      <c r="DR64" s="1">
        <f t="shared" si="68"/>
        <v>17.500620000000001</v>
      </c>
      <c r="DS64" s="1">
        <f>IF(DR64="","",IF(A64="","",RANK(DR64,$DR$3:$DR214,1)))</f>
        <v>133</v>
      </c>
      <c r="DT64" s="1">
        <f t="shared" si="69"/>
        <v>9</v>
      </c>
      <c r="DW64" s="1">
        <f t="shared" si="70"/>
        <v>15.00062</v>
      </c>
      <c r="DX64" s="1">
        <f>IF(DW64="","",IF(A64="","",RANK(DW64,$DW$3:$DW214,1)))</f>
        <v>117</v>
      </c>
      <c r="DY64" s="1">
        <f t="shared" si="71"/>
        <v>9</v>
      </c>
      <c r="EB64" s="1">
        <f t="shared" si="72"/>
        <v>13.100619999999999</v>
      </c>
      <c r="EC64" s="1">
        <f>IF(EB64="","",IF(A64="","",RANK(EB64,$EB$3:$EB214,1)))</f>
        <v>86</v>
      </c>
      <c r="ED64" s="1">
        <f t="shared" si="73"/>
        <v>9</v>
      </c>
      <c r="EG64" s="1">
        <f t="shared" si="74"/>
        <v>12.600619999999999</v>
      </c>
      <c r="EH64" s="1">
        <f>IF(EG64="","",IF(A64="","",RANK(EG64,$EG$3:$EG214,1)))</f>
        <v>62</v>
      </c>
      <c r="EI64" s="1">
        <f t="shared" si="75"/>
        <v>9</v>
      </c>
    </row>
    <row r="65" spans="1:139" ht="18.75">
      <c r="A65" s="1" t="s">
        <v>88</v>
      </c>
      <c r="B65" s="1">
        <v>20190619</v>
      </c>
      <c r="C65" s="1" t="s">
        <v>99</v>
      </c>
      <c r="D65" s="1">
        <v>10</v>
      </c>
      <c r="E65" s="30">
        <v>54.1</v>
      </c>
      <c r="F65" s="30">
        <v>39.4</v>
      </c>
      <c r="G65" s="30">
        <v>25.6</v>
      </c>
      <c r="H65" s="30">
        <v>12.6</v>
      </c>
      <c r="I65" s="30">
        <v>14.7</v>
      </c>
      <c r="J65" s="30">
        <v>13.8</v>
      </c>
      <c r="K65" s="30">
        <v>13</v>
      </c>
      <c r="L65" s="30">
        <v>12.6</v>
      </c>
      <c r="M65" s="1" t="str">
        <f t="shared" si="13"/>
        <v>2019/06/19</v>
      </c>
      <c r="N65" s="4" t="str">
        <f t="shared" si="14"/>
        <v/>
      </c>
      <c r="O65">
        <v>6.30000000000001E-4</v>
      </c>
      <c r="P65" s="1" t="str">
        <f t="shared" si="15"/>
        <v/>
      </c>
      <c r="Q65" s="1" t="str">
        <f t="shared" si="16"/>
        <v/>
      </c>
      <c r="R65" s="1">
        <f t="shared" si="17"/>
        <v>10</v>
      </c>
      <c r="U65" s="1">
        <f t="shared" si="18"/>
        <v>54.100630000000002</v>
      </c>
      <c r="V65" s="1">
        <f t="shared" si="19"/>
        <v>44</v>
      </c>
      <c r="W65" s="1">
        <f t="shared" si="20"/>
        <v>10</v>
      </c>
      <c r="Z65" s="1" t="str">
        <f t="shared" si="21"/>
        <v/>
      </c>
      <c r="AA65" s="1" t="str">
        <f t="shared" si="22"/>
        <v/>
      </c>
      <c r="AB65" s="1">
        <f t="shared" si="23"/>
        <v>10</v>
      </c>
      <c r="AE65" s="1">
        <f t="shared" si="24"/>
        <v>39.40063</v>
      </c>
      <c r="AF65" s="1">
        <f t="shared" si="25"/>
        <v>69</v>
      </c>
      <c r="AG65" s="1">
        <f t="shared" si="26"/>
        <v>10</v>
      </c>
      <c r="AJ65" s="1" t="str">
        <f t="shared" si="27"/>
        <v/>
      </c>
      <c r="AK65" s="1" t="str">
        <f t="shared" si="28"/>
        <v/>
      </c>
      <c r="AL65" s="1">
        <f t="shared" si="29"/>
        <v>10</v>
      </c>
      <c r="AO65" s="1">
        <f t="shared" si="30"/>
        <v>25.600630000000002</v>
      </c>
      <c r="AP65" s="1">
        <f t="shared" si="31"/>
        <v>77</v>
      </c>
      <c r="AQ65" s="1">
        <f t="shared" si="32"/>
        <v>10</v>
      </c>
      <c r="AT65" s="1">
        <f t="shared" si="33"/>
        <v>0.89999999999999858</v>
      </c>
      <c r="AU65" s="1">
        <f t="shared" si="34"/>
        <v>0.80000000000000071</v>
      </c>
      <c r="AV65" s="1">
        <f t="shared" si="35"/>
        <v>0.40000000000000036</v>
      </c>
      <c r="AW65" s="1">
        <f t="shared" si="36"/>
        <v>2.0999999999999996</v>
      </c>
      <c r="AX65" s="1">
        <f t="shared" si="37"/>
        <v>0.70062999999999986</v>
      </c>
      <c r="BC65" s="1">
        <f t="shared" si="40"/>
        <v>1.7006299999999992</v>
      </c>
      <c r="BD65" s="1">
        <f t="shared" si="41"/>
        <v>124</v>
      </c>
      <c r="BE65" s="1">
        <f t="shared" si="42"/>
        <v>10</v>
      </c>
      <c r="BH65" s="1" t="str">
        <f t="shared" si="43"/>
        <v/>
      </c>
      <c r="BI65" s="1" t="str">
        <f>IF(A65="","",IF(BH65="","",RANK(BH65,$BH$3:$BH215,1)))</f>
        <v/>
      </c>
      <c r="BJ65" s="1">
        <f t="shared" si="44"/>
        <v>10</v>
      </c>
      <c r="BM65" s="1">
        <f t="shared" si="45"/>
        <v>0.64687499999999987</v>
      </c>
      <c r="BN65" s="1">
        <f>IF(A65="","",IF(BM65="","",RANK(BM65,$BM$3:$BM215,1)))</f>
        <v>35</v>
      </c>
      <c r="BO65" s="1">
        <f t="shared" si="46"/>
        <v>10</v>
      </c>
      <c r="BR65" s="1">
        <f t="shared" si="47"/>
        <v>10</v>
      </c>
      <c r="BS65" s="1" t="str">
        <f t="shared" si="48"/>
        <v>コンパウンダー　　　　　　　　　　　</v>
      </c>
      <c r="CD65" s="1" t="str">
        <f t="shared" si="52"/>
        <v/>
      </c>
      <c r="CE65" s="1" t="str">
        <f>IF(A65="","",IF(CD65="","",RANK(CD65,$CD$3:$CD215,1)))</f>
        <v/>
      </c>
      <c r="CF65" s="1">
        <f t="shared" si="53"/>
        <v>10</v>
      </c>
      <c r="CI65" s="1" t="str">
        <f t="shared" si="54"/>
        <v/>
      </c>
      <c r="CJ65" s="1" t="str">
        <f>IF(A65="","",IF(CI65="","",RANK(CI65,$CI$3:$CI215,1)))</f>
        <v/>
      </c>
      <c r="CK65" s="1">
        <f t="shared" si="55"/>
        <v>10</v>
      </c>
      <c r="CN65" s="1" t="str">
        <f t="shared" si="56"/>
        <v/>
      </c>
      <c r="CO65" s="1" t="str">
        <f>IF(A65="","",IF(CN65="","",RANK(CN65,$CN$3:$CN215,1)))</f>
        <v/>
      </c>
      <c r="CP65" s="1">
        <f t="shared" si="57"/>
        <v>10</v>
      </c>
      <c r="CS65" s="1" t="str">
        <f t="shared" si="58"/>
        <v/>
      </c>
      <c r="CT65" s="1" t="str">
        <f>IF(A65="","",IF(CS65="","",RANK(CS65,$CS$3:$CS215,1)))</f>
        <v/>
      </c>
      <c r="CU65" s="1">
        <f t="shared" si="59"/>
        <v>10</v>
      </c>
      <c r="CX65" s="1" t="str">
        <f t="shared" si="60"/>
        <v/>
      </c>
      <c r="CY65" s="1" t="str">
        <f>IF(CX65="","",IF(A65="","",RANK(CX65,$CX$3:$CX215,1)))</f>
        <v/>
      </c>
      <c r="CZ65" s="1">
        <f t="shared" si="61"/>
        <v>10</v>
      </c>
      <c r="DC65" s="1" t="str">
        <f t="shared" si="62"/>
        <v/>
      </c>
      <c r="DD65" s="1" t="str">
        <f>IF(DC65="","",IF(A65="","",RANK(DC65,$DC$3:$DC215,1)))</f>
        <v/>
      </c>
      <c r="DE65" s="1">
        <f t="shared" si="63"/>
        <v>10</v>
      </c>
      <c r="DH65" s="1" t="str">
        <f t="shared" si="64"/>
        <v/>
      </c>
      <c r="DI65" s="1" t="str">
        <f>IF(DH65="","",IF(A65="","",RANK(DH65,$DH$3:$DH215,1)))</f>
        <v/>
      </c>
      <c r="DJ65" s="1">
        <f t="shared" si="65"/>
        <v>10</v>
      </c>
      <c r="DM65" s="1" t="str">
        <f t="shared" si="66"/>
        <v/>
      </c>
      <c r="DN65" s="1" t="str">
        <f>IF(DM65="","",IF(A65="","",RANK(DM65,$DM$3:$DM215,1)))</f>
        <v/>
      </c>
      <c r="DO65" s="1">
        <f t="shared" si="67"/>
        <v>10</v>
      </c>
      <c r="DR65" s="1">
        <f t="shared" si="68"/>
        <v>14.700629999999999</v>
      </c>
      <c r="DS65" s="1">
        <f>IF(DR65="","",IF(A65="","",RANK(DR65,$DR$3:$DR215,1)))</f>
        <v>34</v>
      </c>
      <c r="DT65" s="1">
        <f t="shared" si="69"/>
        <v>10</v>
      </c>
      <c r="DW65" s="1">
        <f t="shared" si="70"/>
        <v>13.80063</v>
      </c>
      <c r="DX65" s="1">
        <f>IF(DW65="","",IF(A65="","",RANK(DW65,$DW$3:$DW215,1)))</f>
        <v>62</v>
      </c>
      <c r="DY65" s="1">
        <f t="shared" si="71"/>
        <v>10</v>
      </c>
      <c r="EB65" s="1">
        <f t="shared" si="72"/>
        <v>13.000629999999999</v>
      </c>
      <c r="EC65" s="1">
        <f>IF(EB65="","",IF(A65="","",RANK(EB65,$EB$3:$EB215,1)))</f>
        <v>82</v>
      </c>
      <c r="ED65" s="1">
        <f t="shared" si="73"/>
        <v>10</v>
      </c>
      <c r="EG65" s="1">
        <f t="shared" si="74"/>
        <v>12.600629999999999</v>
      </c>
      <c r="EH65" s="1">
        <f>IF(EG65="","",IF(A65="","",RANK(EG65,$EG$3:$EG215,1)))</f>
        <v>63</v>
      </c>
      <c r="EI65" s="1">
        <f t="shared" si="75"/>
        <v>10</v>
      </c>
    </row>
    <row r="66" spans="1:139" ht="18.75">
      <c r="A66" s="1" t="s">
        <v>88</v>
      </c>
      <c r="B66" s="1">
        <v>20190626</v>
      </c>
      <c r="C66" s="1" t="s">
        <v>94</v>
      </c>
      <c r="D66" s="1">
        <v>5</v>
      </c>
      <c r="E66" s="30">
        <v>54.4</v>
      </c>
      <c r="F66" s="30">
        <v>39.299999999999997</v>
      </c>
      <c r="G66" s="30">
        <v>25</v>
      </c>
      <c r="H66" s="30">
        <v>12.6</v>
      </c>
      <c r="I66" s="30">
        <v>15.1</v>
      </c>
      <c r="J66" s="30">
        <v>14.3</v>
      </c>
      <c r="K66" s="30">
        <v>12.4</v>
      </c>
      <c r="L66" s="30">
        <v>12.6</v>
      </c>
      <c r="M66" s="1" t="str">
        <f t="shared" si="13"/>
        <v>2019/06/26</v>
      </c>
      <c r="N66" s="4" t="str">
        <f t="shared" si="14"/>
        <v/>
      </c>
      <c r="O66">
        <v>6.4000000000000103E-4</v>
      </c>
      <c r="P66" s="1" t="str">
        <f t="shared" si="15"/>
        <v/>
      </c>
      <c r="Q66" s="1" t="str">
        <f t="shared" si="16"/>
        <v/>
      </c>
      <c r="R66" s="1">
        <f t="shared" si="17"/>
        <v>5</v>
      </c>
      <c r="U66" s="1">
        <f t="shared" si="18"/>
        <v>54.400639999999996</v>
      </c>
      <c r="V66" s="1">
        <f t="shared" si="19"/>
        <v>56</v>
      </c>
      <c r="W66" s="1">
        <f t="shared" si="20"/>
        <v>5</v>
      </c>
      <c r="Z66" s="1" t="str">
        <f t="shared" si="21"/>
        <v/>
      </c>
      <c r="AA66" s="1" t="str">
        <f t="shared" si="22"/>
        <v/>
      </c>
      <c r="AB66" s="1">
        <f t="shared" si="23"/>
        <v>5</v>
      </c>
      <c r="AE66" s="1">
        <f t="shared" si="24"/>
        <v>39.300639999999994</v>
      </c>
      <c r="AF66" s="1">
        <f t="shared" si="25"/>
        <v>68</v>
      </c>
      <c r="AG66" s="1">
        <f t="shared" si="26"/>
        <v>5</v>
      </c>
      <c r="AJ66" s="1" t="str">
        <f t="shared" si="27"/>
        <v/>
      </c>
      <c r="AK66" s="1" t="str">
        <f t="shared" si="28"/>
        <v/>
      </c>
      <c r="AL66" s="1">
        <f t="shared" si="29"/>
        <v>5</v>
      </c>
      <c r="AO66" s="1">
        <f t="shared" si="30"/>
        <v>25.000640000000001</v>
      </c>
      <c r="AP66" s="1">
        <f t="shared" si="31"/>
        <v>49</v>
      </c>
      <c r="AQ66" s="1">
        <f t="shared" si="32"/>
        <v>5</v>
      </c>
      <c r="AT66" s="1">
        <f t="shared" si="33"/>
        <v>0.79999999999999893</v>
      </c>
      <c r="AU66" s="1">
        <f t="shared" si="34"/>
        <v>1.9000000000000004</v>
      </c>
      <c r="AV66" s="1">
        <f t="shared" si="35"/>
        <v>-0.19999999999999929</v>
      </c>
      <c r="AW66" s="1">
        <f t="shared" si="36"/>
        <v>2.5</v>
      </c>
      <c r="AX66" s="1">
        <f t="shared" si="37"/>
        <v>0</v>
      </c>
      <c r="BC66" s="1">
        <f t="shared" si="40"/>
        <v>2.7006399999999995</v>
      </c>
      <c r="BD66" s="1">
        <f t="shared" si="41"/>
        <v>61</v>
      </c>
      <c r="BE66" s="1">
        <f t="shared" si="42"/>
        <v>5</v>
      </c>
      <c r="BH66" s="1" t="str">
        <f t="shared" si="43"/>
        <v/>
      </c>
      <c r="BI66" s="1" t="str">
        <f>IF(A66="","",IF(BH66="","",RANK(BH66,$BH$3:$BH216,1)))</f>
        <v/>
      </c>
      <c r="BJ66" s="1">
        <f t="shared" si="44"/>
        <v>5</v>
      </c>
      <c r="BM66" s="1">
        <f t="shared" si="45"/>
        <v>1.2949999999999999</v>
      </c>
      <c r="BN66" s="1">
        <f>IF(A66="","",IF(BM66="","",RANK(BM66,$BM$3:$BM216,1)))</f>
        <v>80</v>
      </c>
      <c r="BO66" s="1">
        <f t="shared" si="46"/>
        <v>5</v>
      </c>
      <c r="BR66" s="1">
        <f t="shared" si="47"/>
        <v>5</v>
      </c>
      <c r="BS66" s="1" t="str">
        <f t="shared" si="48"/>
        <v>シグナライズ　　　　　　　　　　　　</v>
      </c>
      <c r="CD66" s="1" t="str">
        <f t="shared" si="52"/>
        <v/>
      </c>
      <c r="CE66" s="1" t="str">
        <f>IF(A66="","",IF(CD66="","",RANK(CD66,$CD$3:$CD216,1)))</f>
        <v/>
      </c>
      <c r="CF66" s="1">
        <f t="shared" si="53"/>
        <v>5</v>
      </c>
      <c r="CI66" s="1" t="str">
        <f t="shared" si="54"/>
        <v/>
      </c>
      <c r="CJ66" s="1" t="str">
        <f>IF(A66="","",IF(CI66="","",RANK(CI66,$CI$3:$CI216,1)))</f>
        <v/>
      </c>
      <c r="CK66" s="1">
        <f t="shared" si="55"/>
        <v>5</v>
      </c>
      <c r="CN66" s="1" t="str">
        <f t="shared" si="56"/>
        <v/>
      </c>
      <c r="CO66" s="1" t="str">
        <f>IF(A66="","",IF(CN66="","",RANK(CN66,$CN$3:$CN216,1)))</f>
        <v/>
      </c>
      <c r="CP66" s="1">
        <f t="shared" si="57"/>
        <v>5</v>
      </c>
      <c r="CS66" s="1" t="str">
        <f t="shared" si="58"/>
        <v/>
      </c>
      <c r="CT66" s="1" t="str">
        <f>IF(A66="","",IF(CS66="","",RANK(CS66,$CS$3:$CS216,1)))</f>
        <v/>
      </c>
      <c r="CU66" s="1">
        <f t="shared" si="59"/>
        <v>5</v>
      </c>
      <c r="CX66" s="1" t="str">
        <f t="shared" si="60"/>
        <v/>
      </c>
      <c r="CY66" s="1" t="str">
        <f>IF(CX66="","",IF(A66="","",RANK(CX66,$CX$3:$CX216,1)))</f>
        <v/>
      </c>
      <c r="CZ66" s="1">
        <f t="shared" si="61"/>
        <v>5</v>
      </c>
      <c r="DC66" s="1" t="str">
        <f t="shared" si="62"/>
        <v/>
      </c>
      <c r="DD66" s="1" t="str">
        <f>IF(DC66="","",IF(A66="","",RANK(DC66,$DC$3:$DC216,1)))</f>
        <v/>
      </c>
      <c r="DE66" s="1">
        <f t="shared" si="63"/>
        <v>5</v>
      </c>
      <c r="DH66" s="1" t="str">
        <f t="shared" si="64"/>
        <v/>
      </c>
      <c r="DI66" s="1" t="str">
        <f>IF(DH66="","",IF(A66="","",RANK(DH66,$DH$3:$DH216,1)))</f>
        <v/>
      </c>
      <c r="DJ66" s="1">
        <f t="shared" si="65"/>
        <v>5</v>
      </c>
      <c r="DM66" s="1" t="str">
        <f t="shared" si="66"/>
        <v/>
      </c>
      <c r="DN66" s="1" t="str">
        <f>IF(DM66="","",IF(A66="","",RANK(DM66,$DM$3:$DM216,1)))</f>
        <v/>
      </c>
      <c r="DO66" s="1">
        <f t="shared" si="67"/>
        <v>5</v>
      </c>
      <c r="DR66" s="1">
        <f t="shared" si="68"/>
        <v>15.10064</v>
      </c>
      <c r="DS66" s="1">
        <f>IF(DR66="","",IF(A66="","",RANK(DR66,$DR$3:$DR216,1)))</f>
        <v>54</v>
      </c>
      <c r="DT66" s="1">
        <f t="shared" si="69"/>
        <v>5</v>
      </c>
      <c r="DW66" s="1">
        <f t="shared" si="70"/>
        <v>14.300640000000001</v>
      </c>
      <c r="DX66" s="1">
        <f>IF(DW66="","",IF(A66="","",RANK(DW66,$DW$3:$DW216,1)))</f>
        <v>91</v>
      </c>
      <c r="DY66" s="1">
        <f t="shared" si="71"/>
        <v>5</v>
      </c>
      <c r="EB66" s="1">
        <f t="shared" si="72"/>
        <v>12.400640000000001</v>
      </c>
      <c r="EC66" s="1">
        <f>IF(EB66="","",IF(A66="","",RANK(EB66,$EB$3:$EB216,1)))</f>
        <v>41</v>
      </c>
      <c r="ED66" s="1">
        <f t="shared" si="73"/>
        <v>5</v>
      </c>
      <c r="EG66" s="1">
        <f t="shared" si="74"/>
        <v>12.60064</v>
      </c>
      <c r="EH66" s="1">
        <f>IF(EG66="","",IF(A66="","",RANK(EG66,$EG$3:$EG216,1)))</f>
        <v>64</v>
      </c>
      <c r="EI66" s="1">
        <f t="shared" si="75"/>
        <v>5</v>
      </c>
    </row>
    <row r="67" spans="1:139" ht="18.75">
      <c r="A67" s="1" t="s">
        <v>88</v>
      </c>
      <c r="B67" s="1">
        <v>20190703</v>
      </c>
      <c r="C67" s="1" t="s">
        <v>94</v>
      </c>
      <c r="D67" s="1">
        <v>5</v>
      </c>
      <c r="E67" s="30">
        <v>52.9</v>
      </c>
      <c r="F67" s="30">
        <v>38.4</v>
      </c>
      <c r="G67" s="30">
        <v>24.8</v>
      </c>
      <c r="H67" s="30">
        <v>12.6</v>
      </c>
      <c r="I67" s="30">
        <v>14.5</v>
      </c>
      <c r="J67" s="30">
        <v>13.6</v>
      </c>
      <c r="K67" s="30">
        <v>12.2</v>
      </c>
      <c r="L67" s="30">
        <v>12.6</v>
      </c>
      <c r="M67" s="1" t="str">
        <f t="shared" si="13"/>
        <v>2019/07/03</v>
      </c>
      <c r="N67" s="4" t="str">
        <f t="shared" si="14"/>
        <v/>
      </c>
      <c r="O67">
        <v>6.5000000000000105E-4</v>
      </c>
      <c r="P67" s="1" t="str">
        <f t="shared" si="15"/>
        <v/>
      </c>
      <c r="Q67" s="1" t="str">
        <f t="shared" si="16"/>
        <v/>
      </c>
      <c r="R67" s="1">
        <f t="shared" si="17"/>
        <v>5</v>
      </c>
      <c r="U67" s="1">
        <f t="shared" si="18"/>
        <v>52.900649999999999</v>
      </c>
      <c r="V67" s="1">
        <f t="shared" si="19"/>
        <v>24</v>
      </c>
      <c r="W67" s="1">
        <f t="shared" si="20"/>
        <v>5</v>
      </c>
      <c r="Z67" s="1" t="str">
        <f t="shared" si="21"/>
        <v/>
      </c>
      <c r="AA67" s="1" t="str">
        <f t="shared" si="22"/>
        <v/>
      </c>
      <c r="AB67" s="1">
        <f t="shared" si="23"/>
        <v>5</v>
      </c>
      <c r="AE67" s="1">
        <f t="shared" si="24"/>
        <v>38.400649999999999</v>
      </c>
      <c r="AF67" s="1">
        <f t="shared" si="25"/>
        <v>38</v>
      </c>
      <c r="AG67" s="1">
        <f t="shared" si="26"/>
        <v>5</v>
      </c>
      <c r="AJ67" s="1" t="str">
        <f t="shared" si="27"/>
        <v/>
      </c>
      <c r="AK67" s="1" t="str">
        <f t="shared" si="28"/>
        <v/>
      </c>
      <c r="AL67" s="1">
        <f t="shared" si="29"/>
        <v>5</v>
      </c>
      <c r="AO67" s="1">
        <f t="shared" si="30"/>
        <v>24.800650000000001</v>
      </c>
      <c r="AP67" s="1">
        <f t="shared" si="31"/>
        <v>33</v>
      </c>
      <c r="AQ67" s="1">
        <f t="shared" si="32"/>
        <v>5</v>
      </c>
      <c r="AT67" s="1">
        <f t="shared" si="33"/>
        <v>0.90000000000000036</v>
      </c>
      <c r="AU67" s="1">
        <f t="shared" si="34"/>
        <v>1.4000000000000004</v>
      </c>
      <c r="AV67" s="1">
        <f t="shared" si="35"/>
        <v>-0.40000000000000036</v>
      </c>
      <c r="AW67" s="1">
        <f t="shared" si="36"/>
        <v>1.9000000000000004</v>
      </c>
      <c r="AX67" s="1">
        <f t="shared" si="37"/>
        <v>0</v>
      </c>
      <c r="BC67" s="1">
        <f t="shared" si="40"/>
        <v>2.3006500000000005</v>
      </c>
      <c r="BD67" s="1">
        <f t="shared" si="41"/>
        <v>88</v>
      </c>
      <c r="BE67" s="1">
        <f t="shared" si="42"/>
        <v>5</v>
      </c>
      <c r="BH67" s="1" t="str">
        <f t="shared" si="43"/>
        <v/>
      </c>
      <c r="BI67" s="1" t="str">
        <f>IF(A67="","",IF(BH67="","",RANK(BH67,$BH$3:$BH217,1)))</f>
        <v/>
      </c>
      <c r="BJ67" s="1">
        <f t="shared" si="44"/>
        <v>5</v>
      </c>
      <c r="BM67" s="1">
        <f t="shared" si="45"/>
        <v>0.80187500000000045</v>
      </c>
      <c r="BN67" s="1">
        <f>IF(A67="","",IF(BM67="","",RANK(BM67,$BM$3:$BM217,1)))</f>
        <v>44</v>
      </c>
      <c r="BO67" s="1">
        <f t="shared" si="46"/>
        <v>5</v>
      </c>
      <c r="BR67" s="1">
        <f t="shared" si="47"/>
        <v>5</v>
      </c>
      <c r="BS67" s="1" t="str">
        <f t="shared" si="48"/>
        <v>シグナライズ　　　　　　　　　　　　</v>
      </c>
      <c r="CD67" s="1" t="str">
        <f t="shared" si="52"/>
        <v/>
      </c>
      <c r="CE67" s="1" t="str">
        <f>IF(A67="","",IF(CD67="","",RANK(CD67,$CD$3:$CD217,1)))</f>
        <v/>
      </c>
      <c r="CF67" s="1">
        <f t="shared" si="53"/>
        <v>5</v>
      </c>
      <c r="CI67" s="1" t="str">
        <f t="shared" si="54"/>
        <v/>
      </c>
      <c r="CJ67" s="1" t="str">
        <f>IF(A67="","",IF(CI67="","",RANK(CI67,$CI$3:$CI217,1)))</f>
        <v/>
      </c>
      <c r="CK67" s="1">
        <f t="shared" si="55"/>
        <v>5</v>
      </c>
      <c r="CN67" s="1" t="str">
        <f t="shared" si="56"/>
        <v/>
      </c>
      <c r="CO67" s="1" t="str">
        <f>IF(A67="","",IF(CN67="","",RANK(CN67,$CN$3:$CN217,1)))</f>
        <v/>
      </c>
      <c r="CP67" s="1">
        <f t="shared" si="57"/>
        <v>5</v>
      </c>
      <c r="CS67" s="1" t="str">
        <f t="shared" si="58"/>
        <v/>
      </c>
      <c r="CT67" s="1" t="str">
        <f>IF(A67="","",IF(CS67="","",RANK(CS67,$CS$3:$CS217,1)))</f>
        <v/>
      </c>
      <c r="CU67" s="1">
        <f t="shared" si="59"/>
        <v>5</v>
      </c>
      <c r="CX67" s="1" t="str">
        <f t="shared" si="60"/>
        <v/>
      </c>
      <c r="CY67" s="1" t="str">
        <f>IF(CX67="","",IF(A67="","",RANK(CX67,$CX$3:$CX217,1)))</f>
        <v/>
      </c>
      <c r="CZ67" s="1">
        <f t="shared" si="61"/>
        <v>5</v>
      </c>
      <c r="DC67" s="1" t="str">
        <f t="shared" si="62"/>
        <v/>
      </c>
      <c r="DD67" s="1" t="str">
        <f>IF(DC67="","",IF(A67="","",RANK(DC67,$DC$3:$DC217,1)))</f>
        <v/>
      </c>
      <c r="DE67" s="1">
        <f t="shared" si="63"/>
        <v>5</v>
      </c>
      <c r="DH67" s="1" t="str">
        <f t="shared" si="64"/>
        <v/>
      </c>
      <c r="DI67" s="1" t="str">
        <f>IF(DH67="","",IF(A67="","",RANK(DH67,$DH$3:$DH217,1)))</f>
        <v/>
      </c>
      <c r="DJ67" s="1">
        <f t="shared" si="65"/>
        <v>5</v>
      </c>
      <c r="DM67" s="1" t="str">
        <f t="shared" si="66"/>
        <v/>
      </c>
      <c r="DN67" s="1" t="str">
        <f>IF(DM67="","",IF(A67="","",RANK(DM67,$DM$3:$DM217,1)))</f>
        <v/>
      </c>
      <c r="DO67" s="1">
        <f t="shared" si="67"/>
        <v>5</v>
      </c>
      <c r="DR67" s="1">
        <f t="shared" si="68"/>
        <v>14.50065</v>
      </c>
      <c r="DS67" s="1">
        <f>IF(DR67="","",IF(A67="","",RANK(DR67,$DR$3:$DR217,1)))</f>
        <v>23</v>
      </c>
      <c r="DT67" s="1">
        <f t="shared" si="69"/>
        <v>5</v>
      </c>
      <c r="DW67" s="1">
        <f t="shared" si="70"/>
        <v>13.60065</v>
      </c>
      <c r="DX67" s="1">
        <f>IF(DW67="","",IF(A67="","",RANK(DW67,$DW$3:$DW217,1)))</f>
        <v>49</v>
      </c>
      <c r="DY67" s="1">
        <f t="shared" si="71"/>
        <v>5</v>
      </c>
      <c r="EB67" s="1">
        <f t="shared" si="72"/>
        <v>12.20065</v>
      </c>
      <c r="EC67" s="1">
        <f>IF(EB67="","",IF(A67="","",RANK(EB67,$EB$3:$EB217,1)))</f>
        <v>18</v>
      </c>
      <c r="ED67" s="1">
        <f t="shared" si="73"/>
        <v>5</v>
      </c>
      <c r="EG67" s="1">
        <f t="shared" si="74"/>
        <v>12.60065</v>
      </c>
      <c r="EH67" s="1">
        <f>IF(EG67="","",IF(A67="","",RANK(EG67,$EG$3:$EG217,1)))</f>
        <v>65</v>
      </c>
      <c r="EI67" s="1">
        <f t="shared" si="75"/>
        <v>5</v>
      </c>
    </row>
    <row r="68" spans="1:139" ht="18.75">
      <c r="A68" s="1" t="s">
        <v>88</v>
      </c>
      <c r="B68" s="1">
        <v>20190710</v>
      </c>
      <c r="C68" s="1" t="s">
        <v>90</v>
      </c>
      <c r="D68" s="1">
        <v>1</v>
      </c>
      <c r="E68" s="30">
        <v>51</v>
      </c>
      <c r="F68" s="30">
        <v>37.299999999999997</v>
      </c>
      <c r="G68" s="30">
        <v>24.7</v>
      </c>
      <c r="H68" s="30">
        <v>12.6</v>
      </c>
      <c r="I68" s="30">
        <v>13.7</v>
      </c>
      <c r="J68" s="30">
        <v>12.6</v>
      </c>
      <c r="K68" s="30">
        <v>12.1</v>
      </c>
      <c r="L68" s="30">
        <v>12.6</v>
      </c>
      <c r="M68" s="1" t="str">
        <f t="shared" ref="M68:M131" si="85">IFERROR(MID(B68,1,4)&amp;"/"&amp;MID(B68,5,2)&amp;"/"&amp;RIGHT(B68,2),"")</f>
        <v>2019/07/10</v>
      </c>
      <c r="N68" s="4" t="str">
        <f t="shared" ref="N68:N131" si="86">IFERROR(IF(AND(VALUE($N$1)&gt;=VALUE(M68),VALUE($N$2)&lt;=VALUE(M68)),D68,""),"")</f>
        <v/>
      </c>
      <c r="O68">
        <v>6.6000000000000108E-4</v>
      </c>
      <c r="P68" s="1" t="str">
        <f t="shared" ref="P68:P131" si="87">IF(N68="","",IF(E68=0,"",IF(E68="","",E68+O68)))</f>
        <v/>
      </c>
      <c r="Q68" s="1" t="str">
        <f t="shared" ref="Q68:Q131" si="88">IF($A68="","",IF(P68="","",RANK(P68,$P$3:$P$153,1)))</f>
        <v/>
      </c>
      <c r="R68" s="1">
        <f t="shared" ref="R68:R131" si="89">D68</f>
        <v>1</v>
      </c>
      <c r="U68" s="1">
        <f t="shared" ref="U68:U131" si="90">IF(A68="","",IF(E68=0,"",IF(E68="","",E68+O68)))</f>
        <v>51.000660000000003</v>
      </c>
      <c r="V68" s="1">
        <f t="shared" ref="V68:V131" si="91">IF($A68="","",IF(U68="","",RANK(U68,$U$3:$U$153,1)))</f>
        <v>1</v>
      </c>
      <c r="W68" s="1">
        <f t="shared" ref="W68:W131" si="92">D68</f>
        <v>1</v>
      </c>
      <c r="Z68" s="1" t="str">
        <f t="shared" ref="Z68:Z131" si="93">IF(N68="","",IF(F68=0,"",IF(F68="","",F68+O68)))</f>
        <v/>
      </c>
      <c r="AA68" s="1" t="str">
        <f t="shared" ref="AA68:AA131" si="94">IF($A68="","",IF(Z68="","",RANK(Z68,$Z$3:$Z$153,1)))</f>
        <v/>
      </c>
      <c r="AB68" s="1">
        <f t="shared" ref="AB68:AB131" si="95">D68</f>
        <v>1</v>
      </c>
      <c r="AE68" s="1">
        <f t="shared" ref="AE68:AE131" si="96">IF(F68=0,"",IF(F68="","",F68+O68))</f>
        <v>37.300660000000001</v>
      </c>
      <c r="AF68" s="1">
        <f t="shared" ref="AF68:AF131" si="97">IF($A68="","",IF(AE68="","",RANK(AE68,$AE$3:$AE$153,1)))</f>
        <v>2</v>
      </c>
      <c r="AG68" s="1">
        <f t="shared" ref="AG68:AG131" si="98">D68</f>
        <v>1</v>
      </c>
      <c r="AJ68" s="1" t="str">
        <f t="shared" ref="AJ68:AJ131" si="99">IF(N68="","",IF(G68=0,"",IF(G68="","",G68+O68)))</f>
        <v/>
      </c>
      <c r="AK68" s="1" t="str">
        <f t="shared" ref="AK68:AK131" si="100">IF($A68="","",IF(AJ68="","",RANK(AJ68,$AJ$3:$AJ$153,1)))</f>
        <v/>
      </c>
      <c r="AL68" s="1">
        <f t="shared" ref="AL68:AL131" si="101">D68</f>
        <v>1</v>
      </c>
      <c r="AO68" s="1">
        <f t="shared" ref="AO68:AO131" si="102">IF(G68=0,"",IF(G68="","",G68+O68))</f>
        <v>24.700659999999999</v>
      </c>
      <c r="AP68" s="1">
        <f t="shared" ref="AP68:AP131" si="103">IF($A68="","",IF(AO68="","",RANK(AO68,$AO$3:$AO$153,1)))</f>
        <v>22</v>
      </c>
      <c r="AQ68" s="1">
        <f t="shared" ref="AQ68:AQ131" si="104">D68</f>
        <v>1</v>
      </c>
      <c r="AT68" s="1">
        <f t="shared" ref="AT68:AT131" si="105">IFERROR(IF(I68="","",IF(OR(I68=0,J68=0,K68=0,L68=0),0,I68-J68)),"")</f>
        <v>1.0999999999999996</v>
      </c>
      <c r="AU68" s="1">
        <f t="shared" ref="AU68:AU131" si="106">IFERROR(IF(J68="","",IF(OR(I68=0,J68=0,K68=0,L68=0),0,J68-K68)),"")</f>
        <v>0.5</v>
      </c>
      <c r="AV68" s="1">
        <f t="shared" ref="AV68:AV131" si="107">IFERROR(IF(K68="","",IF(OR(I68=0,J68=0,K68=0,L68=0),0,K68-L68)),"")</f>
        <v>-0.5</v>
      </c>
      <c r="AW68" s="1">
        <f t="shared" ref="AW68:AW131" si="108">IF(SUM(AT68:AV68)=0,0,IF(OR(I68=0,J68=0,K68=0,L68=0),0,SUM(AT68:AV68)))</f>
        <v>1.0999999999999996</v>
      </c>
      <c r="AX68" s="1">
        <f t="shared" ref="AX68:AX131" si="109">IFERROR(IF(A68="",0,IF(OR(I68=0,J68=0,K68=0,L68=0),0,IF(AV68&lt;0,0,AVERAGE(AT68:AV68)+O68))),"")</f>
        <v>0</v>
      </c>
      <c r="BC68" s="1">
        <f t="shared" ref="BC68:BC131" si="110">IFERROR(IF(AND(AU68&lt;0,AV68&lt;0),0,AT68+AU68+O68),0)</f>
        <v>1.6006599999999997</v>
      </c>
      <c r="BD68" s="1">
        <f t="shared" ref="BD68:BD131" si="111">IF(A68="","",RANK(BC68,$BC$3:$BC$153,0))</f>
        <v>126</v>
      </c>
      <c r="BE68" s="1">
        <f t="shared" ref="BE68:BE131" si="112">D68</f>
        <v>1</v>
      </c>
      <c r="BH68" s="1" t="str">
        <f t="shared" ref="BH68:BH131" si="113">IFERROR(IF(A68="","",IF(OR(I68=0,J68=0,K68=0,L68=0),"",IF(N68="","",VARP(I68:L68)))),"")</f>
        <v/>
      </c>
      <c r="BI68" s="1" t="str">
        <f>IF(A68="","",IF(BH68="","",RANK(BH68,$BH$3:$BH218,1)))</f>
        <v/>
      </c>
      <c r="BJ68" s="1">
        <f t="shared" ref="BJ68:BJ131" si="114">D68</f>
        <v>1</v>
      </c>
      <c r="BM68" s="1">
        <f t="shared" ref="BM68:BM131" si="115">IFERROR(IF(A68="","",IF(OR(I68=0,J68=0,K68=0,L68=0),"",VARP(I68:L68))),"")</f>
        <v>0.34249999999999986</v>
      </c>
      <c r="BN68" s="1">
        <f>IF(A68="","",IF(BM68="","",RANK(BM68,$BM$3:$BM218,1)))</f>
        <v>11</v>
      </c>
      <c r="BO68" s="1">
        <f t="shared" ref="BO68:BO131" si="116">D68</f>
        <v>1</v>
      </c>
      <c r="BR68" s="1">
        <f t="shared" ref="BR68:BR131" si="117">D68</f>
        <v>1</v>
      </c>
      <c r="BS68" s="1" t="str">
        <f t="shared" ref="BS68:BS131" si="118">C68</f>
        <v>コウエイダリア　　　　　　　　　　　</v>
      </c>
      <c r="CD68" s="1" t="str">
        <f t="shared" ref="CD68:CD131" si="119">IFERROR(IF(L68=0,"",IF(N68="","",IF(L68&lt;12,L68,""))),"")</f>
        <v/>
      </c>
      <c r="CE68" s="1" t="str">
        <f>IF(A68="","",IF(CD68="","",RANK(CD68,$CD$3:$CD218,1)))</f>
        <v/>
      </c>
      <c r="CF68" s="1">
        <f t="shared" ref="CF68:CF131" si="120">D68</f>
        <v>1</v>
      </c>
      <c r="CI68" s="1" t="str">
        <f t="shared" ref="CI68:CI131" si="121">IFERROR(IF(L68=0,"",IF(L68&lt;12,L68,"")),"")</f>
        <v/>
      </c>
      <c r="CJ68" s="1" t="str">
        <f>IF(A68="","",IF(CI68="","",RANK(CI68,$CI$3:$CI218,1)))</f>
        <v/>
      </c>
      <c r="CK68" s="1">
        <f t="shared" ref="CK68:CK131" si="122">D68</f>
        <v>1</v>
      </c>
      <c r="CN68" s="1" t="str">
        <f t="shared" ref="CN68:CN131" si="123">IFERROR(IF(K68=0,"",IF(N68="","",IF(K68&lt;12,K68,""))),"")</f>
        <v/>
      </c>
      <c r="CO68" s="1" t="str">
        <f>IF(A68="","",IF(CN68="","",RANK(CN68,$CN$3:$CN218,1)))</f>
        <v/>
      </c>
      <c r="CP68" s="1">
        <f t="shared" ref="CP68:CP131" si="124">D68</f>
        <v>1</v>
      </c>
      <c r="CS68" s="1" t="str">
        <f t="shared" ref="CS68:CS131" si="125">IFERROR(IF(K68=0,"",IF(K68&lt;12,K68,"")),"")</f>
        <v/>
      </c>
      <c r="CT68" s="1" t="str">
        <f>IF(A68="","",IF(CS68="","",RANK(CS68,$CS$3:$CS218,1)))</f>
        <v/>
      </c>
      <c r="CU68" s="1">
        <f t="shared" ref="CU68:CU131" si="126">D68</f>
        <v>1</v>
      </c>
      <c r="CX68" s="1" t="str">
        <f t="shared" ref="CX68:CX131" si="127">IFERROR(IF($A68="","",IF(OR(I68=0,J68=0,K68=0,L68=0),"",IF($N68="","",IF(OR(F68&gt;=410,L68&gt;=140),"",I68+$O68)))),"")</f>
        <v/>
      </c>
      <c r="CY68" s="1" t="str">
        <f>IF(CX68="","",IF(A68="","",RANK(CX68,$CX$3:$CX218,1)))</f>
        <v/>
      </c>
      <c r="CZ68" s="1">
        <f t="shared" ref="CZ68:CZ131" si="128">D68</f>
        <v>1</v>
      </c>
      <c r="DC68" s="1" t="str">
        <f t="shared" ref="DC68:DC131" si="129">IFERROR(IF($A68="","",IF(OR(I68=0,J68=0,K68=0,L68=0),"",IF($N68="","",IF(OR(F68&gt;=410,L68&gt;=140),"",J68+$O68)))),"")</f>
        <v/>
      </c>
      <c r="DD68" s="1" t="str">
        <f>IF(DC68="","",IF(A68="","",RANK(DC68,$DC$3:$DC218,1)))</f>
        <v/>
      </c>
      <c r="DE68" s="1">
        <f t="shared" ref="DE68:DE131" si="130">D68</f>
        <v>1</v>
      </c>
      <c r="DH68" s="1" t="str">
        <f t="shared" ref="DH68:DH131" si="131">IFERROR(IF($A68="","",IF(OR(I68=0,J68=0,K68=0,L68=0),"",IF($N68="","",IF(OR(F68&gt;=410,L68&gt;=140),"",K68+$O68)))),"")</f>
        <v/>
      </c>
      <c r="DI68" s="1" t="str">
        <f>IF(DH68="","",IF(A68="","",RANK(DH68,$DH$3:$DH218,1)))</f>
        <v/>
      </c>
      <c r="DJ68" s="1">
        <f t="shared" ref="DJ68:DJ131" si="132">D68</f>
        <v>1</v>
      </c>
      <c r="DM68" s="1" t="str">
        <f t="shared" ref="DM68:DM131" si="133">IFERROR(IF($A68="","",IF(OR(I68=0,J68=0,K68=0,L68=0),"",IF($N68="","",IF(OR(F68&gt;=410,L68&gt;=140),"",L68+$O68)))),"")</f>
        <v/>
      </c>
      <c r="DN68" s="1" t="str">
        <f>IF(DM68="","",IF(A68="","",RANK(DM68,$DM$3:$DM218,1)))</f>
        <v/>
      </c>
      <c r="DO68" s="1">
        <f t="shared" ref="DO68:DO131" si="134">D68</f>
        <v>1</v>
      </c>
      <c r="DR68" s="1">
        <f t="shared" ref="DR68:DR131" si="135">IFERROR(IF($A68="","",IF(OR(I68=0,J68=0,K68=0,L68=0),"",IF(OR(F68&gt;=410,L68&gt;=140),"",I68+$O68))),"")</f>
        <v>13.700659999999999</v>
      </c>
      <c r="DS68" s="1">
        <f>IF(DR68="","",IF(A68="","",RANK(DR68,$DR$3:$DR218,1)))</f>
        <v>4</v>
      </c>
      <c r="DT68" s="1">
        <f t="shared" ref="DT68:DT131" si="136">D68</f>
        <v>1</v>
      </c>
      <c r="DW68" s="1">
        <f t="shared" ref="DW68:DW131" si="137">IFERROR(IF($A68="","",IF(OR(I68=0,J68=0,K68=0,L68=0),"",IF(OR(F68&gt;=410,L68&gt;=140),"",J68+$O68))),"")</f>
        <v>12.60066</v>
      </c>
      <c r="DX68" s="1">
        <f>IF(DW68="","",IF(A68="","",RANK(DW68,$DW$3:$DW218,1)))</f>
        <v>6</v>
      </c>
      <c r="DY68" s="1">
        <f t="shared" ref="DY68:DY131" si="138">D68</f>
        <v>1</v>
      </c>
      <c r="EB68" s="1">
        <f t="shared" ref="EB68:EB131" si="139">IFERROR(IF($A68="","",IF(OR(I68=0,J68=0,K68=0,L68=0),"",IF(OR(F68&gt;=410,L68&gt;=140),"",K68+$O68))),"")</f>
        <v>12.10066</v>
      </c>
      <c r="EC68" s="1">
        <f>IF(EB68="","",IF(A68="","",RANK(EB68,$EB$3:$EB218,1)))</f>
        <v>14</v>
      </c>
      <c r="ED68" s="1">
        <f t="shared" ref="ED68:ED131" si="140">D68</f>
        <v>1</v>
      </c>
      <c r="EG68" s="1">
        <f t="shared" ref="EG68:EG131" si="141">IFERROR(IF($A68="","",IF(OR(I68=0,J68=0,K68=0,L68=0),"",IF(OR(F68&gt;=410,L68&gt;=140),"",L68+$O68))),"")</f>
        <v>12.60066</v>
      </c>
      <c r="EH68" s="1">
        <f>IF(EG68="","",IF(A68="","",RANK(EG68,$EG$3:$EG218,1)))</f>
        <v>66</v>
      </c>
      <c r="EI68" s="1">
        <f t="shared" ref="EI68:EI131" si="142">D68</f>
        <v>1</v>
      </c>
    </row>
    <row r="69" spans="1:139" ht="18.75">
      <c r="A69" s="1" t="s">
        <v>88</v>
      </c>
      <c r="B69" s="1">
        <v>20190118</v>
      </c>
      <c r="C69" s="1" t="s">
        <v>94</v>
      </c>
      <c r="D69" s="1">
        <v>5</v>
      </c>
      <c r="E69" s="30">
        <v>56.3</v>
      </c>
      <c r="F69" s="30">
        <v>39.799999999999997</v>
      </c>
      <c r="G69" s="30">
        <v>25.5</v>
      </c>
      <c r="H69" s="30">
        <v>12.7</v>
      </c>
      <c r="I69" s="30">
        <v>16.5</v>
      </c>
      <c r="J69" s="30">
        <v>14.3</v>
      </c>
      <c r="K69" s="30">
        <v>12.8</v>
      </c>
      <c r="L69" s="30">
        <v>12.7</v>
      </c>
      <c r="M69" s="1" t="str">
        <f t="shared" si="85"/>
        <v>2019/01/18</v>
      </c>
      <c r="N69" s="4" t="str">
        <f t="shared" si="86"/>
        <v/>
      </c>
      <c r="O69">
        <v>6.7000000000000111E-4</v>
      </c>
      <c r="P69" s="1" t="str">
        <f t="shared" si="87"/>
        <v/>
      </c>
      <c r="Q69" s="1" t="str">
        <f t="shared" si="88"/>
        <v/>
      </c>
      <c r="R69" s="1">
        <f t="shared" si="89"/>
        <v>5</v>
      </c>
      <c r="U69" s="1">
        <f t="shared" si="90"/>
        <v>56.300669999999997</v>
      </c>
      <c r="V69" s="1">
        <f t="shared" si="91"/>
        <v>92</v>
      </c>
      <c r="W69" s="1">
        <f t="shared" si="92"/>
        <v>5</v>
      </c>
      <c r="Z69" s="1" t="str">
        <f t="shared" si="93"/>
        <v/>
      </c>
      <c r="AA69" s="1" t="str">
        <f t="shared" si="94"/>
        <v/>
      </c>
      <c r="AB69" s="1">
        <f t="shared" si="95"/>
        <v>5</v>
      </c>
      <c r="AE69" s="1">
        <f t="shared" si="96"/>
        <v>39.800669999999997</v>
      </c>
      <c r="AF69" s="1">
        <f t="shared" si="97"/>
        <v>78</v>
      </c>
      <c r="AG69" s="1">
        <f t="shared" si="98"/>
        <v>5</v>
      </c>
      <c r="AJ69" s="1" t="str">
        <f t="shared" si="99"/>
        <v/>
      </c>
      <c r="AK69" s="1" t="str">
        <f t="shared" si="100"/>
        <v/>
      </c>
      <c r="AL69" s="1">
        <f t="shared" si="101"/>
        <v>5</v>
      </c>
      <c r="AO69" s="1">
        <f t="shared" si="102"/>
        <v>25.50067</v>
      </c>
      <c r="AP69" s="1">
        <f t="shared" si="103"/>
        <v>71</v>
      </c>
      <c r="AQ69" s="1">
        <f t="shared" si="104"/>
        <v>5</v>
      </c>
      <c r="AT69" s="1">
        <f t="shared" si="105"/>
        <v>2.1999999999999993</v>
      </c>
      <c r="AU69" s="1">
        <f t="shared" si="106"/>
        <v>1.5</v>
      </c>
      <c r="AV69" s="1">
        <f t="shared" si="107"/>
        <v>0.10000000000000142</v>
      </c>
      <c r="AW69" s="1">
        <f t="shared" si="108"/>
        <v>3.8000000000000007</v>
      </c>
      <c r="AX69" s="1">
        <f t="shared" si="109"/>
        <v>1.2673366666666668</v>
      </c>
      <c r="BC69" s="1">
        <f t="shared" si="110"/>
        <v>3.7006699999999992</v>
      </c>
      <c r="BD69" s="1">
        <f t="shared" si="111"/>
        <v>30</v>
      </c>
      <c r="BE69" s="1">
        <f t="shared" si="112"/>
        <v>5</v>
      </c>
      <c r="BH69" s="1" t="str">
        <f t="shared" si="113"/>
        <v/>
      </c>
      <c r="BI69" s="1" t="str">
        <f>IF(A69="","",IF(BH69="","",RANK(BH69,$BH$3:$BH219,1)))</f>
        <v/>
      </c>
      <c r="BJ69" s="1">
        <f t="shared" si="114"/>
        <v>5</v>
      </c>
      <c r="BM69" s="1">
        <f t="shared" si="115"/>
        <v>2.3618750000000261</v>
      </c>
      <c r="BN69" s="1">
        <f>IF(A69="","",IF(BM69="","",RANK(BM69,$BM$3:$BM219,1)))</f>
        <v>118</v>
      </c>
      <c r="BO69" s="1">
        <f t="shared" si="116"/>
        <v>5</v>
      </c>
      <c r="BR69" s="1">
        <f t="shared" si="117"/>
        <v>5</v>
      </c>
      <c r="BS69" s="1" t="str">
        <f t="shared" si="118"/>
        <v>シグナライズ　　　　　　　　　　　　</v>
      </c>
      <c r="CD69" s="1" t="str">
        <f t="shared" si="119"/>
        <v/>
      </c>
      <c r="CE69" s="1" t="str">
        <f>IF(A69="","",IF(CD69="","",RANK(CD69,$CD$3:$CD219,1)))</f>
        <v/>
      </c>
      <c r="CF69" s="1">
        <f t="shared" si="120"/>
        <v>5</v>
      </c>
      <c r="CI69" s="1" t="str">
        <f t="shared" si="121"/>
        <v/>
      </c>
      <c r="CJ69" s="1" t="str">
        <f>IF(A69="","",IF(CI69="","",RANK(CI69,$CI$3:$CI219,1)))</f>
        <v/>
      </c>
      <c r="CK69" s="1">
        <f t="shared" si="122"/>
        <v>5</v>
      </c>
      <c r="CN69" s="1" t="str">
        <f t="shared" si="123"/>
        <v/>
      </c>
      <c r="CO69" s="1" t="str">
        <f>IF(A69="","",IF(CN69="","",RANK(CN69,$CN$3:$CN219,1)))</f>
        <v/>
      </c>
      <c r="CP69" s="1">
        <f t="shared" si="124"/>
        <v>5</v>
      </c>
      <c r="CS69" s="1" t="str">
        <f t="shared" si="125"/>
        <v/>
      </c>
      <c r="CT69" s="1" t="str">
        <f>IF(A69="","",IF(CS69="","",RANK(CS69,$CS$3:$CS219,1)))</f>
        <v/>
      </c>
      <c r="CU69" s="1">
        <f t="shared" si="126"/>
        <v>5</v>
      </c>
      <c r="CX69" s="1" t="str">
        <f t="shared" si="127"/>
        <v/>
      </c>
      <c r="CY69" s="1" t="str">
        <f>IF(CX69="","",IF(A69="","",RANK(CX69,$CX$3:$CX219,1)))</f>
        <v/>
      </c>
      <c r="CZ69" s="1">
        <f t="shared" si="128"/>
        <v>5</v>
      </c>
      <c r="DC69" s="1" t="str">
        <f t="shared" si="129"/>
        <v/>
      </c>
      <c r="DD69" s="1" t="str">
        <f>IF(DC69="","",IF(A69="","",RANK(DC69,$DC$3:$DC219,1)))</f>
        <v/>
      </c>
      <c r="DE69" s="1">
        <f t="shared" si="130"/>
        <v>5</v>
      </c>
      <c r="DH69" s="1" t="str">
        <f t="shared" si="131"/>
        <v/>
      </c>
      <c r="DI69" s="1" t="str">
        <f>IF(DH69="","",IF(A69="","",RANK(DH69,$DH$3:$DH219,1)))</f>
        <v/>
      </c>
      <c r="DJ69" s="1">
        <f t="shared" si="132"/>
        <v>5</v>
      </c>
      <c r="DM69" s="1" t="str">
        <f t="shared" si="133"/>
        <v/>
      </c>
      <c r="DN69" s="1" t="str">
        <f>IF(DM69="","",IF(A69="","",RANK(DM69,$DM$3:$DM219,1)))</f>
        <v/>
      </c>
      <c r="DO69" s="1">
        <f t="shared" si="134"/>
        <v>5</v>
      </c>
      <c r="DR69" s="1">
        <f t="shared" si="135"/>
        <v>16.50067</v>
      </c>
      <c r="DS69" s="1">
        <f>IF(DR69="","",IF(A69="","",RANK(DR69,$DR$3:$DR219,1)))</f>
        <v>111</v>
      </c>
      <c r="DT69" s="1">
        <f t="shared" si="136"/>
        <v>5</v>
      </c>
      <c r="DW69" s="1">
        <f t="shared" si="137"/>
        <v>14.30067</v>
      </c>
      <c r="DX69" s="1">
        <f>IF(DW69="","",IF(A69="","",RANK(DW69,$DW$3:$DW219,1)))</f>
        <v>92</v>
      </c>
      <c r="DY69" s="1">
        <f t="shared" si="138"/>
        <v>5</v>
      </c>
      <c r="EB69" s="1">
        <f t="shared" si="139"/>
        <v>12.80067</v>
      </c>
      <c r="EC69" s="1">
        <f>IF(EB69="","",IF(A69="","",RANK(EB69,$EB$3:$EB219,1)))</f>
        <v>74</v>
      </c>
      <c r="ED69" s="1">
        <f t="shared" si="140"/>
        <v>5</v>
      </c>
      <c r="EG69" s="1">
        <f t="shared" si="141"/>
        <v>12.700669999999999</v>
      </c>
      <c r="EH69" s="1">
        <f>IF(EG69="","",IF(A69="","",RANK(EG69,$EG$3:$EG219,1)))</f>
        <v>67</v>
      </c>
      <c r="EI69" s="1">
        <f t="shared" si="142"/>
        <v>5</v>
      </c>
    </row>
    <row r="70" spans="1:139" ht="18.75">
      <c r="A70" s="1" t="s">
        <v>88</v>
      </c>
      <c r="B70" s="1">
        <v>20190124</v>
      </c>
      <c r="C70" s="1" t="s">
        <v>94</v>
      </c>
      <c r="D70" s="1">
        <v>5</v>
      </c>
      <c r="E70" s="30">
        <v>51.6</v>
      </c>
      <c r="F70" s="30">
        <v>37.4</v>
      </c>
      <c r="G70" s="30">
        <v>24.7</v>
      </c>
      <c r="H70" s="30">
        <v>12.7</v>
      </c>
      <c r="I70" s="30">
        <v>14.2</v>
      </c>
      <c r="J70" s="30">
        <v>12.7</v>
      </c>
      <c r="K70" s="30">
        <v>12</v>
      </c>
      <c r="L70" s="30">
        <v>12.7</v>
      </c>
      <c r="M70" s="1" t="str">
        <f t="shared" si="85"/>
        <v>2019/01/24</v>
      </c>
      <c r="N70" s="4" t="str">
        <f t="shared" si="86"/>
        <v/>
      </c>
      <c r="O70">
        <v>6.8000000000000113E-4</v>
      </c>
      <c r="P70" s="1" t="str">
        <f t="shared" si="87"/>
        <v/>
      </c>
      <c r="Q70" s="1" t="str">
        <f t="shared" si="88"/>
        <v/>
      </c>
      <c r="R70" s="1">
        <f t="shared" si="89"/>
        <v>5</v>
      </c>
      <c r="U70" s="1">
        <f t="shared" si="90"/>
        <v>51.600680000000004</v>
      </c>
      <c r="V70" s="1">
        <f t="shared" si="91"/>
        <v>6</v>
      </c>
      <c r="W70" s="1">
        <f t="shared" si="92"/>
        <v>5</v>
      </c>
      <c r="Z70" s="1" t="str">
        <f t="shared" si="93"/>
        <v/>
      </c>
      <c r="AA70" s="1" t="str">
        <f t="shared" si="94"/>
        <v/>
      </c>
      <c r="AB70" s="1">
        <f t="shared" si="95"/>
        <v>5</v>
      </c>
      <c r="AE70" s="1">
        <f t="shared" si="96"/>
        <v>37.400680000000001</v>
      </c>
      <c r="AF70" s="1">
        <f t="shared" si="97"/>
        <v>3</v>
      </c>
      <c r="AG70" s="1">
        <f t="shared" si="98"/>
        <v>5</v>
      </c>
      <c r="AJ70" s="1" t="str">
        <f t="shared" si="99"/>
        <v/>
      </c>
      <c r="AK70" s="1" t="str">
        <f t="shared" si="100"/>
        <v/>
      </c>
      <c r="AL70" s="1">
        <f t="shared" si="101"/>
        <v>5</v>
      </c>
      <c r="AO70" s="1">
        <f t="shared" si="102"/>
        <v>24.700679999999998</v>
      </c>
      <c r="AP70" s="1">
        <f t="shared" si="103"/>
        <v>23</v>
      </c>
      <c r="AQ70" s="1">
        <f t="shared" si="104"/>
        <v>5</v>
      </c>
      <c r="AT70" s="1">
        <f t="shared" si="105"/>
        <v>1.5</v>
      </c>
      <c r="AU70" s="1">
        <f t="shared" si="106"/>
        <v>0.69999999999999929</v>
      </c>
      <c r="AV70" s="1">
        <f t="shared" si="107"/>
        <v>-0.69999999999999929</v>
      </c>
      <c r="AW70" s="1">
        <f t="shared" si="108"/>
        <v>1.5</v>
      </c>
      <c r="AX70" s="1">
        <f t="shared" si="109"/>
        <v>0</v>
      </c>
      <c r="BC70" s="1">
        <f t="shared" si="110"/>
        <v>2.2006799999999993</v>
      </c>
      <c r="BD70" s="1">
        <f t="shared" si="111"/>
        <v>94</v>
      </c>
      <c r="BE70" s="1">
        <f t="shared" si="112"/>
        <v>5</v>
      </c>
      <c r="BH70" s="1" t="str">
        <f t="shared" si="113"/>
        <v/>
      </c>
      <c r="BI70" s="1" t="str">
        <f>IF(A70="","",IF(BH70="","",RANK(BH70,$BH$3:$BH220,1)))</f>
        <v/>
      </c>
      <c r="BJ70" s="1">
        <f t="shared" si="114"/>
        <v>5</v>
      </c>
      <c r="BM70" s="1">
        <f t="shared" si="115"/>
        <v>0.64499999999999968</v>
      </c>
      <c r="BN70" s="1">
        <f>IF(A70="","",IF(BM70="","",RANK(BM70,$BM$3:$BM220,1)))</f>
        <v>34</v>
      </c>
      <c r="BO70" s="1">
        <f t="shared" si="116"/>
        <v>5</v>
      </c>
      <c r="BR70" s="1">
        <f t="shared" si="117"/>
        <v>5</v>
      </c>
      <c r="BS70" s="1" t="str">
        <f t="shared" si="118"/>
        <v>シグナライズ　　　　　　　　　　　　</v>
      </c>
      <c r="CD70" s="1" t="str">
        <f t="shared" si="119"/>
        <v/>
      </c>
      <c r="CE70" s="1" t="str">
        <f>IF(A70="","",IF(CD70="","",RANK(CD70,$CD$3:$CD220,1)))</f>
        <v/>
      </c>
      <c r="CF70" s="1">
        <f t="shared" si="120"/>
        <v>5</v>
      </c>
      <c r="CI70" s="1" t="str">
        <f t="shared" si="121"/>
        <v/>
      </c>
      <c r="CJ70" s="1" t="str">
        <f>IF(A70="","",IF(CI70="","",RANK(CI70,$CI$3:$CI220,1)))</f>
        <v/>
      </c>
      <c r="CK70" s="1">
        <f t="shared" si="122"/>
        <v>5</v>
      </c>
      <c r="CN70" s="1" t="str">
        <f t="shared" si="123"/>
        <v/>
      </c>
      <c r="CO70" s="1" t="str">
        <f>IF(A70="","",IF(CN70="","",RANK(CN70,$CN$3:$CN220,1)))</f>
        <v/>
      </c>
      <c r="CP70" s="1">
        <f t="shared" si="124"/>
        <v>5</v>
      </c>
      <c r="CS70" s="1" t="str">
        <f t="shared" si="125"/>
        <v/>
      </c>
      <c r="CT70" s="1" t="str">
        <f>IF(A70="","",IF(CS70="","",RANK(CS70,$CS$3:$CS220,1)))</f>
        <v/>
      </c>
      <c r="CU70" s="1">
        <f t="shared" si="126"/>
        <v>5</v>
      </c>
      <c r="CX70" s="1" t="str">
        <f t="shared" si="127"/>
        <v/>
      </c>
      <c r="CY70" s="1" t="str">
        <f>IF(CX70="","",IF(A70="","",RANK(CX70,$CX$3:$CX220,1)))</f>
        <v/>
      </c>
      <c r="CZ70" s="1">
        <f t="shared" si="128"/>
        <v>5</v>
      </c>
      <c r="DC70" s="1" t="str">
        <f t="shared" si="129"/>
        <v/>
      </c>
      <c r="DD70" s="1" t="str">
        <f>IF(DC70="","",IF(A70="","",RANK(DC70,$DC$3:$DC220,1)))</f>
        <v/>
      </c>
      <c r="DE70" s="1">
        <f t="shared" si="130"/>
        <v>5</v>
      </c>
      <c r="DH70" s="1" t="str">
        <f t="shared" si="131"/>
        <v/>
      </c>
      <c r="DI70" s="1" t="str">
        <f>IF(DH70="","",IF(A70="","",RANK(DH70,$DH$3:$DH220,1)))</f>
        <v/>
      </c>
      <c r="DJ70" s="1">
        <f t="shared" si="132"/>
        <v>5</v>
      </c>
      <c r="DM70" s="1" t="str">
        <f t="shared" si="133"/>
        <v/>
      </c>
      <c r="DN70" s="1" t="str">
        <f>IF(DM70="","",IF(A70="","",RANK(DM70,$DM$3:$DM220,1)))</f>
        <v/>
      </c>
      <c r="DO70" s="1">
        <f t="shared" si="134"/>
        <v>5</v>
      </c>
      <c r="DR70" s="1">
        <f t="shared" si="135"/>
        <v>14.200679999999998</v>
      </c>
      <c r="DS70" s="1">
        <f>IF(DR70="","",IF(A70="","",RANK(DR70,$DR$3:$DR220,1)))</f>
        <v>11</v>
      </c>
      <c r="DT70" s="1">
        <f t="shared" si="136"/>
        <v>5</v>
      </c>
      <c r="DW70" s="1">
        <f t="shared" si="137"/>
        <v>12.700679999999998</v>
      </c>
      <c r="DX70" s="1">
        <f>IF(DW70="","",IF(A70="","",RANK(DW70,$DW$3:$DW220,1)))</f>
        <v>8</v>
      </c>
      <c r="DY70" s="1">
        <f t="shared" si="138"/>
        <v>5</v>
      </c>
      <c r="EB70" s="1">
        <f t="shared" si="139"/>
        <v>12.000679999999999</v>
      </c>
      <c r="EC70" s="1">
        <f>IF(EB70="","",IF(A70="","",RANK(EB70,$EB$3:$EB220,1)))</f>
        <v>10</v>
      </c>
      <c r="ED70" s="1">
        <f t="shared" si="140"/>
        <v>5</v>
      </c>
      <c r="EG70" s="1">
        <f t="shared" si="141"/>
        <v>12.700679999999998</v>
      </c>
      <c r="EH70" s="1">
        <f>IF(EG70="","",IF(A70="","",RANK(EG70,$EG$3:$EG220,1)))</f>
        <v>68</v>
      </c>
      <c r="EI70" s="1">
        <f t="shared" si="142"/>
        <v>5</v>
      </c>
    </row>
    <row r="71" spans="1:139" ht="18.75">
      <c r="A71" s="1" t="s">
        <v>88</v>
      </c>
      <c r="B71" s="1">
        <v>20190306</v>
      </c>
      <c r="C71" s="1" t="s">
        <v>91</v>
      </c>
      <c r="D71" s="1">
        <v>2</v>
      </c>
      <c r="E71" s="30">
        <v>54.4</v>
      </c>
      <c r="F71" s="30">
        <v>39.5</v>
      </c>
      <c r="G71" s="30">
        <v>25.6</v>
      </c>
      <c r="H71" s="30">
        <v>12.7</v>
      </c>
      <c r="I71" s="30">
        <v>14.9</v>
      </c>
      <c r="J71" s="30">
        <v>13.9</v>
      </c>
      <c r="K71" s="30">
        <v>12.9</v>
      </c>
      <c r="L71" s="30">
        <v>12.7</v>
      </c>
      <c r="M71" s="1" t="str">
        <f t="shared" si="85"/>
        <v>2019/03/06</v>
      </c>
      <c r="N71" s="4" t="str">
        <f t="shared" si="86"/>
        <v/>
      </c>
      <c r="O71">
        <v>6.9000000000000116E-4</v>
      </c>
      <c r="P71" s="1" t="str">
        <f t="shared" si="87"/>
        <v/>
      </c>
      <c r="Q71" s="1" t="str">
        <f t="shared" si="88"/>
        <v/>
      </c>
      <c r="R71" s="1">
        <f t="shared" si="89"/>
        <v>2</v>
      </c>
      <c r="U71" s="1">
        <f t="shared" si="90"/>
        <v>54.400689999999997</v>
      </c>
      <c r="V71" s="1">
        <f t="shared" si="91"/>
        <v>57</v>
      </c>
      <c r="W71" s="1">
        <f t="shared" si="92"/>
        <v>2</v>
      </c>
      <c r="Z71" s="1" t="str">
        <f t="shared" si="93"/>
        <v/>
      </c>
      <c r="AA71" s="1" t="str">
        <f t="shared" si="94"/>
        <v/>
      </c>
      <c r="AB71" s="1">
        <f t="shared" si="95"/>
        <v>2</v>
      </c>
      <c r="AE71" s="1">
        <f t="shared" si="96"/>
        <v>39.500689999999999</v>
      </c>
      <c r="AF71" s="1">
        <f t="shared" si="97"/>
        <v>73</v>
      </c>
      <c r="AG71" s="1">
        <f t="shared" si="98"/>
        <v>2</v>
      </c>
      <c r="AJ71" s="1" t="str">
        <f t="shared" si="99"/>
        <v/>
      </c>
      <c r="AK71" s="1" t="str">
        <f t="shared" si="100"/>
        <v/>
      </c>
      <c r="AL71" s="1">
        <f t="shared" si="101"/>
        <v>2</v>
      </c>
      <c r="AO71" s="1">
        <f t="shared" si="102"/>
        <v>25.60069</v>
      </c>
      <c r="AP71" s="1">
        <f t="shared" si="103"/>
        <v>78</v>
      </c>
      <c r="AQ71" s="1">
        <f t="shared" si="104"/>
        <v>2</v>
      </c>
      <c r="AT71" s="1">
        <f t="shared" si="105"/>
        <v>1</v>
      </c>
      <c r="AU71" s="1">
        <f t="shared" si="106"/>
        <v>1</v>
      </c>
      <c r="AV71" s="1">
        <f t="shared" si="107"/>
        <v>0.20000000000000107</v>
      </c>
      <c r="AW71" s="1">
        <f t="shared" si="108"/>
        <v>2.2000000000000011</v>
      </c>
      <c r="AX71" s="1">
        <f t="shared" si="109"/>
        <v>0.73402333333333369</v>
      </c>
      <c r="BC71" s="1">
        <f t="shared" si="110"/>
        <v>2.0006900000000001</v>
      </c>
      <c r="BD71" s="1">
        <f t="shared" si="111"/>
        <v>106</v>
      </c>
      <c r="BE71" s="1">
        <f t="shared" si="112"/>
        <v>2</v>
      </c>
      <c r="BH71" s="1" t="str">
        <f t="shared" si="113"/>
        <v/>
      </c>
      <c r="BI71" s="1" t="str">
        <f>IF(A71="","",IF(BH71="","",RANK(BH71,$BH$3:$BH221,1)))</f>
        <v/>
      </c>
      <c r="BJ71" s="1">
        <f t="shared" si="114"/>
        <v>2</v>
      </c>
      <c r="BM71" s="1">
        <f t="shared" si="115"/>
        <v>0.77000000000000046</v>
      </c>
      <c r="BN71" s="1">
        <f>IF(A71="","",IF(BM71="","",RANK(BM71,$BM$3:$BM221,1)))</f>
        <v>43</v>
      </c>
      <c r="BO71" s="1">
        <f t="shared" si="116"/>
        <v>2</v>
      </c>
      <c r="BR71" s="1">
        <f t="shared" si="117"/>
        <v>2</v>
      </c>
      <c r="BS71" s="1" t="str">
        <f t="shared" si="118"/>
        <v>フェルトベルク　　　　　　　　　　　</v>
      </c>
      <c r="CD71" s="1" t="str">
        <f t="shared" si="119"/>
        <v/>
      </c>
      <c r="CE71" s="1" t="str">
        <f>IF(A71="","",IF(CD71="","",RANK(CD71,$CD$3:$CD221,1)))</f>
        <v/>
      </c>
      <c r="CF71" s="1">
        <f t="shared" si="120"/>
        <v>2</v>
      </c>
      <c r="CI71" s="1" t="str">
        <f t="shared" si="121"/>
        <v/>
      </c>
      <c r="CJ71" s="1" t="str">
        <f>IF(A71="","",IF(CI71="","",RANK(CI71,$CI$3:$CI221,1)))</f>
        <v/>
      </c>
      <c r="CK71" s="1">
        <f t="shared" si="122"/>
        <v>2</v>
      </c>
      <c r="CN71" s="1" t="str">
        <f t="shared" si="123"/>
        <v/>
      </c>
      <c r="CO71" s="1" t="str">
        <f>IF(A71="","",IF(CN71="","",RANK(CN71,$CN$3:$CN221,1)))</f>
        <v/>
      </c>
      <c r="CP71" s="1">
        <f t="shared" si="124"/>
        <v>2</v>
      </c>
      <c r="CS71" s="1" t="str">
        <f t="shared" si="125"/>
        <v/>
      </c>
      <c r="CT71" s="1" t="str">
        <f>IF(A71="","",IF(CS71="","",RANK(CS71,$CS$3:$CS221,1)))</f>
        <v/>
      </c>
      <c r="CU71" s="1">
        <f t="shared" si="126"/>
        <v>2</v>
      </c>
      <c r="CX71" s="1" t="str">
        <f t="shared" si="127"/>
        <v/>
      </c>
      <c r="CY71" s="1" t="str">
        <f>IF(CX71="","",IF(A71="","",RANK(CX71,$CX$3:$CX221,1)))</f>
        <v/>
      </c>
      <c r="CZ71" s="1">
        <f t="shared" si="128"/>
        <v>2</v>
      </c>
      <c r="DC71" s="1" t="str">
        <f t="shared" si="129"/>
        <v/>
      </c>
      <c r="DD71" s="1" t="str">
        <f>IF(DC71="","",IF(A71="","",RANK(DC71,$DC$3:$DC221,1)))</f>
        <v/>
      </c>
      <c r="DE71" s="1">
        <f t="shared" si="130"/>
        <v>2</v>
      </c>
      <c r="DH71" s="1" t="str">
        <f t="shared" si="131"/>
        <v/>
      </c>
      <c r="DI71" s="1" t="str">
        <f>IF(DH71="","",IF(A71="","",RANK(DH71,$DH$3:$DH221,1)))</f>
        <v/>
      </c>
      <c r="DJ71" s="1">
        <f t="shared" si="132"/>
        <v>2</v>
      </c>
      <c r="DM71" s="1" t="str">
        <f t="shared" si="133"/>
        <v/>
      </c>
      <c r="DN71" s="1" t="str">
        <f>IF(DM71="","",IF(A71="","",RANK(DM71,$DM$3:$DM221,1)))</f>
        <v/>
      </c>
      <c r="DO71" s="1">
        <f t="shared" si="134"/>
        <v>2</v>
      </c>
      <c r="DR71" s="1">
        <f t="shared" si="135"/>
        <v>14.900690000000001</v>
      </c>
      <c r="DS71" s="1">
        <f>IF(DR71="","",IF(A71="","",RANK(DR71,$DR$3:$DR221,1)))</f>
        <v>42</v>
      </c>
      <c r="DT71" s="1">
        <f t="shared" si="136"/>
        <v>2</v>
      </c>
      <c r="DW71" s="1">
        <f t="shared" si="137"/>
        <v>13.900690000000001</v>
      </c>
      <c r="DX71" s="1">
        <f>IF(DW71="","",IF(A71="","",RANK(DW71,$DW$3:$DW221,1)))</f>
        <v>73</v>
      </c>
      <c r="DY71" s="1">
        <f t="shared" si="138"/>
        <v>2</v>
      </c>
      <c r="EB71" s="1">
        <f t="shared" si="139"/>
        <v>12.900690000000001</v>
      </c>
      <c r="EC71" s="1">
        <f>IF(EB71="","",IF(A71="","",RANK(EB71,$EB$3:$EB221,1)))</f>
        <v>77</v>
      </c>
      <c r="ED71" s="1">
        <f t="shared" si="140"/>
        <v>2</v>
      </c>
      <c r="EG71" s="1">
        <f t="shared" si="141"/>
        <v>12.70069</v>
      </c>
      <c r="EH71" s="1">
        <f>IF(EG71="","",IF(A71="","",RANK(EG71,$EG$3:$EG221,1)))</f>
        <v>69</v>
      </c>
      <c r="EI71" s="1">
        <f t="shared" si="142"/>
        <v>2</v>
      </c>
    </row>
    <row r="72" spans="1:139" ht="18.75">
      <c r="A72" s="1" t="s">
        <v>88</v>
      </c>
      <c r="B72" s="1">
        <v>20190313</v>
      </c>
      <c r="C72" s="1" t="s">
        <v>91</v>
      </c>
      <c r="D72" s="1">
        <v>2</v>
      </c>
      <c r="E72" s="30">
        <v>53.6</v>
      </c>
      <c r="F72" s="30">
        <v>38.700000000000003</v>
      </c>
      <c r="G72" s="30">
        <v>25.3</v>
      </c>
      <c r="H72" s="30">
        <v>12.7</v>
      </c>
      <c r="I72" s="30">
        <v>14.9</v>
      </c>
      <c r="J72" s="30">
        <v>13.4</v>
      </c>
      <c r="K72" s="30">
        <v>12.6</v>
      </c>
      <c r="L72" s="30">
        <v>12.7</v>
      </c>
      <c r="M72" s="1" t="str">
        <f t="shared" si="85"/>
        <v>2019/03/13</v>
      </c>
      <c r="N72" s="4" t="str">
        <f t="shared" si="86"/>
        <v/>
      </c>
      <c r="O72">
        <v>7.0000000000000119E-4</v>
      </c>
      <c r="P72" s="1" t="str">
        <f t="shared" si="87"/>
        <v/>
      </c>
      <c r="Q72" s="1" t="str">
        <f t="shared" si="88"/>
        <v/>
      </c>
      <c r="R72" s="1">
        <f t="shared" si="89"/>
        <v>2</v>
      </c>
      <c r="U72" s="1">
        <f t="shared" si="90"/>
        <v>53.600700000000003</v>
      </c>
      <c r="V72" s="1">
        <f t="shared" si="91"/>
        <v>36</v>
      </c>
      <c r="W72" s="1">
        <f t="shared" si="92"/>
        <v>2</v>
      </c>
      <c r="Z72" s="1" t="str">
        <f t="shared" si="93"/>
        <v/>
      </c>
      <c r="AA72" s="1" t="str">
        <f t="shared" si="94"/>
        <v/>
      </c>
      <c r="AB72" s="1">
        <f t="shared" si="95"/>
        <v>2</v>
      </c>
      <c r="AE72" s="1">
        <f t="shared" si="96"/>
        <v>38.700700000000005</v>
      </c>
      <c r="AF72" s="1">
        <f t="shared" si="97"/>
        <v>51</v>
      </c>
      <c r="AG72" s="1">
        <f t="shared" si="98"/>
        <v>2</v>
      </c>
      <c r="AJ72" s="1" t="str">
        <f t="shared" si="99"/>
        <v/>
      </c>
      <c r="AK72" s="1" t="str">
        <f t="shared" si="100"/>
        <v/>
      </c>
      <c r="AL72" s="1">
        <f t="shared" si="101"/>
        <v>2</v>
      </c>
      <c r="AO72" s="1">
        <f t="shared" si="102"/>
        <v>25.300699999999999</v>
      </c>
      <c r="AP72" s="1">
        <f t="shared" si="103"/>
        <v>61</v>
      </c>
      <c r="AQ72" s="1">
        <f t="shared" si="104"/>
        <v>2</v>
      </c>
      <c r="AT72" s="1">
        <f t="shared" si="105"/>
        <v>1.5</v>
      </c>
      <c r="AU72" s="1">
        <f t="shared" si="106"/>
        <v>0.80000000000000071</v>
      </c>
      <c r="AV72" s="1">
        <f t="shared" si="107"/>
        <v>-9.9999999999999645E-2</v>
      </c>
      <c r="AW72" s="1">
        <f t="shared" si="108"/>
        <v>2.2000000000000011</v>
      </c>
      <c r="AX72" s="1">
        <f t="shared" si="109"/>
        <v>0</v>
      </c>
      <c r="BC72" s="1">
        <f t="shared" si="110"/>
        <v>2.3007000000000009</v>
      </c>
      <c r="BD72" s="1">
        <f t="shared" si="111"/>
        <v>87</v>
      </c>
      <c r="BE72" s="1">
        <f t="shared" si="112"/>
        <v>2</v>
      </c>
      <c r="BH72" s="1" t="str">
        <f t="shared" si="113"/>
        <v/>
      </c>
      <c r="BI72" s="1" t="str">
        <f>IF(A72="","",IF(BH72="","",RANK(BH72,$BH$3:$BH222,1)))</f>
        <v/>
      </c>
      <c r="BJ72" s="1">
        <f t="shared" si="114"/>
        <v>2</v>
      </c>
      <c r="BM72" s="1">
        <f t="shared" si="115"/>
        <v>0.84500000000000064</v>
      </c>
      <c r="BN72" s="1">
        <f>IF(A72="","",IF(BM72="","",RANK(BM72,$BM$3:$BM222,1)))</f>
        <v>53</v>
      </c>
      <c r="BO72" s="1">
        <f t="shared" si="116"/>
        <v>2</v>
      </c>
      <c r="BR72" s="1">
        <f t="shared" si="117"/>
        <v>2</v>
      </c>
      <c r="BS72" s="1" t="str">
        <f t="shared" si="118"/>
        <v>フェルトベルク　　　　　　　　　　　</v>
      </c>
      <c r="CD72" s="1" t="str">
        <f t="shared" si="119"/>
        <v/>
      </c>
      <c r="CE72" s="1" t="str">
        <f>IF(A72="","",IF(CD72="","",RANK(CD72,$CD$3:$CD222,1)))</f>
        <v/>
      </c>
      <c r="CF72" s="1">
        <f t="shared" si="120"/>
        <v>2</v>
      </c>
      <c r="CI72" s="1" t="str">
        <f t="shared" si="121"/>
        <v/>
      </c>
      <c r="CJ72" s="1" t="str">
        <f>IF(A72="","",IF(CI72="","",RANK(CI72,$CI$3:$CI222,1)))</f>
        <v/>
      </c>
      <c r="CK72" s="1">
        <f t="shared" si="122"/>
        <v>2</v>
      </c>
      <c r="CN72" s="1" t="str">
        <f t="shared" si="123"/>
        <v/>
      </c>
      <c r="CO72" s="1" t="str">
        <f>IF(A72="","",IF(CN72="","",RANK(CN72,$CN$3:$CN222,1)))</f>
        <v/>
      </c>
      <c r="CP72" s="1">
        <f t="shared" si="124"/>
        <v>2</v>
      </c>
      <c r="CS72" s="1" t="str">
        <f t="shared" si="125"/>
        <v/>
      </c>
      <c r="CT72" s="1" t="str">
        <f>IF(A72="","",IF(CS72="","",RANK(CS72,$CS$3:$CS222,1)))</f>
        <v/>
      </c>
      <c r="CU72" s="1">
        <f t="shared" si="126"/>
        <v>2</v>
      </c>
      <c r="CX72" s="1" t="str">
        <f t="shared" si="127"/>
        <v/>
      </c>
      <c r="CY72" s="1" t="str">
        <f>IF(CX72="","",IF(A72="","",RANK(CX72,$CX$3:$CX222,1)))</f>
        <v/>
      </c>
      <c r="CZ72" s="1">
        <f t="shared" si="128"/>
        <v>2</v>
      </c>
      <c r="DC72" s="1" t="str">
        <f t="shared" si="129"/>
        <v/>
      </c>
      <c r="DD72" s="1" t="str">
        <f>IF(DC72="","",IF(A72="","",RANK(DC72,$DC$3:$DC222,1)))</f>
        <v/>
      </c>
      <c r="DE72" s="1">
        <f t="shared" si="130"/>
        <v>2</v>
      </c>
      <c r="DH72" s="1" t="str">
        <f t="shared" si="131"/>
        <v/>
      </c>
      <c r="DI72" s="1" t="str">
        <f>IF(DH72="","",IF(A72="","",RANK(DH72,$DH$3:$DH222,1)))</f>
        <v/>
      </c>
      <c r="DJ72" s="1">
        <f t="shared" si="132"/>
        <v>2</v>
      </c>
      <c r="DM72" s="1" t="str">
        <f t="shared" si="133"/>
        <v/>
      </c>
      <c r="DN72" s="1" t="str">
        <f>IF(DM72="","",IF(A72="","",RANK(DM72,$DM$3:$DM222,1)))</f>
        <v/>
      </c>
      <c r="DO72" s="1">
        <f t="shared" si="134"/>
        <v>2</v>
      </c>
      <c r="DR72" s="1">
        <f t="shared" si="135"/>
        <v>14.900700000000001</v>
      </c>
      <c r="DS72" s="1">
        <f>IF(DR72="","",IF(A72="","",RANK(DR72,$DR$3:$DR222,1)))</f>
        <v>43</v>
      </c>
      <c r="DT72" s="1">
        <f t="shared" si="136"/>
        <v>2</v>
      </c>
      <c r="DW72" s="1">
        <f t="shared" si="137"/>
        <v>13.400700000000001</v>
      </c>
      <c r="DX72" s="1">
        <f>IF(DW72="","",IF(A72="","",RANK(DW72,$DW$3:$DW222,1)))</f>
        <v>32</v>
      </c>
      <c r="DY72" s="1">
        <f t="shared" si="138"/>
        <v>2</v>
      </c>
      <c r="EB72" s="1">
        <f t="shared" si="139"/>
        <v>12.6007</v>
      </c>
      <c r="EC72" s="1">
        <f>IF(EB72="","",IF(A72="","",RANK(EB72,$EB$3:$EB222,1)))</f>
        <v>57</v>
      </c>
      <c r="ED72" s="1">
        <f t="shared" si="140"/>
        <v>2</v>
      </c>
      <c r="EG72" s="1">
        <f t="shared" si="141"/>
        <v>12.700699999999999</v>
      </c>
      <c r="EH72" s="1">
        <f>IF(EG72="","",IF(A72="","",RANK(EG72,$EG$3:$EG222,1)))</f>
        <v>70</v>
      </c>
      <c r="EI72" s="1">
        <f t="shared" si="142"/>
        <v>2</v>
      </c>
    </row>
    <row r="73" spans="1:139" ht="18.75">
      <c r="A73" s="1" t="s">
        <v>88</v>
      </c>
      <c r="B73" s="1">
        <v>20190317</v>
      </c>
      <c r="C73" s="1" t="s">
        <v>96</v>
      </c>
      <c r="D73" s="1">
        <v>7</v>
      </c>
      <c r="E73" s="30">
        <v>58.5</v>
      </c>
      <c r="F73" s="30">
        <v>42</v>
      </c>
      <c r="G73" s="30">
        <v>26.2</v>
      </c>
      <c r="H73" s="30">
        <v>12.7</v>
      </c>
      <c r="I73" s="30">
        <v>16.5</v>
      </c>
      <c r="J73" s="30">
        <v>15.8</v>
      </c>
      <c r="K73" s="30">
        <v>13.5</v>
      </c>
      <c r="L73" s="30">
        <v>12.7</v>
      </c>
      <c r="M73" s="1" t="str">
        <f t="shared" si="85"/>
        <v>2019/03/17</v>
      </c>
      <c r="N73" s="4" t="str">
        <f t="shared" si="86"/>
        <v/>
      </c>
      <c r="O73">
        <v>7.1000000000000121E-4</v>
      </c>
      <c r="P73" s="1" t="str">
        <f t="shared" si="87"/>
        <v/>
      </c>
      <c r="Q73" s="1" t="str">
        <f t="shared" si="88"/>
        <v/>
      </c>
      <c r="R73" s="1">
        <f t="shared" si="89"/>
        <v>7</v>
      </c>
      <c r="U73" s="1">
        <f t="shared" si="90"/>
        <v>58.500709999999998</v>
      </c>
      <c r="V73" s="1">
        <f t="shared" si="91"/>
        <v>119</v>
      </c>
      <c r="W73" s="1">
        <f t="shared" si="92"/>
        <v>7</v>
      </c>
      <c r="Z73" s="1" t="str">
        <f t="shared" si="93"/>
        <v/>
      </c>
      <c r="AA73" s="1" t="str">
        <f t="shared" si="94"/>
        <v/>
      </c>
      <c r="AB73" s="1">
        <f t="shared" si="95"/>
        <v>7</v>
      </c>
      <c r="AE73" s="1">
        <f t="shared" si="96"/>
        <v>42.000709999999998</v>
      </c>
      <c r="AF73" s="1">
        <f t="shared" si="97"/>
        <v>113</v>
      </c>
      <c r="AG73" s="1">
        <f t="shared" si="98"/>
        <v>7</v>
      </c>
      <c r="AJ73" s="1" t="str">
        <f t="shared" si="99"/>
        <v/>
      </c>
      <c r="AK73" s="1" t="str">
        <f t="shared" si="100"/>
        <v/>
      </c>
      <c r="AL73" s="1">
        <f t="shared" si="101"/>
        <v>7</v>
      </c>
      <c r="AO73" s="1">
        <f t="shared" si="102"/>
        <v>26.200710000000001</v>
      </c>
      <c r="AP73" s="1">
        <f t="shared" si="103"/>
        <v>96</v>
      </c>
      <c r="AQ73" s="1">
        <f t="shared" si="104"/>
        <v>7</v>
      </c>
      <c r="AT73" s="1">
        <f t="shared" si="105"/>
        <v>0.69999999999999929</v>
      </c>
      <c r="AU73" s="1">
        <f t="shared" si="106"/>
        <v>2.3000000000000007</v>
      </c>
      <c r="AV73" s="1">
        <f t="shared" si="107"/>
        <v>0.80000000000000071</v>
      </c>
      <c r="AW73" s="1">
        <f t="shared" si="108"/>
        <v>3.8000000000000007</v>
      </c>
      <c r="AX73" s="1">
        <f t="shared" si="109"/>
        <v>1.2673766666666668</v>
      </c>
      <c r="BC73" s="1">
        <f t="shared" si="110"/>
        <v>3.0007100000000002</v>
      </c>
      <c r="BD73" s="1">
        <f t="shared" si="111"/>
        <v>49</v>
      </c>
      <c r="BE73" s="1">
        <f t="shared" si="112"/>
        <v>7</v>
      </c>
      <c r="BH73" s="1" t="str">
        <f t="shared" si="113"/>
        <v/>
      </c>
      <c r="BI73" s="1" t="str">
        <f>IF(A73="","",IF(BH73="","",RANK(BH73,$BH$3:$BH223,1)))</f>
        <v/>
      </c>
      <c r="BJ73" s="1">
        <f t="shared" si="114"/>
        <v>7</v>
      </c>
      <c r="BM73" s="1">
        <f t="shared" si="115"/>
        <v>2.4668749999999875</v>
      </c>
      <c r="BN73" s="1">
        <f>IF(A73="","",IF(BM73="","",RANK(BM73,$BM$3:$BM223,1)))</f>
        <v>121</v>
      </c>
      <c r="BO73" s="1">
        <f t="shared" si="116"/>
        <v>7</v>
      </c>
      <c r="BR73" s="1">
        <f t="shared" si="117"/>
        <v>7</v>
      </c>
      <c r="BS73" s="1" t="str">
        <f t="shared" si="118"/>
        <v>サヤカチャン　　　　　　　　　　　　</v>
      </c>
      <c r="CD73" s="1" t="str">
        <f t="shared" si="119"/>
        <v/>
      </c>
      <c r="CE73" s="1" t="str">
        <f>IF(A73="","",IF(CD73="","",RANK(CD73,$CD$3:$CD223,1)))</f>
        <v/>
      </c>
      <c r="CF73" s="1">
        <f t="shared" si="120"/>
        <v>7</v>
      </c>
      <c r="CI73" s="1" t="str">
        <f t="shared" si="121"/>
        <v/>
      </c>
      <c r="CJ73" s="1" t="str">
        <f>IF(A73="","",IF(CI73="","",RANK(CI73,$CI$3:$CI223,1)))</f>
        <v/>
      </c>
      <c r="CK73" s="1">
        <f t="shared" si="122"/>
        <v>7</v>
      </c>
      <c r="CN73" s="1" t="str">
        <f t="shared" si="123"/>
        <v/>
      </c>
      <c r="CO73" s="1" t="str">
        <f>IF(A73="","",IF(CN73="","",RANK(CN73,$CN$3:$CN223,1)))</f>
        <v/>
      </c>
      <c r="CP73" s="1">
        <f t="shared" si="124"/>
        <v>7</v>
      </c>
      <c r="CS73" s="1" t="str">
        <f t="shared" si="125"/>
        <v/>
      </c>
      <c r="CT73" s="1" t="str">
        <f>IF(A73="","",IF(CS73="","",RANK(CS73,$CS$3:$CS223,1)))</f>
        <v/>
      </c>
      <c r="CU73" s="1">
        <f t="shared" si="126"/>
        <v>7</v>
      </c>
      <c r="CX73" s="1" t="str">
        <f t="shared" si="127"/>
        <v/>
      </c>
      <c r="CY73" s="1" t="str">
        <f>IF(CX73="","",IF(A73="","",RANK(CX73,$CX$3:$CX223,1)))</f>
        <v/>
      </c>
      <c r="CZ73" s="1">
        <f t="shared" si="128"/>
        <v>7</v>
      </c>
      <c r="DC73" s="1" t="str">
        <f t="shared" si="129"/>
        <v/>
      </c>
      <c r="DD73" s="1" t="str">
        <f>IF(DC73="","",IF(A73="","",RANK(DC73,$DC$3:$DC223,1)))</f>
        <v/>
      </c>
      <c r="DE73" s="1">
        <f t="shared" si="130"/>
        <v>7</v>
      </c>
      <c r="DH73" s="1" t="str">
        <f t="shared" si="131"/>
        <v/>
      </c>
      <c r="DI73" s="1" t="str">
        <f>IF(DH73="","",IF(A73="","",RANK(DH73,$DH$3:$DH223,1)))</f>
        <v/>
      </c>
      <c r="DJ73" s="1">
        <f t="shared" si="132"/>
        <v>7</v>
      </c>
      <c r="DM73" s="1" t="str">
        <f t="shared" si="133"/>
        <v/>
      </c>
      <c r="DN73" s="1" t="str">
        <f>IF(DM73="","",IF(A73="","",RANK(DM73,$DM$3:$DM223,1)))</f>
        <v/>
      </c>
      <c r="DO73" s="1">
        <f t="shared" si="134"/>
        <v>7</v>
      </c>
      <c r="DR73" s="1">
        <f t="shared" si="135"/>
        <v>16.500710000000002</v>
      </c>
      <c r="DS73" s="1">
        <f>IF(DR73="","",IF(A73="","",RANK(DR73,$DR$3:$DR223,1)))</f>
        <v>112</v>
      </c>
      <c r="DT73" s="1">
        <f t="shared" si="136"/>
        <v>7</v>
      </c>
      <c r="DW73" s="1">
        <f t="shared" si="137"/>
        <v>15.80071</v>
      </c>
      <c r="DX73" s="1">
        <f>IF(DW73="","",IF(A73="","",RANK(DW73,$DW$3:$DW223,1)))</f>
        <v>133</v>
      </c>
      <c r="DY73" s="1">
        <f t="shared" si="138"/>
        <v>7</v>
      </c>
      <c r="EB73" s="1">
        <f t="shared" si="139"/>
        <v>13.50071</v>
      </c>
      <c r="EC73" s="1">
        <f>IF(EB73="","",IF(A73="","",RANK(EB73,$EB$3:$EB223,1)))</f>
        <v>106</v>
      </c>
      <c r="ED73" s="1">
        <f t="shared" si="140"/>
        <v>7</v>
      </c>
      <c r="EG73" s="1">
        <f t="shared" si="141"/>
        <v>12.700709999999999</v>
      </c>
      <c r="EH73" s="1">
        <f>IF(EG73="","",IF(A73="","",RANK(EG73,$EG$3:$EG223,1)))</f>
        <v>71</v>
      </c>
      <c r="EI73" s="1">
        <f t="shared" si="142"/>
        <v>7</v>
      </c>
    </row>
    <row r="74" spans="1:139" ht="18.75">
      <c r="A74" s="1" t="s">
        <v>88</v>
      </c>
      <c r="B74" s="1">
        <v>20190320</v>
      </c>
      <c r="C74" s="1" t="s">
        <v>96</v>
      </c>
      <c r="D74" s="1">
        <v>7</v>
      </c>
      <c r="E74" s="30">
        <v>51.2</v>
      </c>
      <c r="F74" s="30">
        <v>37.4</v>
      </c>
      <c r="G74" s="30">
        <v>24.7</v>
      </c>
      <c r="H74" s="30">
        <v>12.7</v>
      </c>
      <c r="I74" s="30">
        <v>13.8</v>
      </c>
      <c r="J74" s="30">
        <v>12.7</v>
      </c>
      <c r="K74" s="30">
        <v>12</v>
      </c>
      <c r="L74" s="30">
        <v>12.7</v>
      </c>
      <c r="M74" s="1" t="str">
        <f t="shared" si="85"/>
        <v>2019/03/20</v>
      </c>
      <c r="N74" s="4" t="str">
        <f t="shared" si="86"/>
        <v/>
      </c>
      <c r="O74">
        <v>7.2000000000000124E-4</v>
      </c>
      <c r="P74" s="1" t="str">
        <f t="shared" si="87"/>
        <v/>
      </c>
      <c r="Q74" s="1" t="str">
        <f t="shared" si="88"/>
        <v/>
      </c>
      <c r="R74" s="1">
        <f t="shared" si="89"/>
        <v>7</v>
      </c>
      <c r="U74" s="1">
        <f t="shared" si="90"/>
        <v>51.200720000000004</v>
      </c>
      <c r="V74" s="1">
        <f t="shared" si="91"/>
        <v>4</v>
      </c>
      <c r="W74" s="1">
        <f t="shared" si="92"/>
        <v>7</v>
      </c>
      <c r="Z74" s="1" t="str">
        <f t="shared" si="93"/>
        <v/>
      </c>
      <c r="AA74" s="1" t="str">
        <f t="shared" si="94"/>
        <v/>
      </c>
      <c r="AB74" s="1">
        <f t="shared" si="95"/>
        <v>7</v>
      </c>
      <c r="AE74" s="1">
        <f t="shared" si="96"/>
        <v>37.40072</v>
      </c>
      <c r="AF74" s="1">
        <f t="shared" si="97"/>
        <v>4</v>
      </c>
      <c r="AG74" s="1">
        <f t="shared" si="98"/>
        <v>7</v>
      </c>
      <c r="AJ74" s="1" t="str">
        <f t="shared" si="99"/>
        <v/>
      </c>
      <c r="AK74" s="1" t="str">
        <f t="shared" si="100"/>
        <v/>
      </c>
      <c r="AL74" s="1">
        <f t="shared" si="101"/>
        <v>7</v>
      </c>
      <c r="AO74" s="1">
        <f t="shared" si="102"/>
        <v>24.70072</v>
      </c>
      <c r="AP74" s="1">
        <f t="shared" si="103"/>
        <v>24</v>
      </c>
      <c r="AQ74" s="1">
        <f t="shared" si="104"/>
        <v>7</v>
      </c>
      <c r="AT74" s="1">
        <f t="shared" si="105"/>
        <v>1.1000000000000014</v>
      </c>
      <c r="AU74" s="1">
        <f t="shared" si="106"/>
        <v>0.69999999999999929</v>
      </c>
      <c r="AV74" s="1">
        <f t="shared" si="107"/>
        <v>-0.69999999999999929</v>
      </c>
      <c r="AW74" s="1">
        <f t="shared" si="108"/>
        <v>1.1000000000000014</v>
      </c>
      <c r="AX74" s="1">
        <f t="shared" si="109"/>
        <v>0</v>
      </c>
      <c r="BC74" s="1">
        <f t="shared" si="110"/>
        <v>1.8007200000000008</v>
      </c>
      <c r="BD74" s="1">
        <f t="shared" si="111"/>
        <v>116</v>
      </c>
      <c r="BE74" s="1">
        <f t="shared" si="112"/>
        <v>7</v>
      </c>
      <c r="BH74" s="1" t="str">
        <f t="shared" si="113"/>
        <v/>
      </c>
      <c r="BI74" s="1" t="str">
        <f>IF(A74="","",IF(BH74="","",RANK(BH74,$BH$3:$BH224,1)))</f>
        <v/>
      </c>
      <c r="BJ74" s="1">
        <f t="shared" si="114"/>
        <v>7</v>
      </c>
      <c r="BM74" s="1">
        <f t="shared" si="115"/>
        <v>0.41500000000000037</v>
      </c>
      <c r="BN74" s="1">
        <f>IF(A74="","",IF(BM74="","",RANK(BM74,$BM$3:$BM224,1)))</f>
        <v>16</v>
      </c>
      <c r="BO74" s="1">
        <f t="shared" si="116"/>
        <v>7</v>
      </c>
      <c r="BR74" s="1">
        <f t="shared" si="117"/>
        <v>7</v>
      </c>
      <c r="BS74" s="1" t="str">
        <f t="shared" si="118"/>
        <v>サヤカチャン　　　　　　　　　　　　</v>
      </c>
      <c r="CD74" s="1" t="str">
        <f t="shared" si="119"/>
        <v/>
      </c>
      <c r="CE74" s="1" t="str">
        <f>IF(A74="","",IF(CD74="","",RANK(CD74,$CD$3:$CD224,1)))</f>
        <v/>
      </c>
      <c r="CF74" s="1">
        <f t="shared" si="120"/>
        <v>7</v>
      </c>
      <c r="CI74" s="1" t="str">
        <f t="shared" si="121"/>
        <v/>
      </c>
      <c r="CJ74" s="1" t="str">
        <f>IF(A74="","",IF(CI74="","",RANK(CI74,$CI$3:$CI224,1)))</f>
        <v/>
      </c>
      <c r="CK74" s="1">
        <f t="shared" si="122"/>
        <v>7</v>
      </c>
      <c r="CN74" s="1" t="str">
        <f t="shared" si="123"/>
        <v/>
      </c>
      <c r="CO74" s="1" t="str">
        <f>IF(A74="","",IF(CN74="","",RANK(CN74,$CN$3:$CN224,1)))</f>
        <v/>
      </c>
      <c r="CP74" s="1">
        <f t="shared" si="124"/>
        <v>7</v>
      </c>
      <c r="CS74" s="1" t="str">
        <f t="shared" si="125"/>
        <v/>
      </c>
      <c r="CT74" s="1" t="str">
        <f>IF(A74="","",IF(CS74="","",RANK(CS74,$CS$3:$CS224,1)))</f>
        <v/>
      </c>
      <c r="CU74" s="1">
        <f t="shared" si="126"/>
        <v>7</v>
      </c>
      <c r="CX74" s="1" t="str">
        <f t="shared" si="127"/>
        <v/>
      </c>
      <c r="CY74" s="1" t="str">
        <f>IF(CX74="","",IF(A74="","",RANK(CX74,$CX$3:$CX224,1)))</f>
        <v/>
      </c>
      <c r="CZ74" s="1">
        <f t="shared" si="128"/>
        <v>7</v>
      </c>
      <c r="DC74" s="1" t="str">
        <f t="shared" si="129"/>
        <v/>
      </c>
      <c r="DD74" s="1" t="str">
        <f>IF(DC74="","",IF(A74="","",RANK(DC74,$DC$3:$DC224,1)))</f>
        <v/>
      </c>
      <c r="DE74" s="1">
        <f t="shared" si="130"/>
        <v>7</v>
      </c>
      <c r="DH74" s="1" t="str">
        <f t="shared" si="131"/>
        <v/>
      </c>
      <c r="DI74" s="1" t="str">
        <f>IF(DH74="","",IF(A74="","",RANK(DH74,$DH$3:$DH224,1)))</f>
        <v/>
      </c>
      <c r="DJ74" s="1">
        <f t="shared" si="132"/>
        <v>7</v>
      </c>
      <c r="DM74" s="1" t="str">
        <f t="shared" si="133"/>
        <v/>
      </c>
      <c r="DN74" s="1" t="str">
        <f>IF(DM74="","",IF(A74="","",RANK(DM74,$DM$3:$DM224,1)))</f>
        <v/>
      </c>
      <c r="DO74" s="1">
        <f t="shared" si="134"/>
        <v>7</v>
      </c>
      <c r="DR74" s="1">
        <f t="shared" si="135"/>
        <v>13.80072</v>
      </c>
      <c r="DS74" s="1">
        <f>IF(DR74="","",IF(A74="","",RANK(DR74,$DR$3:$DR224,1)))</f>
        <v>6</v>
      </c>
      <c r="DT74" s="1">
        <f t="shared" si="136"/>
        <v>7</v>
      </c>
      <c r="DW74" s="1">
        <f t="shared" si="137"/>
        <v>12.700719999999999</v>
      </c>
      <c r="DX74" s="1">
        <f>IF(DW74="","",IF(A74="","",RANK(DW74,$DW$3:$DW224,1)))</f>
        <v>9</v>
      </c>
      <c r="DY74" s="1">
        <f t="shared" si="138"/>
        <v>7</v>
      </c>
      <c r="EB74" s="1">
        <f t="shared" si="139"/>
        <v>12.000719999999999</v>
      </c>
      <c r="EC74" s="1">
        <f>IF(EB74="","",IF(A74="","",RANK(EB74,$EB$3:$EB224,1)))</f>
        <v>11</v>
      </c>
      <c r="ED74" s="1">
        <f t="shared" si="140"/>
        <v>7</v>
      </c>
      <c r="EG74" s="1">
        <f t="shared" si="141"/>
        <v>12.700719999999999</v>
      </c>
      <c r="EH74" s="1">
        <f>IF(EG74="","",IF(A74="","",RANK(EG74,$EG$3:$EG224,1)))</f>
        <v>72</v>
      </c>
      <c r="EI74" s="1">
        <f t="shared" si="142"/>
        <v>7</v>
      </c>
    </row>
    <row r="75" spans="1:139" ht="18.75">
      <c r="A75" s="1" t="s">
        <v>88</v>
      </c>
      <c r="B75" s="1">
        <v>20190424</v>
      </c>
      <c r="C75" s="1" t="s">
        <v>90</v>
      </c>
      <c r="D75" s="1">
        <v>1</v>
      </c>
      <c r="E75" s="30">
        <v>59.1</v>
      </c>
      <c r="F75" s="30">
        <v>42.7</v>
      </c>
      <c r="G75" s="30">
        <v>27.1</v>
      </c>
      <c r="H75" s="30">
        <v>12.7</v>
      </c>
      <c r="I75" s="30">
        <v>16.399999999999999</v>
      </c>
      <c r="J75" s="30">
        <v>15.6</v>
      </c>
      <c r="K75" s="30">
        <v>14.4</v>
      </c>
      <c r="L75" s="30">
        <v>12.7</v>
      </c>
      <c r="M75" s="1" t="str">
        <f t="shared" si="85"/>
        <v>2019/04/24</v>
      </c>
      <c r="N75" s="4" t="str">
        <f t="shared" si="86"/>
        <v/>
      </c>
      <c r="O75">
        <v>7.3000000000000126E-4</v>
      </c>
      <c r="P75" s="1" t="str">
        <f t="shared" si="87"/>
        <v/>
      </c>
      <c r="Q75" s="1" t="str">
        <f t="shared" si="88"/>
        <v/>
      </c>
      <c r="R75" s="1">
        <f t="shared" si="89"/>
        <v>1</v>
      </c>
      <c r="U75" s="1">
        <f t="shared" si="90"/>
        <v>59.100729999999999</v>
      </c>
      <c r="V75" s="1">
        <f t="shared" si="91"/>
        <v>123</v>
      </c>
      <c r="W75" s="1">
        <f t="shared" si="92"/>
        <v>1</v>
      </c>
      <c r="Z75" s="1" t="str">
        <f t="shared" si="93"/>
        <v/>
      </c>
      <c r="AA75" s="1" t="str">
        <f t="shared" si="94"/>
        <v/>
      </c>
      <c r="AB75" s="1">
        <f t="shared" si="95"/>
        <v>1</v>
      </c>
      <c r="AE75" s="1">
        <f t="shared" si="96"/>
        <v>42.70073</v>
      </c>
      <c r="AF75" s="1">
        <f t="shared" si="97"/>
        <v>124</v>
      </c>
      <c r="AG75" s="1">
        <f t="shared" si="98"/>
        <v>1</v>
      </c>
      <c r="AJ75" s="1" t="str">
        <f t="shared" si="99"/>
        <v/>
      </c>
      <c r="AK75" s="1" t="str">
        <f t="shared" si="100"/>
        <v/>
      </c>
      <c r="AL75" s="1">
        <f t="shared" si="101"/>
        <v>1</v>
      </c>
      <c r="AO75" s="1">
        <f t="shared" si="102"/>
        <v>27.100730000000002</v>
      </c>
      <c r="AP75" s="1">
        <f t="shared" si="103"/>
        <v>116</v>
      </c>
      <c r="AQ75" s="1">
        <f t="shared" si="104"/>
        <v>1</v>
      </c>
      <c r="AT75" s="1">
        <f t="shared" si="105"/>
        <v>0.79999999999999893</v>
      </c>
      <c r="AU75" s="1">
        <f t="shared" si="106"/>
        <v>1.1999999999999993</v>
      </c>
      <c r="AV75" s="1">
        <f t="shared" si="107"/>
        <v>1.7000000000000011</v>
      </c>
      <c r="AW75" s="1">
        <f t="shared" si="108"/>
        <v>3.6999999999999993</v>
      </c>
      <c r="AX75" s="1">
        <f t="shared" si="109"/>
        <v>1.2340633333333331</v>
      </c>
      <c r="BC75" s="1">
        <f t="shared" si="110"/>
        <v>2.0007299999999981</v>
      </c>
      <c r="BD75" s="1">
        <f t="shared" si="111"/>
        <v>105</v>
      </c>
      <c r="BE75" s="1">
        <f t="shared" si="112"/>
        <v>1</v>
      </c>
      <c r="BH75" s="1" t="str">
        <f t="shared" si="113"/>
        <v/>
      </c>
      <c r="BI75" s="1" t="str">
        <f>IF(A75="","",IF(BH75="","",RANK(BH75,$BH$3:$BH225,1)))</f>
        <v/>
      </c>
      <c r="BJ75" s="1">
        <f t="shared" si="114"/>
        <v>1</v>
      </c>
      <c r="BM75" s="1">
        <f t="shared" si="115"/>
        <v>1.9418749999999996</v>
      </c>
      <c r="BN75" s="1">
        <f>IF(A75="","",IF(BM75="","",RANK(BM75,$BM$3:$BM225,1)))</f>
        <v>108</v>
      </c>
      <c r="BO75" s="1">
        <f t="shared" si="116"/>
        <v>1</v>
      </c>
      <c r="BR75" s="1">
        <f t="shared" si="117"/>
        <v>1</v>
      </c>
      <c r="BS75" s="1" t="str">
        <f t="shared" si="118"/>
        <v>コウエイダリア　　　　　　　　　　　</v>
      </c>
      <c r="CD75" s="1" t="str">
        <f t="shared" si="119"/>
        <v/>
      </c>
      <c r="CE75" s="1" t="str">
        <f>IF(A75="","",IF(CD75="","",RANK(CD75,$CD$3:$CD225,1)))</f>
        <v/>
      </c>
      <c r="CF75" s="1">
        <f t="shared" si="120"/>
        <v>1</v>
      </c>
      <c r="CI75" s="1" t="str">
        <f t="shared" si="121"/>
        <v/>
      </c>
      <c r="CJ75" s="1" t="str">
        <f>IF(A75="","",IF(CI75="","",RANK(CI75,$CI$3:$CI225,1)))</f>
        <v/>
      </c>
      <c r="CK75" s="1">
        <f t="shared" si="122"/>
        <v>1</v>
      </c>
      <c r="CN75" s="1" t="str">
        <f t="shared" si="123"/>
        <v/>
      </c>
      <c r="CO75" s="1" t="str">
        <f>IF(A75="","",IF(CN75="","",RANK(CN75,$CN$3:$CN225,1)))</f>
        <v/>
      </c>
      <c r="CP75" s="1">
        <f t="shared" si="124"/>
        <v>1</v>
      </c>
      <c r="CS75" s="1" t="str">
        <f t="shared" si="125"/>
        <v/>
      </c>
      <c r="CT75" s="1" t="str">
        <f>IF(A75="","",IF(CS75="","",RANK(CS75,$CS$3:$CS225,1)))</f>
        <v/>
      </c>
      <c r="CU75" s="1">
        <f t="shared" si="126"/>
        <v>1</v>
      </c>
      <c r="CX75" s="1" t="str">
        <f t="shared" si="127"/>
        <v/>
      </c>
      <c r="CY75" s="1" t="str">
        <f>IF(CX75="","",IF(A75="","",RANK(CX75,$CX$3:$CX225,1)))</f>
        <v/>
      </c>
      <c r="CZ75" s="1">
        <f t="shared" si="128"/>
        <v>1</v>
      </c>
      <c r="DC75" s="1" t="str">
        <f t="shared" si="129"/>
        <v/>
      </c>
      <c r="DD75" s="1" t="str">
        <f>IF(DC75="","",IF(A75="","",RANK(DC75,$DC$3:$DC225,1)))</f>
        <v/>
      </c>
      <c r="DE75" s="1">
        <f t="shared" si="130"/>
        <v>1</v>
      </c>
      <c r="DH75" s="1" t="str">
        <f t="shared" si="131"/>
        <v/>
      </c>
      <c r="DI75" s="1" t="str">
        <f>IF(DH75="","",IF(A75="","",RANK(DH75,$DH$3:$DH225,1)))</f>
        <v/>
      </c>
      <c r="DJ75" s="1">
        <f t="shared" si="132"/>
        <v>1</v>
      </c>
      <c r="DM75" s="1" t="str">
        <f t="shared" si="133"/>
        <v/>
      </c>
      <c r="DN75" s="1" t="str">
        <f>IF(DM75="","",IF(A75="","",RANK(DM75,$DM$3:$DM225,1)))</f>
        <v/>
      </c>
      <c r="DO75" s="1">
        <f t="shared" si="134"/>
        <v>1</v>
      </c>
      <c r="DR75" s="1">
        <f t="shared" si="135"/>
        <v>16.400729999999999</v>
      </c>
      <c r="DS75" s="1">
        <f>IF(DR75="","",IF(A75="","",RANK(DR75,$DR$3:$DR225,1)))</f>
        <v>109</v>
      </c>
      <c r="DT75" s="1">
        <f t="shared" si="136"/>
        <v>1</v>
      </c>
      <c r="DW75" s="1">
        <f t="shared" si="137"/>
        <v>15.60073</v>
      </c>
      <c r="DX75" s="1">
        <f>IF(DW75="","",IF(A75="","",RANK(DW75,$DW$3:$DW225,1)))</f>
        <v>127</v>
      </c>
      <c r="DY75" s="1">
        <f t="shared" si="138"/>
        <v>1</v>
      </c>
      <c r="EB75" s="1">
        <f t="shared" si="139"/>
        <v>14.400730000000001</v>
      </c>
      <c r="EC75" s="1">
        <f>IF(EB75="","",IF(A75="","",RANK(EB75,$EB$3:$EB225,1)))</f>
        <v>133</v>
      </c>
      <c r="ED75" s="1">
        <f t="shared" si="140"/>
        <v>1</v>
      </c>
      <c r="EG75" s="1">
        <f t="shared" si="141"/>
        <v>12.70073</v>
      </c>
      <c r="EH75" s="1">
        <f>IF(EG75="","",IF(A75="","",RANK(EG75,$EG$3:$EG225,1)))</f>
        <v>73</v>
      </c>
      <c r="EI75" s="1">
        <f t="shared" si="142"/>
        <v>1</v>
      </c>
    </row>
    <row r="76" spans="1:139" ht="18.75">
      <c r="A76" s="1" t="s">
        <v>88</v>
      </c>
      <c r="B76" s="1">
        <v>20190619</v>
      </c>
      <c r="C76" s="1" t="s">
        <v>92</v>
      </c>
      <c r="D76" s="1">
        <v>3</v>
      </c>
      <c r="E76" s="30">
        <v>53</v>
      </c>
      <c r="F76" s="30">
        <v>38.200000000000003</v>
      </c>
      <c r="G76" s="30">
        <v>25</v>
      </c>
      <c r="H76" s="30">
        <v>12.7</v>
      </c>
      <c r="I76" s="30">
        <v>14.8</v>
      </c>
      <c r="J76" s="30">
        <v>13.2</v>
      </c>
      <c r="K76" s="30">
        <v>12.3</v>
      </c>
      <c r="L76" s="30">
        <v>12.7</v>
      </c>
      <c r="M76" s="1" t="str">
        <f t="shared" si="85"/>
        <v>2019/06/19</v>
      </c>
      <c r="N76" s="4" t="str">
        <f t="shared" si="86"/>
        <v/>
      </c>
      <c r="O76">
        <v>7.4000000000000129E-4</v>
      </c>
      <c r="P76" s="1" t="str">
        <f t="shared" si="87"/>
        <v/>
      </c>
      <c r="Q76" s="1" t="str">
        <f t="shared" si="88"/>
        <v/>
      </c>
      <c r="R76" s="1">
        <f t="shared" si="89"/>
        <v>3</v>
      </c>
      <c r="U76" s="1">
        <f t="shared" si="90"/>
        <v>53.00074</v>
      </c>
      <c r="V76" s="1">
        <f t="shared" si="91"/>
        <v>28</v>
      </c>
      <c r="W76" s="1">
        <f t="shared" si="92"/>
        <v>3</v>
      </c>
      <c r="Z76" s="1" t="str">
        <f t="shared" si="93"/>
        <v/>
      </c>
      <c r="AA76" s="1" t="str">
        <f t="shared" si="94"/>
        <v/>
      </c>
      <c r="AB76" s="1">
        <f t="shared" si="95"/>
        <v>3</v>
      </c>
      <c r="AE76" s="1">
        <f t="shared" si="96"/>
        <v>38.200740000000003</v>
      </c>
      <c r="AF76" s="1">
        <f t="shared" si="97"/>
        <v>30</v>
      </c>
      <c r="AG76" s="1">
        <f t="shared" si="98"/>
        <v>3</v>
      </c>
      <c r="AJ76" s="1" t="str">
        <f t="shared" si="99"/>
        <v/>
      </c>
      <c r="AK76" s="1" t="str">
        <f t="shared" si="100"/>
        <v/>
      </c>
      <c r="AL76" s="1">
        <f t="shared" si="101"/>
        <v>3</v>
      </c>
      <c r="AO76" s="1">
        <f t="shared" si="102"/>
        <v>25.00074</v>
      </c>
      <c r="AP76" s="1">
        <f t="shared" si="103"/>
        <v>50</v>
      </c>
      <c r="AQ76" s="1">
        <f t="shared" si="104"/>
        <v>3</v>
      </c>
      <c r="AT76" s="1">
        <f t="shared" si="105"/>
        <v>1.6000000000000014</v>
      </c>
      <c r="AU76" s="1">
        <f t="shared" si="106"/>
        <v>0.89999999999999858</v>
      </c>
      <c r="AV76" s="1">
        <f t="shared" si="107"/>
        <v>-0.39999999999999858</v>
      </c>
      <c r="AW76" s="1">
        <f t="shared" si="108"/>
        <v>2.1000000000000014</v>
      </c>
      <c r="AX76" s="1">
        <f t="shared" si="109"/>
        <v>0</v>
      </c>
      <c r="BC76" s="1">
        <f t="shared" si="110"/>
        <v>2.50074</v>
      </c>
      <c r="BD76" s="1">
        <f t="shared" si="111"/>
        <v>73</v>
      </c>
      <c r="BE76" s="1">
        <f t="shared" si="112"/>
        <v>3</v>
      </c>
      <c r="BH76" s="1" t="str">
        <f t="shared" si="113"/>
        <v/>
      </c>
      <c r="BI76" s="1" t="str">
        <f>IF(A76="","",IF(BH76="","",RANK(BH76,$BH$3:$BH226,1)))</f>
        <v/>
      </c>
      <c r="BJ76" s="1">
        <f t="shared" si="114"/>
        <v>3</v>
      </c>
      <c r="BM76" s="1">
        <f t="shared" si="115"/>
        <v>0.9025000000000003</v>
      </c>
      <c r="BN76" s="1">
        <f>IF(A76="","",IF(BM76="","",RANK(BM76,$BM$3:$BM226,1)))</f>
        <v>56</v>
      </c>
      <c r="BO76" s="1">
        <f t="shared" si="116"/>
        <v>3</v>
      </c>
      <c r="BR76" s="1">
        <f t="shared" si="117"/>
        <v>3</v>
      </c>
      <c r="BS76" s="1" t="str">
        <f t="shared" si="118"/>
        <v>ディアボレット　　　　　　　　　　　</v>
      </c>
      <c r="CD76" s="1" t="str">
        <f t="shared" si="119"/>
        <v/>
      </c>
      <c r="CE76" s="1" t="str">
        <f>IF(A76="","",IF(CD76="","",RANK(CD76,$CD$3:$CD226,1)))</f>
        <v/>
      </c>
      <c r="CF76" s="1">
        <f t="shared" si="120"/>
        <v>3</v>
      </c>
      <c r="CI76" s="1" t="str">
        <f t="shared" si="121"/>
        <v/>
      </c>
      <c r="CJ76" s="1" t="str">
        <f>IF(A76="","",IF(CI76="","",RANK(CI76,$CI$3:$CI226,1)))</f>
        <v/>
      </c>
      <c r="CK76" s="1">
        <f t="shared" si="122"/>
        <v>3</v>
      </c>
      <c r="CN76" s="1" t="str">
        <f t="shared" si="123"/>
        <v/>
      </c>
      <c r="CO76" s="1" t="str">
        <f>IF(A76="","",IF(CN76="","",RANK(CN76,$CN$3:$CN226,1)))</f>
        <v/>
      </c>
      <c r="CP76" s="1">
        <f t="shared" si="124"/>
        <v>3</v>
      </c>
      <c r="CS76" s="1" t="str">
        <f t="shared" si="125"/>
        <v/>
      </c>
      <c r="CT76" s="1" t="str">
        <f>IF(A76="","",IF(CS76="","",RANK(CS76,$CS$3:$CS226,1)))</f>
        <v/>
      </c>
      <c r="CU76" s="1">
        <f t="shared" si="126"/>
        <v>3</v>
      </c>
      <c r="CX76" s="1" t="str">
        <f t="shared" si="127"/>
        <v/>
      </c>
      <c r="CY76" s="1" t="str">
        <f>IF(CX76="","",IF(A76="","",RANK(CX76,$CX$3:$CX226,1)))</f>
        <v/>
      </c>
      <c r="CZ76" s="1">
        <f t="shared" si="128"/>
        <v>3</v>
      </c>
      <c r="DC76" s="1" t="str">
        <f t="shared" si="129"/>
        <v/>
      </c>
      <c r="DD76" s="1" t="str">
        <f>IF(DC76="","",IF(A76="","",RANK(DC76,$DC$3:$DC226,1)))</f>
        <v/>
      </c>
      <c r="DE76" s="1">
        <f t="shared" si="130"/>
        <v>3</v>
      </c>
      <c r="DH76" s="1" t="str">
        <f t="shared" si="131"/>
        <v/>
      </c>
      <c r="DI76" s="1" t="str">
        <f>IF(DH76="","",IF(A76="","",RANK(DH76,$DH$3:$DH226,1)))</f>
        <v/>
      </c>
      <c r="DJ76" s="1">
        <f t="shared" si="132"/>
        <v>3</v>
      </c>
      <c r="DM76" s="1" t="str">
        <f t="shared" si="133"/>
        <v/>
      </c>
      <c r="DN76" s="1" t="str">
        <f>IF(DM76="","",IF(A76="","",RANK(DM76,$DM$3:$DM226,1)))</f>
        <v/>
      </c>
      <c r="DO76" s="1">
        <f t="shared" si="134"/>
        <v>3</v>
      </c>
      <c r="DR76" s="1">
        <f t="shared" si="135"/>
        <v>14.800740000000001</v>
      </c>
      <c r="DS76" s="1">
        <f>IF(DR76="","",IF(A76="","",RANK(DR76,$DR$3:$DR226,1)))</f>
        <v>38</v>
      </c>
      <c r="DT76" s="1">
        <f t="shared" si="136"/>
        <v>3</v>
      </c>
      <c r="DW76" s="1">
        <f t="shared" si="137"/>
        <v>13.20074</v>
      </c>
      <c r="DX76" s="1">
        <f>IF(DW76="","",IF(A76="","",RANK(DW76,$DW$3:$DW226,1)))</f>
        <v>19</v>
      </c>
      <c r="DY76" s="1">
        <f t="shared" si="138"/>
        <v>3</v>
      </c>
      <c r="EB76" s="1">
        <f t="shared" si="139"/>
        <v>12.300740000000001</v>
      </c>
      <c r="EC76" s="1">
        <f>IF(EB76="","",IF(A76="","",RANK(EB76,$EB$3:$EB226,1)))</f>
        <v>28</v>
      </c>
      <c r="ED76" s="1">
        <f t="shared" si="140"/>
        <v>3</v>
      </c>
      <c r="EG76" s="1">
        <f t="shared" si="141"/>
        <v>12.70074</v>
      </c>
      <c r="EH76" s="1">
        <f>IF(EG76="","",IF(A76="","",RANK(EG76,$EG$3:$EG226,1)))</f>
        <v>74</v>
      </c>
      <c r="EI76" s="1">
        <f t="shared" si="142"/>
        <v>3</v>
      </c>
    </row>
    <row r="77" spans="1:139" ht="18.75">
      <c r="A77" s="1" t="s">
        <v>88</v>
      </c>
      <c r="B77" s="1">
        <v>20190623</v>
      </c>
      <c r="C77" s="1" t="s">
        <v>94</v>
      </c>
      <c r="D77" s="1">
        <v>5</v>
      </c>
      <c r="E77" s="30">
        <v>56.2</v>
      </c>
      <c r="F77" s="30">
        <v>40.5</v>
      </c>
      <c r="G77" s="30">
        <v>25.8</v>
      </c>
      <c r="H77" s="30">
        <v>12.7</v>
      </c>
      <c r="I77" s="30">
        <v>15.7</v>
      </c>
      <c r="J77" s="30">
        <v>14.7</v>
      </c>
      <c r="K77" s="30">
        <v>13.1</v>
      </c>
      <c r="L77" s="30">
        <v>12.7</v>
      </c>
      <c r="M77" s="1" t="str">
        <f t="shared" si="85"/>
        <v>2019/06/23</v>
      </c>
      <c r="N77" s="4" t="str">
        <f t="shared" si="86"/>
        <v/>
      </c>
      <c r="O77">
        <v>7.5000000000000132E-4</v>
      </c>
      <c r="P77" s="1" t="str">
        <f t="shared" si="87"/>
        <v/>
      </c>
      <c r="Q77" s="1" t="str">
        <f t="shared" si="88"/>
        <v/>
      </c>
      <c r="R77" s="1">
        <f t="shared" si="89"/>
        <v>5</v>
      </c>
      <c r="U77" s="1">
        <f t="shared" si="90"/>
        <v>56.200749999999999</v>
      </c>
      <c r="V77" s="1">
        <f t="shared" si="91"/>
        <v>87</v>
      </c>
      <c r="W77" s="1">
        <f t="shared" si="92"/>
        <v>5</v>
      </c>
      <c r="Z77" s="1" t="str">
        <f t="shared" si="93"/>
        <v/>
      </c>
      <c r="AA77" s="1" t="str">
        <f t="shared" si="94"/>
        <v/>
      </c>
      <c r="AB77" s="1">
        <f t="shared" si="95"/>
        <v>5</v>
      </c>
      <c r="AE77" s="1">
        <f t="shared" si="96"/>
        <v>40.500749999999996</v>
      </c>
      <c r="AF77" s="1">
        <f t="shared" si="97"/>
        <v>93</v>
      </c>
      <c r="AG77" s="1">
        <f t="shared" si="98"/>
        <v>5</v>
      </c>
      <c r="AJ77" s="1" t="str">
        <f t="shared" si="99"/>
        <v/>
      </c>
      <c r="AK77" s="1" t="str">
        <f t="shared" si="100"/>
        <v/>
      </c>
      <c r="AL77" s="1">
        <f t="shared" si="101"/>
        <v>5</v>
      </c>
      <c r="AO77" s="1">
        <f t="shared" si="102"/>
        <v>25.800750000000001</v>
      </c>
      <c r="AP77" s="1">
        <f t="shared" si="103"/>
        <v>86</v>
      </c>
      <c r="AQ77" s="1">
        <f t="shared" si="104"/>
        <v>5</v>
      </c>
      <c r="AT77" s="1">
        <f t="shared" si="105"/>
        <v>1</v>
      </c>
      <c r="AU77" s="1">
        <f t="shared" si="106"/>
        <v>1.5999999999999996</v>
      </c>
      <c r="AV77" s="1">
        <f t="shared" si="107"/>
        <v>0.40000000000000036</v>
      </c>
      <c r="AW77" s="1">
        <f t="shared" si="108"/>
        <v>3</v>
      </c>
      <c r="AX77" s="1">
        <f t="shared" si="109"/>
        <v>1.00075</v>
      </c>
      <c r="BC77" s="1">
        <f t="shared" si="110"/>
        <v>2.6007499999999997</v>
      </c>
      <c r="BD77" s="1">
        <f t="shared" si="111"/>
        <v>64</v>
      </c>
      <c r="BE77" s="1">
        <f t="shared" si="112"/>
        <v>5</v>
      </c>
      <c r="BH77" s="1" t="str">
        <f t="shared" si="113"/>
        <v/>
      </c>
      <c r="BI77" s="1" t="str">
        <f>IF(A77="","",IF(BH77="","",RANK(BH77,$BH$3:$BH227,1)))</f>
        <v/>
      </c>
      <c r="BJ77" s="1">
        <f t="shared" si="114"/>
        <v>5</v>
      </c>
      <c r="BM77" s="1">
        <f t="shared" si="115"/>
        <v>1.4674999999999998</v>
      </c>
      <c r="BN77" s="1">
        <f>IF(A77="","",IF(BM77="","",RANK(BM77,$BM$3:$BM227,1)))</f>
        <v>92</v>
      </c>
      <c r="BO77" s="1">
        <f t="shared" si="116"/>
        <v>5</v>
      </c>
      <c r="BR77" s="1">
        <f t="shared" si="117"/>
        <v>5</v>
      </c>
      <c r="BS77" s="1" t="str">
        <f t="shared" si="118"/>
        <v>シグナライズ　　　　　　　　　　　　</v>
      </c>
      <c r="CD77" s="1" t="str">
        <f t="shared" si="119"/>
        <v/>
      </c>
      <c r="CE77" s="1" t="str">
        <f>IF(A77="","",IF(CD77="","",RANK(CD77,$CD$3:$CD227,1)))</f>
        <v/>
      </c>
      <c r="CF77" s="1">
        <f t="shared" si="120"/>
        <v>5</v>
      </c>
      <c r="CI77" s="1" t="str">
        <f t="shared" si="121"/>
        <v/>
      </c>
      <c r="CJ77" s="1" t="str">
        <f>IF(A77="","",IF(CI77="","",RANK(CI77,$CI$3:$CI227,1)))</f>
        <v/>
      </c>
      <c r="CK77" s="1">
        <f t="shared" si="122"/>
        <v>5</v>
      </c>
      <c r="CN77" s="1" t="str">
        <f t="shared" si="123"/>
        <v/>
      </c>
      <c r="CO77" s="1" t="str">
        <f>IF(A77="","",IF(CN77="","",RANK(CN77,$CN$3:$CN227,1)))</f>
        <v/>
      </c>
      <c r="CP77" s="1">
        <f t="shared" si="124"/>
        <v>5</v>
      </c>
      <c r="CS77" s="1" t="str">
        <f t="shared" si="125"/>
        <v/>
      </c>
      <c r="CT77" s="1" t="str">
        <f>IF(A77="","",IF(CS77="","",RANK(CS77,$CS$3:$CS227,1)))</f>
        <v/>
      </c>
      <c r="CU77" s="1">
        <f t="shared" si="126"/>
        <v>5</v>
      </c>
      <c r="CX77" s="1" t="str">
        <f t="shared" si="127"/>
        <v/>
      </c>
      <c r="CY77" s="1" t="str">
        <f>IF(CX77="","",IF(A77="","",RANK(CX77,$CX$3:$CX227,1)))</f>
        <v/>
      </c>
      <c r="CZ77" s="1">
        <f t="shared" si="128"/>
        <v>5</v>
      </c>
      <c r="DC77" s="1" t="str">
        <f t="shared" si="129"/>
        <v/>
      </c>
      <c r="DD77" s="1" t="str">
        <f>IF(DC77="","",IF(A77="","",RANK(DC77,$DC$3:$DC227,1)))</f>
        <v/>
      </c>
      <c r="DE77" s="1">
        <f t="shared" si="130"/>
        <v>5</v>
      </c>
      <c r="DH77" s="1" t="str">
        <f t="shared" si="131"/>
        <v/>
      </c>
      <c r="DI77" s="1" t="str">
        <f>IF(DH77="","",IF(A77="","",RANK(DH77,$DH$3:$DH227,1)))</f>
        <v/>
      </c>
      <c r="DJ77" s="1">
        <f t="shared" si="132"/>
        <v>5</v>
      </c>
      <c r="DM77" s="1" t="str">
        <f t="shared" si="133"/>
        <v/>
      </c>
      <c r="DN77" s="1" t="str">
        <f>IF(DM77="","",IF(A77="","",RANK(DM77,$DM$3:$DM227,1)))</f>
        <v/>
      </c>
      <c r="DO77" s="1">
        <f t="shared" si="134"/>
        <v>5</v>
      </c>
      <c r="DR77" s="1">
        <f t="shared" si="135"/>
        <v>15.700749999999999</v>
      </c>
      <c r="DS77" s="1">
        <f>IF(DR77="","",IF(A77="","",RANK(DR77,$DR$3:$DR227,1)))</f>
        <v>80</v>
      </c>
      <c r="DT77" s="1">
        <f t="shared" si="136"/>
        <v>5</v>
      </c>
      <c r="DW77" s="1">
        <f t="shared" si="137"/>
        <v>14.700749999999999</v>
      </c>
      <c r="DX77" s="1">
        <f>IF(DW77="","",IF(A77="","",RANK(DW77,$DW$3:$DW227,1)))</f>
        <v>111</v>
      </c>
      <c r="DY77" s="1">
        <f t="shared" si="138"/>
        <v>5</v>
      </c>
      <c r="EB77" s="1">
        <f t="shared" si="139"/>
        <v>13.10075</v>
      </c>
      <c r="EC77" s="1">
        <f>IF(EB77="","",IF(A77="","",RANK(EB77,$EB$3:$EB227,1)))</f>
        <v>87</v>
      </c>
      <c r="ED77" s="1">
        <f t="shared" si="140"/>
        <v>5</v>
      </c>
      <c r="EG77" s="1">
        <f t="shared" si="141"/>
        <v>12.700749999999999</v>
      </c>
      <c r="EH77" s="1">
        <f>IF(EG77="","",IF(A77="","",RANK(EG77,$EG$3:$EG227,1)))</f>
        <v>75</v>
      </c>
      <c r="EI77" s="1">
        <f t="shared" si="142"/>
        <v>5</v>
      </c>
    </row>
    <row r="78" spans="1:139" ht="18.75">
      <c r="A78" s="1" t="s">
        <v>88</v>
      </c>
      <c r="B78" s="1">
        <v>20190703</v>
      </c>
      <c r="C78" s="1" t="s">
        <v>97</v>
      </c>
      <c r="D78" s="1">
        <v>8</v>
      </c>
      <c r="E78" s="30">
        <v>52.4</v>
      </c>
      <c r="F78" s="30">
        <v>38.5</v>
      </c>
      <c r="G78" s="30">
        <v>25.2</v>
      </c>
      <c r="H78" s="30">
        <v>12.7</v>
      </c>
      <c r="I78" s="30">
        <v>13.9</v>
      </c>
      <c r="J78" s="30">
        <v>13.3</v>
      </c>
      <c r="K78" s="30">
        <v>12.5</v>
      </c>
      <c r="L78" s="30">
        <v>12.7</v>
      </c>
      <c r="M78" s="1" t="str">
        <f t="shared" si="85"/>
        <v>2019/07/03</v>
      </c>
      <c r="N78" s="4" t="str">
        <f t="shared" si="86"/>
        <v/>
      </c>
      <c r="O78">
        <v>7.6000000000000134E-4</v>
      </c>
      <c r="P78" s="1" t="str">
        <f t="shared" si="87"/>
        <v/>
      </c>
      <c r="Q78" s="1" t="str">
        <f t="shared" si="88"/>
        <v/>
      </c>
      <c r="R78" s="1">
        <f t="shared" si="89"/>
        <v>8</v>
      </c>
      <c r="U78" s="1">
        <f t="shared" si="90"/>
        <v>52.400759999999998</v>
      </c>
      <c r="V78" s="1">
        <f t="shared" si="91"/>
        <v>17</v>
      </c>
      <c r="W78" s="1">
        <f t="shared" si="92"/>
        <v>8</v>
      </c>
      <c r="Z78" s="1" t="str">
        <f t="shared" si="93"/>
        <v/>
      </c>
      <c r="AA78" s="1" t="str">
        <f t="shared" si="94"/>
        <v/>
      </c>
      <c r="AB78" s="1">
        <f t="shared" si="95"/>
        <v>8</v>
      </c>
      <c r="AE78" s="1">
        <f t="shared" si="96"/>
        <v>38.50076</v>
      </c>
      <c r="AF78" s="1">
        <f t="shared" si="97"/>
        <v>39</v>
      </c>
      <c r="AG78" s="1">
        <f t="shared" si="98"/>
        <v>8</v>
      </c>
      <c r="AJ78" s="1" t="str">
        <f t="shared" si="99"/>
        <v/>
      </c>
      <c r="AK78" s="1" t="str">
        <f t="shared" si="100"/>
        <v/>
      </c>
      <c r="AL78" s="1">
        <f t="shared" si="101"/>
        <v>8</v>
      </c>
      <c r="AO78" s="1">
        <f t="shared" si="102"/>
        <v>25.200759999999999</v>
      </c>
      <c r="AP78" s="1">
        <f t="shared" si="103"/>
        <v>56</v>
      </c>
      <c r="AQ78" s="1">
        <f t="shared" si="104"/>
        <v>8</v>
      </c>
      <c r="AT78" s="1">
        <f t="shared" si="105"/>
        <v>0.59999999999999964</v>
      </c>
      <c r="AU78" s="1">
        <f t="shared" si="106"/>
        <v>0.80000000000000071</v>
      </c>
      <c r="AV78" s="1">
        <f t="shared" si="107"/>
        <v>-0.19999999999999929</v>
      </c>
      <c r="AW78" s="1">
        <f t="shared" si="108"/>
        <v>1.2000000000000011</v>
      </c>
      <c r="AX78" s="1">
        <f t="shared" si="109"/>
        <v>0</v>
      </c>
      <c r="BC78" s="1">
        <f t="shared" si="110"/>
        <v>1.4007600000000004</v>
      </c>
      <c r="BD78" s="1">
        <f t="shared" si="111"/>
        <v>135</v>
      </c>
      <c r="BE78" s="1">
        <f t="shared" si="112"/>
        <v>8</v>
      </c>
      <c r="BH78" s="1" t="str">
        <f t="shared" si="113"/>
        <v/>
      </c>
      <c r="BI78" s="1" t="str">
        <f>IF(A78="","",IF(BH78="","",RANK(BH78,$BH$3:$BH228,1)))</f>
        <v/>
      </c>
      <c r="BJ78" s="1">
        <f t="shared" si="114"/>
        <v>8</v>
      </c>
      <c r="BM78" s="1">
        <f t="shared" si="115"/>
        <v>0.30000000000000038</v>
      </c>
      <c r="BN78" s="1">
        <f>IF(A78="","",IF(BM78="","",RANK(BM78,$BM$3:$BM228,1)))</f>
        <v>9</v>
      </c>
      <c r="BO78" s="1">
        <f t="shared" si="116"/>
        <v>8</v>
      </c>
      <c r="BR78" s="1">
        <f t="shared" si="117"/>
        <v>8</v>
      </c>
      <c r="BS78" s="1" t="str">
        <f t="shared" si="118"/>
        <v>タマモメイトウ　　　　　　　　　　　</v>
      </c>
      <c r="CD78" s="1" t="str">
        <f t="shared" si="119"/>
        <v/>
      </c>
      <c r="CE78" s="1" t="str">
        <f>IF(A78="","",IF(CD78="","",RANK(CD78,$CD$3:$CD228,1)))</f>
        <v/>
      </c>
      <c r="CF78" s="1">
        <f t="shared" si="120"/>
        <v>8</v>
      </c>
      <c r="CI78" s="1" t="str">
        <f t="shared" si="121"/>
        <v/>
      </c>
      <c r="CJ78" s="1" t="str">
        <f>IF(A78="","",IF(CI78="","",RANK(CI78,$CI$3:$CI228,1)))</f>
        <v/>
      </c>
      <c r="CK78" s="1">
        <f t="shared" si="122"/>
        <v>8</v>
      </c>
      <c r="CN78" s="1" t="str">
        <f t="shared" si="123"/>
        <v/>
      </c>
      <c r="CO78" s="1" t="str">
        <f>IF(A78="","",IF(CN78="","",RANK(CN78,$CN$3:$CN228,1)))</f>
        <v/>
      </c>
      <c r="CP78" s="1">
        <f t="shared" si="124"/>
        <v>8</v>
      </c>
      <c r="CS78" s="1" t="str">
        <f t="shared" si="125"/>
        <v/>
      </c>
      <c r="CT78" s="1" t="str">
        <f>IF(A78="","",IF(CS78="","",RANK(CS78,$CS$3:$CS228,1)))</f>
        <v/>
      </c>
      <c r="CU78" s="1">
        <f t="shared" si="126"/>
        <v>8</v>
      </c>
      <c r="CX78" s="1" t="str">
        <f t="shared" si="127"/>
        <v/>
      </c>
      <c r="CY78" s="1" t="str">
        <f>IF(CX78="","",IF(A78="","",RANK(CX78,$CX$3:$CX228,1)))</f>
        <v/>
      </c>
      <c r="CZ78" s="1">
        <f t="shared" si="128"/>
        <v>8</v>
      </c>
      <c r="DC78" s="1" t="str">
        <f t="shared" si="129"/>
        <v/>
      </c>
      <c r="DD78" s="1" t="str">
        <f>IF(DC78="","",IF(A78="","",RANK(DC78,$DC$3:$DC228,1)))</f>
        <v/>
      </c>
      <c r="DE78" s="1">
        <f t="shared" si="130"/>
        <v>8</v>
      </c>
      <c r="DH78" s="1" t="str">
        <f t="shared" si="131"/>
        <v/>
      </c>
      <c r="DI78" s="1" t="str">
        <f>IF(DH78="","",IF(A78="","",RANK(DH78,$DH$3:$DH228,1)))</f>
        <v/>
      </c>
      <c r="DJ78" s="1">
        <f t="shared" si="132"/>
        <v>8</v>
      </c>
      <c r="DM78" s="1" t="str">
        <f t="shared" si="133"/>
        <v/>
      </c>
      <c r="DN78" s="1" t="str">
        <f>IF(DM78="","",IF(A78="","",RANK(DM78,$DM$3:$DM228,1)))</f>
        <v/>
      </c>
      <c r="DO78" s="1">
        <f t="shared" si="134"/>
        <v>8</v>
      </c>
      <c r="DR78" s="1">
        <f t="shared" si="135"/>
        <v>13.90076</v>
      </c>
      <c r="DS78" s="1">
        <f>IF(DR78="","",IF(A78="","",RANK(DR78,$DR$3:$DR228,1)))</f>
        <v>7</v>
      </c>
      <c r="DT78" s="1">
        <f t="shared" si="136"/>
        <v>8</v>
      </c>
      <c r="DW78" s="1">
        <f t="shared" si="137"/>
        <v>13.30076</v>
      </c>
      <c r="DX78" s="1">
        <f>IF(DW78="","",IF(A78="","",RANK(DW78,$DW$3:$DW228,1)))</f>
        <v>24</v>
      </c>
      <c r="DY78" s="1">
        <f t="shared" si="138"/>
        <v>8</v>
      </c>
      <c r="EB78" s="1">
        <f t="shared" si="139"/>
        <v>12.50076</v>
      </c>
      <c r="EC78" s="1">
        <f>IF(EB78="","",IF(A78="","",RANK(EB78,$EB$3:$EB228,1)))</f>
        <v>48</v>
      </c>
      <c r="ED78" s="1">
        <f t="shared" si="140"/>
        <v>8</v>
      </c>
      <c r="EG78" s="1">
        <f t="shared" si="141"/>
        <v>12.700759999999999</v>
      </c>
      <c r="EH78" s="1">
        <f>IF(EG78="","",IF(A78="","",RANK(EG78,$EG$3:$EG228,1)))</f>
        <v>76</v>
      </c>
      <c r="EI78" s="1">
        <f t="shared" si="142"/>
        <v>8</v>
      </c>
    </row>
    <row r="79" spans="1:139" ht="18.75">
      <c r="A79" s="1" t="s">
        <v>88</v>
      </c>
      <c r="B79" s="1">
        <v>20190131</v>
      </c>
      <c r="C79" s="1" t="s">
        <v>99</v>
      </c>
      <c r="D79" s="1">
        <v>10</v>
      </c>
      <c r="E79" s="30">
        <v>54.4</v>
      </c>
      <c r="F79" s="30">
        <v>38.5</v>
      </c>
      <c r="G79" s="30">
        <v>24.8</v>
      </c>
      <c r="H79" s="30">
        <v>12.8</v>
      </c>
      <c r="I79" s="30">
        <v>15.9</v>
      </c>
      <c r="J79" s="30">
        <v>13.7</v>
      </c>
      <c r="K79" s="30">
        <v>12</v>
      </c>
      <c r="L79" s="30">
        <v>12.8</v>
      </c>
      <c r="M79" s="1" t="str">
        <f t="shared" si="85"/>
        <v>2019/01/31</v>
      </c>
      <c r="N79" s="4" t="str">
        <f t="shared" si="86"/>
        <v/>
      </c>
      <c r="O79">
        <v>7.7000000000000137E-4</v>
      </c>
      <c r="P79" s="1" t="str">
        <f t="shared" si="87"/>
        <v/>
      </c>
      <c r="Q79" s="1" t="str">
        <f t="shared" si="88"/>
        <v/>
      </c>
      <c r="R79" s="1">
        <f t="shared" si="89"/>
        <v>10</v>
      </c>
      <c r="U79" s="1">
        <f t="shared" si="90"/>
        <v>54.400770000000001</v>
      </c>
      <c r="V79" s="1">
        <f t="shared" si="91"/>
        <v>58</v>
      </c>
      <c r="W79" s="1">
        <f t="shared" si="92"/>
        <v>10</v>
      </c>
      <c r="Z79" s="1" t="str">
        <f t="shared" si="93"/>
        <v/>
      </c>
      <c r="AA79" s="1" t="str">
        <f t="shared" si="94"/>
        <v/>
      </c>
      <c r="AB79" s="1">
        <f t="shared" si="95"/>
        <v>10</v>
      </c>
      <c r="AE79" s="1">
        <f t="shared" si="96"/>
        <v>38.500770000000003</v>
      </c>
      <c r="AF79" s="1">
        <f t="shared" si="97"/>
        <v>40</v>
      </c>
      <c r="AG79" s="1">
        <f t="shared" si="98"/>
        <v>10</v>
      </c>
      <c r="AJ79" s="1" t="str">
        <f t="shared" si="99"/>
        <v/>
      </c>
      <c r="AK79" s="1" t="str">
        <f t="shared" si="100"/>
        <v/>
      </c>
      <c r="AL79" s="1">
        <f t="shared" si="101"/>
        <v>10</v>
      </c>
      <c r="AO79" s="1">
        <f t="shared" si="102"/>
        <v>24.80077</v>
      </c>
      <c r="AP79" s="1">
        <f t="shared" si="103"/>
        <v>34</v>
      </c>
      <c r="AQ79" s="1">
        <f t="shared" si="104"/>
        <v>10</v>
      </c>
      <c r="AT79" s="1">
        <f t="shared" si="105"/>
        <v>2.2000000000000011</v>
      </c>
      <c r="AU79" s="1">
        <f t="shared" si="106"/>
        <v>1.6999999999999993</v>
      </c>
      <c r="AV79" s="1">
        <f t="shared" si="107"/>
        <v>-0.80000000000000071</v>
      </c>
      <c r="AW79" s="1">
        <f t="shared" si="108"/>
        <v>3.0999999999999996</v>
      </c>
      <c r="AX79" s="1">
        <f t="shared" si="109"/>
        <v>0</v>
      </c>
      <c r="BC79" s="1">
        <f t="shared" si="110"/>
        <v>3.9007700000000005</v>
      </c>
      <c r="BD79" s="1">
        <f t="shared" si="111"/>
        <v>23</v>
      </c>
      <c r="BE79" s="1">
        <f t="shared" si="112"/>
        <v>10</v>
      </c>
      <c r="BH79" s="1" t="str">
        <f t="shared" si="113"/>
        <v/>
      </c>
      <c r="BI79" s="1" t="str">
        <f>IF(A79="","",IF(BH79="","",RANK(BH79,$BH$3:$BH229,1)))</f>
        <v/>
      </c>
      <c r="BJ79" s="1">
        <f t="shared" si="114"/>
        <v>10</v>
      </c>
      <c r="BM79" s="1">
        <f t="shared" si="115"/>
        <v>2.1249999999999716</v>
      </c>
      <c r="BN79" s="1">
        <f>IF(A79="","",IF(BM79="","",RANK(BM79,$BM$3:$BM229,1)))</f>
        <v>113</v>
      </c>
      <c r="BO79" s="1">
        <f t="shared" si="116"/>
        <v>10</v>
      </c>
      <c r="BR79" s="1">
        <f t="shared" si="117"/>
        <v>10</v>
      </c>
      <c r="BS79" s="1" t="str">
        <f t="shared" si="118"/>
        <v>コンパウンダー　　　　　　　　　　　</v>
      </c>
      <c r="CD79" s="1" t="str">
        <f t="shared" si="119"/>
        <v/>
      </c>
      <c r="CE79" s="1" t="str">
        <f>IF(A79="","",IF(CD79="","",RANK(CD79,$CD$3:$CD229,1)))</f>
        <v/>
      </c>
      <c r="CF79" s="1">
        <f t="shared" si="120"/>
        <v>10</v>
      </c>
      <c r="CI79" s="1" t="str">
        <f t="shared" si="121"/>
        <v/>
      </c>
      <c r="CJ79" s="1" t="str">
        <f>IF(A79="","",IF(CI79="","",RANK(CI79,$CI$3:$CI229,1)))</f>
        <v/>
      </c>
      <c r="CK79" s="1">
        <f t="shared" si="122"/>
        <v>10</v>
      </c>
      <c r="CN79" s="1" t="str">
        <f t="shared" si="123"/>
        <v/>
      </c>
      <c r="CO79" s="1" t="str">
        <f>IF(A79="","",IF(CN79="","",RANK(CN79,$CN$3:$CN229,1)))</f>
        <v/>
      </c>
      <c r="CP79" s="1">
        <f t="shared" si="124"/>
        <v>10</v>
      </c>
      <c r="CS79" s="1" t="str">
        <f t="shared" si="125"/>
        <v/>
      </c>
      <c r="CT79" s="1" t="str">
        <f>IF(A79="","",IF(CS79="","",RANK(CS79,$CS$3:$CS229,1)))</f>
        <v/>
      </c>
      <c r="CU79" s="1">
        <f t="shared" si="126"/>
        <v>10</v>
      </c>
      <c r="CX79" s="1" t="str">
        <f t="shared" si="127"/>
        <v/>
      </c>
      <c r="CY79" s="1" t="str">
        <f>IF(CX79="","",IF(A79="","",RANK(CX79,$CX$3:$CX229,1)))</f>
        <v/>
      </c>
      <c r="CZ79" s="1">
        <f t="shared" si="128"/>
        <v>10</v>
      </c>
      <c r="DC79" s="1" t="str">
        <f t="shared" si="129"/>
        <v/>
      </c>
      <c r="DD79" s="1" t="str">
        <f>IF(DC79="","",IF(A79="","",RANK(DC79,$DC$3:$DC229,1)))</f>
        <v/>
      </c>
      <c r="DE79" s="1">
        <f t="shared" si="130"/>
        <v>10</v>
      </c>
      <c r="DH79" s="1" t="str">
        <f t="shared" si="131"/>
        <v/>
      </c>
      <c r="DI79" s="1" t="str">
        <f>IF(DH79="","",IF(A79="","",RANK(DH79,$DH$3:$DH229,1)))</f>
        <v/>
      </c>
      <c r="DJ79" s="1">
        <f t="shared" si="132"/>
        <v>10</v>
      </c>
      <c r="DM79" s="1" t="str">
        <f t="shared" si="133"/>
        <v/>
      </c>
      <c r="DN79" s="1" t="str">
        <f>IF(DM79="","",IF(A79="","",RANK(DM79,$DM$3:$DM229,1)))</f>
        <v/>
      </c>
      <c r="DO79" s="1">
        <f t="shared" si="134"/>
        <v>10</v>
      </c>
      <c r="DR79" s="1">
        <f t="shared" si="135"/>
        <v>15.90077</v>
      </c>
      <c r="DS79" s="1">
        <f>IF(DR79="","",IF(A79="","",RANK(DR79,$DR$3:$DR229,1)))</f>
        <v>94</v>
      </c>
      <c r="DT79" s="1">
        <f t="shared" si="136"/>
        <v>10</v>
      </c>
      <c r="DW79" s="1">
        <f t="shared" si="137"/>
        <v>13.700769999999999</v>
      </c>
      <c r="DX79" s="1">
        <f>IF(DW79="","",IF(A79="","",RANK(DW79,$DW$3:$DW229,1)))</f>
        <v>56</v>
      </c>
      <c r="DY79" s="1">
        <f t="shared" si="138"/>
        <v>10</v>
      </c>
      <c r="EB79" s="1">
        <f t="shared" si="139"/>
        <v>12.000769999999999</v>
      </c>
      <c r="EC79" s="1">
        <f>IF(EB79="","",IF(A79="","",RANK(EB79,$EB$3:$EB229,1)))</f>
        <v>12</v>
      </c>
      <c r="ED79" s="1">
        <f t="shared" si="140"/>
        <v>10</v>
      </c>
      <c r="EG79" s="1">
        <f t="shared" si="141"/>
        <v>12.80077</v>
      </c>
      <c r="EH79" s="1">
        <f>IF(EG79="","",IF(A79="","",RANK(EG79,$EG$3:$EG229,1)))</f>
        <v>77</v>
      </c>
      <c r="EI79" s="1">
        <f t="shared" si="142"/>
        <v>10</v>
      </c>
    </row>
    <row r="80" spans="1:139" ht="18.75">
      <c r="A80" s="1" t="s">
        <v>88</v>
      </c>
      <c r="B80" s="1">
        <v>20190421</v>
      </c>
      <c r="C80" s="1" t="s">
        <v>90</v>
      </c>
      <c r="D80" s="1">
        <v>1</v>
      </c>
      <c r="E80" s="30">
        <v>57.3</v>
      </c>
      <c r="F80" s="30">
        <v>40.799999999999997</v>
      </c>
      <c r="G80" s="30">
        <v>26.2</v>
      </c>
      <c r="H80" s="30">
        <v>12.8</v>
      </c>
      <c r="I80" s="30">
        <v>16.5</v>
      </c>
      <c r="J80" s="30">
        <v>14.6</v>
      </c>
      <c r="K80" s="30">
        <v>13.4</v>
      </c>
      <c r="L80" s="30">
        <v>12.8</v>
      </c>
      <c r="M80" s="1" t="str">
        <f t="shared" si="85"/>
        <v>2019/04/21</v>
      </c>
      <c r="N80" s="4" t="str">
        <f t="shared" si="86"/>
        <v/>
      </c>
      <c r="O80">
        <v>7.800000000000014E-4</v>
      </c>
      <c r="P80" s="1" t="str">
        <f t="shared" si="87"/>
        <v/>
      </c>
      <c r="Q80" s="1" t="str">
        <f t="shared" si="88"/>
        <v/>
      </c>
      <c r="R80" s="1">
        <f t="shared" si="89"/>
        <v>1</v>
      </c>
      <c r="U80" s="1">
        <f t="shared" si="90"/>
        <v>57.300779999999996</v>
      </c>
      <c r="V80" s="1">
        <f t="shared" si="91"/>
        <v>106</v>
      </c>
      <c r="W80" s="1">
        <f t="shared" si="92"/>
        <v>1</v>
      </c>
      <c r="Z80" s="1" t="str">
        <f t="shared" si="93"/>
        <v/>
      </c>
      <c r="AA80" s="1" t="str">
        <f t="shared" si="94"/>
        <v/>
      </c>
      <c r="AB80" s="1">
        <f t="shared" si="95"/>
        <v>1</v>
      </c>
      <c r="AE80" s="1">
        <f t="shared" si="96"/>
        <v>40.800779999999996</v>
      </c>
      <c r="AF80" s="1">
        <f t="shared" si="97"/>
        <v>99</v>
      </c>
      <c r="AG80" s="1">
        <f t="shared" si="98"/>
        <v>1</v>
      </c>
      <c r="AJ80" s="1" t="str">
        <f t="shared" si="99"/>
        <v/>
      </c>
      <c r="AK80" s="1" t="str">
        <f t="shared" si="100"/>
        <v/>
      </c>
      <c r="AL80" s="1">
        <f t="shared" si="101"/>
        <v>1</v>
      </c>
      <c r="AO80" s="1">
        <f t="shared" si="102"/>
        <v>26.200779999999998</v>
      </c>
      <c r="AP80" s="1">
        <f t="shared" si="103"/>
        <v>97</v>
      </c>
      <c r="AQ80" s="1">
        <f t="shared" si="104"/>
        <v>1</v>
      </c>
      <c r="AT80" s="1">
        <f t="shared" si="105"/>
        <v>1.9000000000000004</v>
      </c>
      <c r="AU80" s="1">
        <f t="shared" si="106"/>
        <v>1.1999999999999993</v>
      </c>
      <c r="AV80" s="1">
        <f t="shared" si="107"/>
        <v>0.59999999999999964</v>
      </c>
      <c r="AW80" s="1">
        <f t="shared" si="108"/>
        <v>3.6999999999999993</v>
      </c>
      <c r="AX80" s="1">
        <f t="shared" si="109"/>
        <v>1.2341133333333332</v>
      </c>
      <c r="BC80" s="1">
        <f t="shared" si="110"/>
        <v>3.1007799999999994</v>
      </c>
      <c r="BD80" s="1">
        <f t="shared" si="111"/>
        <v>46</v>
      </c>
      <c r="BE80" s="1">
        <f t="shared" si="112"/>
        <v>1</v>
      </c>
      <c r="BH80" s="1" t="str">
        <f t="shared" si="113"/>
        <v/>
      </c>
      <c r="BI80" s="1" t="str">
        <f>IF(A80="","",IF(BH80="","",RANK(BH80,$BH$3:$BH230,1)))</f>
        <v/>
      </c>
      <c r="BJ80" s="1">
        <f t="shared" si="114"/>
        <v>1</v>
      </c>
      <c r="BM80" s="1">
        <f t="shared" si="115"/>
        <v>1.9968749999999993</v>
      </c>
      <c r="BN80" s="1">
        <f>IF(A80="","",IF(BM80="","",RANK(BM80,$BM$3:$BM230,1)))</f>
        <v>111</v>
      </c>
      <c r="BO80" s="1">
        <f t="shared" si="116"/>
        <v>1</v>
      </c>
      <c r="BR80" s="1">
        <f t="shared" si="117"/>
        <v>1</v>
      </c>
      <c r="BS80" s="1" t="str">
        <f t="shared" si="118"/>
        <v>コウエイダリア　　　　　　　　　　　</v>
      </c>
      <c r="CD80" s="1" t="str">
        <f t="shared" si="119"/>
        <v/>
      </c>
      <c r="CE80" s="1" t="str">
        <f>IF(A80="","",IF(CD80="","",RANK(CD80,$CD$3:$CD230,1)))</f>
        <v/>
      </c>
      <c r="CF80" s="1">
        <f t="shared" si="120"/>
        <v>1</v>
      </c>
      <c r="CI80" s="1" t="str">
        <f t="shared" si="121"/>
        <v/>
      </c>
      <c r="CJ80" s="1" t="str">
        <f>IF(A80="","",IF(CI80="","",RANK(CI80,$CI$3:$CI230,1)))</f>
        <v/>
      </c>
      <c r="CK80" s="1">
        <f t="shared" si="122"/>
        <v>1</v>
      </c>
      <c r="CN80" s="1" t="str">
        <f t="shared" si="123"/>
        <v/>
      </c>
      <c r="CO80" s="1" t="str">
        <f>IF(A80="","",IF(CN80="","",RANK(CN80,$CN$3:$CN230,1)))</f>
        <v/>
      </c>
      <c r="CP80" s="1">
        <f t="shared" si="124"/>
        <v>1</v>
      </c>
      <c r="CS80" s="1" t="str">
        <f t="shared" si="125"/>
        <v/>
      </c>
      <c r="CT80" s="1" t="str">
        <f>IF(A80="","",IF(CS80="","",RANK(CS80,$CS$3:$CS230,1)))</f>
        <v/>
      </c>
      <c r="CU80" s="1">
        <f t="shared" si="126"/>
        <v>1</v>
      </c>
      <c r="CX80" s="1" t="str">
        <f t="shared" si="127"/>
        <v/>
      </c>
      <c r="CY80" s="1" t="str">
        <f>IF(CX80="","",IF(A80="","",RANK(CX80,$CX$3:$CX230,1)))</f>
        <v/>
      </c>
      <c r="CZ80" s="1">
        <f t="shared" si="128"/>
        <v>1</v>
      </c>
      <c r="DC80" s="1" t="str">
        <f t="shared" si="129"/>
        <v/>
      </c>
      <c r="DD80" s="1" t="str">
        <f>IF(DC80="","",IF(A80="","",RANK(DC80,$DC$3:$DC230,1)))</f>
        <v/>
      </c>
      <c r="DE80" s="1">
        <f t="shared" si="130"/>
        <v>1</v>
      </c>
      <c r="DH80" s="1" t="str">
        <f t="shared" si="131"/>
        <v/>
      </c>
      <c r="DI80" s="1" t="str">
        <f>IF(DH80="","",IF(A80="","",RANK(DH80,$DH$3:$DH230,1)))</f>
        <v/>
      </c>
      <c r="DJ80" s="1">
        <f t="shared" si="132"/>
        <v>1</v>
      </c>
      <c r="DM80" s="1" t="str">
        <f t="shared" si="133"/>
        <v/>
      </c>
      <c r="DN80" s="1" t="str">
        <f>IF(DM80="","",IF(A80="","",RANK(DM80,$DM$3:$DM230,1)))</f>
        <v/>
      </c>
      <c r="DO80" s="1">
        <f t="shared" si="134"/>
        <v>1</v>
      </c>
      <c r="DR80" s="1">
        <f t="shared" si="135"/>
        <v>16.500779999999999</v>
      </c>
      <c r="DS80" s="1">
        <f>IF(DR80="","",IF(A80="","",RANK(DR80,$DR$3:$DR230,1)))</f>
        <v>113</v>
      </c>
      <c r="DT80" s="1">
        <f t="shared" si="136"/>
        <v>1</v>
      </c>
      <c r="DW80" s="1">
        <f t="shared" si="137"/>
        <v>14.60078</v>
      </c>
      <c r="DX80" s="1">
        <f>IF(DW80="","",IF(A80="","",RANK(DW80,$DW$3:$DW230,1)))</f>
        <v>105</v>
      </c>
      <c r="DY80" s="1">
        <f t="shared" si="138"/>
        <v>1</v>
      </c>
      <c r="EB80" s="1">
        <f t="shared" si="139"/>
        <v>13.400780000000001</v>
      </c>
      <c r="EC80" s="1">
        <f>IF(EB80="","",IF(A80="","",RANK(EB80,$EB$3:$EB230,1)))</f>
        <v>102</v>
      </c>
      <c r="ED80" s="1">
        <f t="shared" si="140"/>
        <v>1</v>
      </c>
      <c r="EG80" s="1">
        <f t="shared" si="141"/>
        <v>12.800780000000001</v>
      </c>
      <c r="EH80" s="1">
        <f>IF(EG80="","",IF(A80="","",RANK(EG80,$EG$3:$EG230,1)))</f>
        <v>78</v>
      </c>
      <c r="EI80" s="1">
        <f t="shared" si="142"/>
        <v>1</v>
      </c>
    </row>
    <row r="81" spans="1:139" ht="18.75">
      <c r="A81" s="1" t="s">
        <v>88</v>
      </c>
      <c r="B81" s="1">
        <v>20190424</v>
      </c>
      <c r="C81" s="1" t="s">
        <v>91</v>
      </c>
      <c r="D81" s="1">
        <v>2</v>
      </c>
      <c r="E81" s="30">
        <v>54.9</v>
      </c>
      <c r="F81" s="30">
        <v>39.1</v>
      </c>
      <c r="G81" s="30">
        <v>25.4</v>
      </c>
      <c r="H81" s="30">
        <v>12.8</v>
      </c>
      <c r="I81" s="30">
        <v>15.8</v>
      </c>
      <c r="J81" s="30">
        <v>13.7</v>
      </c>
      <c r="K81" s="30">
        <v>12.6</v>
      </c>
      <c r="L81" s="30">
        <v>12.8</v>
      </c>
      <c r="M81" s="1" t="str">
        <f t="shared" si="85"/>
        <v>2019/04/24</v>
      </c>
      <c r="N81" s="4" t="str">
        <f t="shared" si="86"/>
        <v/>
      </c>
      <c r="O81">
        <v>7.9000000000000142E-4</v>
      </c>
      <c r="P81" s="1" t="str">
        <f t="shared" si="87"/>
        <v/>
      </c>
      <c r="Q81" s="1" t="str">
        <f t="shared" si="88"/>
        <v/>
      </c>
      <c r="R81" s="1">
        <f t="shared" si="89"/>
        <v>2</v>
      </c>
      <c r="U81" s="1">
        <f t="shared" si="90"/>
        <v>54.900790000000001</v>
      </c>
      <c r="V81" s="1">
        <f t="shared" si="91"/>
        <v>71</v>
      </c>
      <c r="W81" s="1">
        <f t="shared" si="92"/>
        <v>2</v>
      </c>
      <c r="Z81" s="1" t="str">
        <f t="shared" si="93"/>
        <v/>
      </c>
      <c r="AA81" s="1" t="str">
        <f t="shared" si="94"/>
        <v/>
      </c>
      <c r="AB81" s="1">
        <f t="shared" si="95"/>
        <v>2</v>
      </c>
      <c r="AE81" s="1">
        <f t="shared" si="96"/>
        <v>39.100790000000003</v>
      </c>
      <c r="AF81" s="1">
        <f t="shared" si="97"/>
        <v>63</v>
      </c>
      <c r="AG81" s="1">
        <f t="shared" si="98"/>
        <v>2</v>
      </c>
      <c r="AJ81" s="1" t="str">
        <f t="shared" si="99"/>
        <v/>
      </c>
      <c r="AK81" s="1" t="str">
        <f t="shared" si="100"/>
        <v/>
      </c>
      <c r="AL81" s="1">
        <f t="shared" si="101"/>
        <v>2</v>
      </c>
      <c r="AO81" s="1">
        <f t="shared" si="102"/>
        <v>25.400789999999997</v>
      </c>
      <c r="AP81" s="1">
        <f t="shared" si="103"/>
        <v>68</v>
      </c>
      <c r="AQ81" s="1">
        <f t="shared" si="104"/>
        <v>2</v>
      </c>
      <c r="AT81" s="1">
        <f t="shared" si="105"/>
        <v>2.1000000000000014</v>
      </c>
      <c r="AU81" s="1">
        <f t="shared" si="106"/>
        <v>1.0999999999999996</v>
      </c>
      <c r="AV81" s="1">
        <f t="shared" si="107"/>
        <v>-0.20000000000000107</v>
      </c>
      <c r="AW81" s="1">
        <f t="shared" si="108"/>
        <v>3</v>
      </c>
      <c r="AX81" s="1">
        <f t="shared" si="109"/>
        <v>0</v>
      </c>
      <c r="BC81" s="1">
        <f t="shared" si="110"/>
        <v>3.2007900000000009</v>
      </c>
      <c r="BD81" s="1">
        <f t="shared" si="111"/>
        <v>45</v>
      </c>
      <c r="BE81" s="1">
        <f t="shared" si="112"/>
        <v>2</v>
      </c>
      <c r="BH81" s="1" t="str">
        <f t="shared" si="113"/>
        <v/>
      </c>
      <c r="BI81" s="1" t="str">
        <f>IF(A81="","",IF(BH81="","",RANK(BH81,$BH$3:$BH231,1)))</f>
        <v/>
      </c>
      <c r="BJ81" s="1">
        <f t="shared" si="114"/>
        <v>2</v>
      </c>
      <c r="BM81" s="1">
        <f t="shared" si="115"/>
        <v>1.6068750000000009</v>
      </c>
      <c r="BN81" s="1">
        <f>IF(A81="","",IF(BM81="","",RANK(BM81,$BM$3:$BM231,1)))</f>
        <v>97</v>
      </c>
      <c r="BO81" s="1">
        <f t="shared" si="116"/>
        <v>2</v>
      </c>
      <c r="BR81" s="1">
        <f t="shared" si="117"/>
        <v>2</v>
      </c>
      <c r="BS81" s="1" t="str">
        <f t="shared" si="118"/>
        <v>フェルトベルク　　　　　　　　　　　</v>
      </c>
      <c r="CD81" s="1" t="str">
        <f t="shared" si="119"/>
        <v/>
      </c>
      <c r="CE81" s="1" t="str">
        <f>IF(A81="","",IF(CD81="","",RANK(CD81,$CD$3:$CD231,1)))</f>
        <v/>
      </c>
      <c r="CF81" s="1">
        <f t="shared" si="120"/>
        <v>2</v>
      </c>
      <c r="CI81" s="1" t="str">
        <f t="shared" si="121"/>
        <v/>
      </c>
      <c r="CJ81" s="1" t="str">
        <f>IF(A81="","",IF(CI81="","",RANK(CI81,$CI$3:$CI231,1)))</f>
        <v/>
      </c>
      <c r="CK81" s="1">
        <f t="shared" si="122"/>
        <v>2</v>
      </c>
      <c r="CN81" s="1" t="str">
        <f t="shared" si="123"/>
        <v/>
      </c>
      <c r="CO81" s="1" t="str">
        <f>IF(A81="","",IF(CN81="","",RANK(CN81,$CN$3:$CN231,1)))</f>
        <v/>
      </c>
      <c r="CP81" s="1">
        <f t="shared" si="124"/>
        <v>2</v>
      </c>
      <c r="CS81" s="1" t="str">
        <f t="shared" si="125"/>
        <v/>
      </c>
      <c r="CT81" s="1" t="str">
        <f>IF(A81="","",IF(CS81="","",RANK(CS81,$CS$3:$CS231,1)))</f>
        <v/>
      </c>
      <c r="CU81" s="1">
        <f t="shared" si="126"/>
        <v>2</v>
      </c>
      <c r="CX81" s="1" t="str">
        <f t="shared" si="127"/>
        <v/>
      </c>
      <c r="CY81" s="1" t="str">
        <f>IF(CX81="","",IF(A81="","",RANK(CX81,$CX$3:$CX231,1)))</f>
        <v/>
      </c>
      <c r="CZ81" s="1">
        <f t="shared" si="128"/>
        <v>2</v>
      </c>
      <c r="DC81" s="1" t="str">
        <f t="shared" si="129"/>
        <v/>
      </c>
      <c r="DD81" s="1" t="str">
        <f>IF(DC81="","",IF(A81="","",RANK(DC81,$DC$3:$DC231,1)))</f>
        <v/>
      </c>
      <c r="DE81" s="1">
        <f t="shared" si="130"/>
        <v>2</v>
      </c>
      <c r="DH81" s="1" t="str">
        <f t="shared" si="131"/>
        <v/>
      </c>
      <c r="DI81" s="1" t="str">
        <f>IF(DH81="","",IF(A81="","",RANK(DH81,$DH$3:$DH231,1)))</f>
        <v/>
      </c>
      <c r="DJ81" s="1">
        <f t="shared" si="132"/>
        <v>2</v>
      </c>
      <c r="DM81" s="1" t="str">
        <f t="shared" si="133"/>
        <v/>
      </c>
      <c r="DN81" s="1" t="str">
        <f>IF(DM81="","",IF(A81="","",RANK(DM81,$DM$3:$DM231,1)))</f>
        <v/>
      </c>
      <c r="DO81" s="1">
        <f t="shared" si="134"/>
        <v>2</v>
      </c>
      <c r="DR81" s="1">
        <f t="shared" si="135"/>
        <v>15.800790000000001</v>
      </c>
      <c r="DS81" s="1">
        <f>IF(DR81="","",IF(A81="","",RANK(DR81,$DR$3:$DR231,1)))</f>
        <v>91</v>
      </c>
      <c r="DT81" s="1">
        <f t="shared" si="136"/>
        <v>2</v>
      </c>
      <c r="DW81" s="1">
        <f t="shared" si="137"/>
        <v>13.70079</v>
      </c>
      <c r="DX81" s="1">
        <f>IF(DW81="","",IF(A81="","",RANK(DW81,$DW$3:$DW231,1)))</f>
        <v>57</v>
      </c>
      <c r="DY81" s="1">
        <f t="shared" si="138"/>
        <v>2</v>
      </c>
      <c r="EB81" s="1">
        <f t="shared" si="139"/>
        <v>12.60079</v>
      </c>
      <c r="EC81" s="1">
        <f>IF(EB81="","",IF(A81="","",RANK(EB81,$EB$3:$EB231,1)))</f>
        <v>58</v>
      </c>
      <c r="ED81" s="1">
        <f t="shared" si="140"/>
        <v>2</v>
      </c>
      <c r="EG81" s="1">
        <f t="shared" si="141"/>
        <v>12.800790000000001</v>
      </c>
      <c r="EH81" s="1">
        <f>IF(EG81="","",IF(A81="","",RANK(EG81,$EG$3:$EG231,1)))</f>
        <v>79</v>
      </c>
      <c r="EI81" s="1">
        <f t="shared" si="142"/>
        <v>2</v>
      </c>
    </row>
    <row r="82" spans="1:139" ht="18.75">
      <c r="A82" s="1" t="s">
        <v>88</v>
      </c>
      <c r="B82" s="1">
        <v>20190512</v>
      </c>
      <c r="C82" s="1" t="s">
        <v>97</v>
      </c>
      <c r="D82" s="1">
        <v>8</v>
      </c>
      <c r="E82" s="30">
        <v>54.7</v>
      </c>
      <c r="F82" s="30">
        <v>40.1</v>
      </c>
      <c r="G82" s="30">
        <v>25.9</v>
      </c>
      <c r="H82" s="30">
        <v>12.8</v>
      </c>
      <c r="I82" s="30">
        <v>14.6</v>
      </c>
      <c r="J82" s="30">
        <v>14.2</v>
      </c>
      <c r="K82" s="30">
        <v>13.1</v>
      </c>
      <c r="L82" s="30">
        <v>12.8</v>
      </c>
      <c r="M82" s="1" t="str">
        <f t="shared" si="85"/>
        <v>2019/05/12</v>
      </c>
      <c r="N82" s="4" t="str">
        <f t="shared" si="86"/>
        <v/>
      </c>
      <c r="O82">
        <v>8.0000000000000145E-4</v>
      </c>
      <c r="P82" s="1" t="str">
        <f t="shared" si="87"/>
        <v/>
      </c>
      <c r="Q82" s="1" t="str">
        <f t="shared" si="88"/>
        <v/>
      </c>
      <c r="R82" s="1">
        <f t="shared" si="89"/>
        <v>8</v>
      </c>
      <c r="U82" s="1">
        <f t="shared" si="90"/>
        <v>54.700800000000001</v>
      </c>
      <c r="V82" s="1">
        <f t="shared" si="91"/>
        <v>68</v>
      </c>
      <c r="W82" s="1">
        <f t="shared" si="92"/>
        <v>8</v>
      </c>
      <c r="Z82" s="1" t="str">
        <f t="shared" si="93"/>
        <v/>
      </c>
      <c r="AA82" s="1" t="str">
        <f t="shared" si="94"/>
        <v/>
      </c>
      <c r="AB82" s="1">
        <f t="shared" si="95"/>
        <v>8</v>
      </c>
      <c r="AE82" s="1">
        <f t="shared" si="96"/>
        <v>40.1008</v>
      </c>
      <c r="AF82" s="1">
        <f t="shared" si="97"/>
        <v>82</v>
      </c>
      <c r="AG82" s="1">
        <f t="shared" si="98"/>
        <v>8</v>
      </c>
      <c r="AJ82" s="1" t="str">
        <f t="shared" si="99"/>
        <v/>
      </c>
      <c r="AK82" s="1" t="str">
        <f t="shared" si="100"/>
        <v/>
      </c>
      <c r="AL82" s="1">
        <f t="shared" si="101"/>
        <v>8</v>
      </c>
      <c r="AO82" s="1">
        <f t="shared" si="102"/>
        <v>25.9008</v>
      </c>
      <c r="AP82" s="1">
        <f t="shared" si="103"/>
        <v>87</v>
      </c>
      <c r="AQ82" s="1">
        <f t="shared" si="104"/>
        <v>8</v>
      </c>
      <c r="AT82" s="1">
        <f t="shared" si="105"/>
        <v>0.40000000000000036</v>
      </c>
      <c r="AU82" s="1">
        <f t="shared" si="106"/>
        <v>1.0999999999999996</v>
      </c>
      <c r="AV82" s="1">
        <f t="shared" si="107"/>
        <v>0.29999999999999893</v>
      </c>
      <c r="AW82" s="1">
        <f t="shared" si="108"/>
        <v>1.7999999999999989</v>
      </c>
      <c r="AX82" s="1">
        <f t="shared" si="109"/>
        <v>0.60079999999999967</v>
      </c>
      <c r="BC82" s="1">
        <f t="shared" si="110"/>
        <v>1.5007999999999999</v>
      </c>
      <c r="BD82" s="1">
        <f t="shared" si="111"/>
        <v>131</v>
      </c>
      <c r="BE82" s="1">
        <f t="shared" si="112"/>
        <v>8</v>
      </c>
      <c r="BH82" s="1" t="str">
        <f t="shared" si="113"/>
        <v/>
      </c>
      <c r="BI82" s="1" t="str">
        <f>IF(A82="","",IF(BH82="","",RANK(BH82,$BH$3:$BH232,1)))</f>
        <v/>
      </c>
      <c r="BJ82" s="1">
        <f t="shared" si="114"/>
        <v>8</v>
      </c>
      <c r="BM82" s="1">
        <f t="shared" si="115"/>
        <v>0.55687499999999945</v>
      </c>
      <c r="BN82" s="1">
        <f>IF(A82="","",IF(BM82="","",RANK(BM82,$BM$3:$BM232,1)))</f>
        <v>28</v>
      </c>
      <c r="BO82" s="1">
        <f t="shared" si="116"/>
        <v>8</v>
      </c>
      <c r="BR82" s="1">
        <f t="shared" si="117"/>
        <v>8</v>
      </c>
      <c r="BS82" s="1" t="str">
        <f t="shared" si="118"/>
        <v>タマモメイトウ　　　　　　　　　　　</v>
      </c>
      <c r="CD82" s="1" t="str">
        <f t="shared" si="119"/>
        <v/>
      </c>
      <c r="CE82" s="1" t="str">
        <f>IF(A82="","",IF(CD82="","",RANK(CD82,$CD$3:$CD232,1)))</f>
        <v/>
      </c>
      <c r="CF82" s="1">
        <f t="shared" si="120"/>
        <v>8</v>
      </c>
      <c r="CI82" s="1" t="str">
        <f t="shared" si="121"/>
        <v/>
      </c>
      <c r="CJ82" s="1" t="str">
        <f>IF(A82="","",IF(CI82="","",RANK(CI82,$CI$3:$CI232,1)))</f>
        <v/>
      </c>
      <c r="CK82" s="1">
        <f t="shared" si="122"/>
        <v>8</v>
      </c>
      <c r="CN82" s="1" t="str">
        <f t="shared" si="123"/>
        <v/>
      </c>
      <c r="CO82" s="1" t="str">
        <f>IF(A82="","",IF(CN82="","",RANK(CN82,$CN$3:$CN232,1)))</f>
        <v/>
      </c>
      <c r="CP82" s="1">
        <f t="shared" si="124"/>
        <v>8</v>
      </c>
      <c r="CS82" s="1" t="str">
        <f t="shared" si="125"/>
        <v/>
      </c>
      <c r="CT82" s="1" t="str">
        <f>IF(A82="","",IF(CS82="","",RANK(CS82,$CS$3:$CS232,1)))</f>
        <v/>
      </c>
      <c r="CU82" s="1">
        <f t="shared" si="126"/>
        <v>8</v>
      </c>
      <c r="CX82" s="1" t="str">
        <f t="shared" si="127"/>
        <v/>
      </c>
      <c r="CY82" s="1" t="str">
        <f>IF(CX82="","",IF(A82="","",RANK(CX82,$CX$3:$CX232,1)))</f>
        <v/>
      </c>
      <c r="CZ82" s="1">
        <f t="shared" si="128"/>
        <v>8</v>
      </c>
      <c r="DC82" s="1" t="str">
        <f t="shared" si="129"/>
        <v/>
      </c>
      <c r="DD82" s="1" t="str">
        <f>IF(DC82="","",IF(A82="","",RANK(DC82,$DC$3:$DC232,1)))</f>
        <v/>
      </c>
      <c r="DE82" s="1">
        <f t="shared" si="130"/>
        <v>8</v>
      </c>
      <c r="DH82" s="1" t="str">
        <f t="shared" si="131"/>
        <v/>
      </c>
      <c r="DI82" s="1" t="str">
        <f>IF(DH82="","",IF(A82="","",RANK(DH82,$DH$3:$DH232,1)))</f>
        <v/>
      </c>
      <c r="DJ82" s="1">
        <f t="shared" si="132"/>
        <v>8</v>
      </c>
      <c r="DM82" s="1" t="str">
        <f t="shared" si="133"/>
        <v/>
      </c>
      <c r="DN82" s="1" t="str">
        <f>IF(DM82="","",IF(A82="","",RANK(DM82,$DM$3:$DM232,1)))</f>
        <v/>
      </c>
      <c r="DO82" s="1">
        <f t="shared" si="134"/>
        <v>8</v>
      </c>
      <c r="DR82" s="1">
        <f t="shared" si="135"/>
        <v>14.6008</v>
      </c>
      <c r="DS82" s="1">
        <f>IF(DR82="","",IF(A82="","",RANK(DR82,$DR$3:$DR232,1)))</f>
        <v>28</v>
      </c>
      <c r="DT82" s="1">
        <f t="shared" si="136"/>
        <v>8</v>
      </c>
      <c r="DW82" s="1">
        <f t="shared" si="137"/>
        <v>14.200799999999999</v>
      </c>
      <c r="DX82" s="1">
        <f>IF(DW82="","",IF(A82="","",RANK(DW82,$DW$3:$DW232,1)))</f>
        <v>89</v>
      </c>
      <c r="DY82" s="1">
        <f t="shared" si="138"/>
        <v>8</v>
      </c>
      <c r="EB82" s="1">
        <f t="shared" si="139"/>
        <v>13.1008</v>
      </c>
      <c r="EC82" s="1">
        <f>IF(EB82="","",IF(A82="","",RANK(EB82,$EB$3:$EB232,1)))</f>
        <v>88</v>
      </c>
      <c r="ED82" s="1">
        <f t="shared" si="140"/>
        <v>8</v>
      </c>
      <c r="EG82" s="1">
        <f t="shared" si="141"/>
        <v>12.800800000000001</v>
      </c>
      <c r="EH82" s="1">
        <f>IF(EG82="","",IF(A82="","",RANK(EG82,$EG$3:$EG232,1)))</f>
        <v>80</v>
      </c>
      <c r="EI82" s="1">
        <f t="shared" si="142"/>
        <v>8</v>
      </c>
    </row>
    <row r="83" spans="1:139" ht="18.75">
      <c r="A83" s="1" t="s">
        <v>88</v>
      </c>
      <c r="B83" s="1">
        <v>20190529</v>
      </c>
      <c r="C83" s="1" t="s">
        <v>96</v>
      </c>
      <c r="D83" s="1">
        <v>7</v>
      </c>
      <c r="E83" s="30">
        <v>53.1</v>
      </c>
      <c r="F83" s="30">
        <v>37.700000000000003</v>
      </c>
      <c r="G83" s="30">
        <v>24.7</v>
      </c>
      <c r="H83" s="30">
        <v>12.8</v>
      </c>
      <c r="I83" s="30">
        <v>15.4</v>
      </c>
      <c r="J83" s="30">
        <v>13</v>
      </c>
      <c r="K83" s="30">
        <v>11.9</v>
      </c>
      <c r="L83" s="30">
        <v>12.8</v>
      </c>
      <c r="M83" s="1" t="str">
        <f t="shared" si="85"/>
        <v>2019/05/29</v>
      </c>
      <c r="N83" s="4" t="str">
        <f t="shared" si="86"/>
        <v/>
      </c>
      <c r="O83">
        <v>8.1000000000000147E-4</v>
      </c>
      <c r="P83" s="1" t="str">
        <f t="shared" si="87"/>
        <v/>
      </c>
      <c r="Q83" s="1" t="str">
        <f t="shared" si="88"/>
        <v/>
      </c>
      <c r="R83" s="1">
        <f t="shared" si="89"/>
        <v>7</v>
      </c>
      <c r="U83" s="1">
        <f t="shared" si="90"/>
        <v>53.100810000000003</v>
      </c>
      <c r="V83" s="1">
        <f t="shared" si="91"/>
        <v>30</v>
      </c>
      <c r="W83" s="1">
        <f t="shared" si="92"/>
        <v>7</v>
      </c>
      <c r="Z83" s="1" t="str">
        <f t="shared" si="93"/>
        <v/>
      </c>
      <c r="AA83" s="1" t="str">
        <f t="shared" si="94"/>
        <v/>
      </c>
      <c r="AB83" s="1">
        <f t="shared" si="95"/>
        <v>7</v>
      </c>
      <c r="AE83" s="1">
        <f t="shared" si="96"/>
        <v>37.700810000000004</v>
      </c>
      <c r="AF83" s="1">
        <f t="shared" si="97"/>
        <v>15</v>
      </c>
      <c r="AG83" s="1">
        <f t="shared" si="98"/>
        <v>7</v>
      </c>
      <c r="AJ83" s="1" t="str">
        <f t="shared" si="99"/>
        <v/>
      </c>
      <c r="AK83" s="1" t="str">
        <f t="shared" si="100"/>
        <v/>
      </c>
      <c r="AL83" s="1">
        <f t="shared" si="101"/>
        <v>7</v>
      </c>
      <c r="AO83" s="1">
        <f t="shared" si="102"/>
        <v>24.700810000000001</v>
      </c>
      <c r="AP83" s="1">
        <f t="shared" si="103"/>
        <v>25</v>
      </c>
      <c r="AQ83" s="1">
        <f t="shared" si="104"/>
        <v>7</v>
      </c>
      <c r="AT83" s="1">
        <f t="shared" si="105"/>
        <v>2.4000000000000004</v>
      </c>
      <c r="AU83" s="1">
        <f t="shared" si="106"/>
        <v>1.0999999999999996</v>
      </c>
      <c r="AV83" s="1">
        <f t="shared" si="107"/>
        <v>-0.90000000000000036</v>
      </c>
      <c r="AW83" s="1">
        <f t="shared" si="108"/>
        <v>2.5999999999999996</v>
      </c>
      <c r="AX83" s="1">
        <f t="shared" si="109"/>
        <v>0</v>
      </c>
      <c r="BC83" s="1">
        <f t="shared" si="110"/>
        <v>3.50081</v>
      </c>
      <c r="BD83" s="1">
        <f t="shared" si="111"/>
        <v>35</v>
      </c>
      <c r="BE83" s="1">
        <f t="shared" si="112"/>
        <v>7</v>
      </c>
      <c r="BH83" s="1" t="str">
        <f t="shared" si="113"/>
        <v/>
      </c>
      <c r="BI83" s="1" t="str">
        <f>IF(A83="","",IF(BH83="","",RANK(BH83,$BH$3:$BH233,1)))</f>
        <v/>
      </c>
      <c r="BJ83" s="1">
        <f t="shared" si="114"/>
        <v>7</v>
      </c>
      <c r="BM83" s="1">
        <f t="shared" si="115"/>
        <v>1.6768750000000001</v>
      </c>
      <c r="BN83" s="1">
        <f>IF(A83="","",IF(BM83="","",RANK(BM83,$BM$3:$BM233,1)))</f>
        <v>101</v>
      </c>
      <c r="BO83" s="1">
        <f t="shared" si="116"/>
        <v>7</v>
      </c>
      <c r="BR83" s="1">
        <f t="shared" si="117"/>
        <v>7</v>
      </c>
      <c r="BS83" s="1" t="str">
        <f t="shared" si="118"/>
        <v>サヤカチャン　　　　　　　　　　　　</v>
      </c>
      <c r="CD83" s="1" t="str">
        <f t="shared" si="119"/>
        <v/>
      </c>
      <c r="CE83" s="1" t="str">
        <f>IF(A83="","",IF(CD83="","",RANK(CD83,$CD$3:$CD233,1)))</f>
        <v/>
      </c>
      <c r="CF83" s="1">
        <f t="shared" si="120"/>
        <v>7</v>
      </c>
      <c r="CI83" s="1" t="str">
        <f t="shared" si="121"/>
        <v/>
      </c>
      <c r="CJ83" s="1" t="str">
        <f>IF(A83="","",IF(CI83="","",RANK(CI83,$CI$3:$CI233,1)))</f>
        <v/>
      </c>
      <c r="CK83" s="1">
        <f t="shared" si="122"/>
        <v>7</v>
      </c>
      <c r="CN83" s="1" t="str">
        <f t="shared" si="123"/>
        <v/>
      </c>
      <c r="CO83" s="1" t="str">
        <f>IF(A83="","",IF(CN83="","",RANK(CN83,$CN$3:$CN233,1)))</f>
        <v/>
      </c>
      <c r="CP83" s="1">
        <f t="shared" si="124"/>
        <v>7</v>
      </c>
      <c r="CS83" s="1">
        <f t="shared" si="125"/>
        <v>11.9</v>
      </c>
      <c r="CT83" s="1">
        <f>IF(A83="","",IF(CS83="","",RANK(CS83,$CS$3:$CS233,1)))</f>
        <v>1</v>
      </c>
      <c r="CU83" s="1">
        <f t="shared" si="126"/>
        <v>7</v>
      </c>
      <c r="CX83" s="1" t="str">
        <f t="shared" si="127"/>
        <v/>
      </c>
      <c r="CY83" s="1" t="str">
        <f>IF(CX83="","",IF(A83="","",RANK(CX83,$CX$3:$CX233,1)))</f>
        <v/>
      </c>
      <c r="CZ83" s="1">
        <f t="shared" si="128"/>
        <v>7</v>
      </c>
      <c r="DC83" s="1" t="str">
        <f t="shared" si="129"/>
        <v/>
      </c>
      <c r="DD83" s="1" t="str">
        <f>IF(DC83="","",IF(A83="","",RANK(DC83,$DC$3:$DC233,1)))</f>
        <v/>
      </c>
      <c r="DE83" s="1">
        <f t="shared" si="130"/>
        <v>7</v>
      </c>
      <c r="DH83" s="1" t="str">
        <f t="shared" si="131"/>
        <v/>
      </c>
      <c r="DI83" s="1" t="str">
        <f>IF(DH83="","",IF(A83="","",RANK(DH83,$DH$3:$DH233,1)))</f>
        <v/>
      </c>
      <c r="DJ83" s="1">
        <f t="shared" si="132"/>
        <v>7</v>
      </c>
      <c r="DM83" s="1" t="str">
        <f t="shared" si="133"/>
        <v/>
      </c>
      <c r="DN83" s="1" t="str">
        <f>IF(DM83="","",IF(A83="","",RANK(DM83,$DM$3:$DM233,1)))</f>
        <v/>
      </c>
      <c r="DO83" s="1">
        <f t="shared" si="134"/>
        <v>7</v>
      </c>
      <c r="DR83" s="1">
        <f t="shared" si="135"/>
        <v>15.40081</v>
      </c>
      <c r="DS83" s="1">
        <f>IF(DR83="","",IF(A83="","",RANK(DR83,$DR$3:$DR233,1)))</f>
        <v>65</v>
      </c>
      <c r="DT83" s="1">
        <f t="shared" si="136"/>
        <v>7</v>
      </c>
      <c r="DW83" s="1">
        <f t="shared" si="137"/>
        <v>13.00081</v>
      </c>
      <c r="DX83" s="1">
        <f>IF(DW83="","",IF(A83="","",RANK(DW83,$DW$3:$DW233,1)))</f>
        <v>13</v>
      </c>
      <c r="DY83" s="1">
        <f t="shared" si="138"/>
        <v>7</v>
      </c>
      <c r="EB83" s="1">
        <f t="shared" si="139"/>
        <v>11.90081</v>
      </c>
      <c r="EC83" s="1">
        <f>IF(EB83="","",IF(A83="","",RANK(EB83,$EB$3:$EB233,1)))</f>
        <v>1</v>
      </c>
      <c r="ED83" s="1">
        <f t="shared" si="140"/>
        <v>7</v>
      </c>
      <c r="EG83" s="1">
        <f t="shared" si="141"/>
        <v>12.80081</v>
      </c>
      <c r="EH83" s="1">
        <f>IF(EG83="","",IF(A83="","",RANK(EG83,$EG$3:$EG233,1)))</f>
        <v>81</v>
      </c>
      <c r="EI83" s="1">
        <f t="shared" si="142"/>
        <v>7</v>
      </c>
    </row>
    <row r="84" spans="1:139" ht="18.75">
      <c r="A84" s="1" t="s">
        <v>88</v>
      </c>
      <c r="B84" s="1">
        <v>20190605</v>
      </c>
      <c r="C84" s="1" t="s">
        <v>99</v>
      </c>
      <c r="D84" s="1">
        <v>10</v>
      </c>
      <c r="E84" s="30">
        <v>54.9</v>
      </c>
      <c r="F84" s="30">
        <v>40.1</v>
      </c>
      <c r="G84" s="30">
        <v>26.2</v>
      </c>
      <c r="H84" s="30">
        <v>12.8</v>
      </c>
      <c r="I84" s="30">
        <v>14.8</v>
      </c>
      <c r="J84" s="30">
        <v>13.9</v>
      </c>
      <c r="K84" s="30">
        <v>13.4</v>
      </c>
      <c r="L84" s="30">
        <v>12.8</v>
      </c>
      <c r="M84" s="1" t="str">
        <f t="shared" si="85"/>
        <v>2019/06/05</v>
      </c>
      <c r="N84" s="4" t="str">
        <f t="shared" si="86"/>
        <v/>
      </c>
      <c r="O84">
        <v>8.200000000000015E-4</v>
      </c>
      <c r="P84" s="1" t="str">
        <f t="shared" si="87"/>
        <v/>
      </c>
      <c r="Q84" s="1" t="str">
        <f t="shared" si="88"/>
        <v/>
      </c>
      <c r="R84" s="1">
        <f t="shared" si="89"/>
        <v>10</v>
      </c>
      <c r="U84" s="1">
        <f t="shared" si="90"/>
        <v>54.900819999999996</v>
      </c>
      <c r="V84" s="1">
        <f t="shared" si="91"/>
        <v>72</v>
      </c>
      <c r="W84" s="1">
        <f t="shared" si="92"/>
        <v>10</v>
      </c>
      <c r="Z84" s="1" t="str">
        <f t="shared" si="93"/>
        <v/>
      </c>
      <c r="AA84" s="1" t="str">
        <f t="shared" si="94"/>
        <v/>
      </c>
      <c r="AB84" s="1">
        <f t="shared" si="95"/>
        <v>10</v>
      </c>
      <c r="AE84" s="1">
        <f t="shared" si="96"/>
        <v>40.100819999999999</v>
      </c>
      <c r="AF84" s="1">
        <f t="shared" si="97"/>
        <v>83</v>
      </c>
      <c r="AG84" s="1">
        <f t="shared" si="98"/>
        <v>10</v>
      </c>
      <c r="AJ84" s="1" t="str">
        <f t="shared" si="99"/>
        <v/>
      </c>
      <c r="AK84" s="1" t="str">
        <f t="shared" si="100"/>
        <v/>
      </c>
      <c r="AL84" s="1">
        <f t="shared" si="101"/>
        <v>10</v>
      </c>
      <c r="AO84" s="1">
        <f t="shared" si="102"/>
        <v>26.20082</v>
      </c>
      <c r="AP84" s="1">
        <f t="shared" si="103"/>
        <v>98</v>
      </c>
      <c r="AQ84" s="1">
        <f t="shared" si="104"/>
        <v>10</v>
      </c>
      <c r="AT84" s="1">
        <f t="shared" si="105"/>
        <v>0.90000000000000036</v>
      </c>
      <c r="AU84" s="1">
        <f t="shared" si="106"/>
        <v>0.5</v>
      </c>
      <c r="AV84" s="1">
        <f t="shared" si="107"/>
        <v>0.59999999999999964</v>
      </c>
      <c r="AW84" s="1">
        <f t="shared" si="108"/>
        <v>2</v>
      </c>
      <c r="AX84" s="1">
        <f t="shared" si="109"/>
        <v>0.66748666666666667</v>
      </c>
      <c r="BC84" s="1">
        <f t="shared" si="110"/>
        <v>1.4008200000000004</v>
      </c>
      <c r="BD84" s="1">
        <f t="shared" si="111"/>
        <v>134</v>
      </c>
      <c r="BE84" s="1">
        <f t="shared" si="112"/>
        <v>10</v>
      </c>
      <c r="BH84" s="1" t="str">
        <f t="shared" si="113"/>
        <v/>
      </c>
      <c r="BI84" s="1" t="str">
        <f>IF(A84="","",IF(BH84="","",RANK(BH84,$BH$3:$BH234,1)))</f>
        <v/>
      </c>
      <c r="BJ84" s="1">
        <f t="shared" si="114"/>
        <v>10</v>
      </c>
      <c r="BM84" s="1">
        <f t="shared" si="115"/>
        <v>0.5368750000000001</v>
      </c>
      <c r="BN84" s="1">
        <f>IF(A84="","",IF(BM84="","",RANK(BM84,$BM$3:$BM234,1)))</f>
        <v>24</v>
      </c>
      <c r="BO84" s="1">
        <f t="shared" si="116"/>
        <v>10</v>
      </c>
      <c r="BR84" s="1">
        <f t="shared" si="117"/>
        <v>10</v>
      </c>
      <c r="BS84" s="1" t="str">
        <f t="shared" si="118"/>
        <v>コンパウンダー　　　　　　　　　　　</v>
      </c>
      <c r="CD84" s="1" t="str">
        <f t="shared" si="119"/>
        <v/>
      </c>
      <c r="CE84" s="1" t="str">
        <f>IF(A84="","",IF(CD84="","",RANK(CD84,$CD$3:$CD234,1)))</f>
        <v/>
      </c>
      <c r="CF84" s="1">
        <f t="shared" si="120"/>
        <v>10</v>
      </c>
      <c r="CI84" s="1" t="str">
        <f t="shared" si="121"/>
        <v/>
      </c>
      <c r="CJ84" s="1" t="str">
        <f>IF(A84="","",IF(CI84="","",RANK(CI84,$CI$3:$CI234,1)))</f>
        <v/>
      </c>
      <c r="CK84" s="1">
        <f t="shared" si="122"/>
        <v>10</v>
      </c>
      <c r="CN84" s="1" t="str">
        <f t="shared" si="123"/>
        <v/>
      </c>
      <c r="CO84" s="1" t="str">
        <f>IF(A84="","",IF(CN84="","",RANK(CN84,$CN$3:$CN234,1)))</f>
        <v/>
      </c>
      <c r="CP84" s="1">
        <f t="shared" si="124"/>
        <v>10</v>
      </c>
      <c r="CS84" s="1" t="str">
        <f t="shared" si="125"/>
        <v/>
      </c>
      <c r="CT84" s="1" t="str">
        <f>IF(A84="","",IF(CS84="","",RANK(CS84,$CS$3:$CS234,1)))</f>
        <v/>
      </c>
      <c r="CU84" s="1">
        <f t="shared" si="126"/>
        <v>10</v>
      </c>
      <c r="CX84" s="1" t="str">
        <f t="shared" si="127"/>
        <v/>
      </c>
      <c r="CY84" s="1" t="str">
        <f>IF(CX84="","",IF(A84="","",RANK(CX84,$CX$3:$CX234,1)))</f>
        <v/>
      </c>
      <c r="CZ84" s="1">
        <f t="shared" si="128"/>
        <v>10</v>
      </c>
      <c r="DC84" s="1" t="str">
        <f t="shared" si="129"/>
        <v/>
      </c>
      <c r="DD84" s="1" t="str">
        <f>IF(DC84="","",IF(A84="","",RANK(DC84,$DC$3:$DC234,1)))</f>
        <v/>
      </c>
      <c r="DE84" s="1">
        <f t="shared" si="130"/>
        <v>10</v>
      </c>
      <c r="DH84" s="1" t="str">
        <f t="shared" si="131"/>
        <v/>
      </c>
      <c r="DI84" s="1" t="str">
        <f>IF(DH84="","",IF(A84="","",RANK(DH84,$DH$3:$DH234,1)))</f>
        <v/>
      </c>
      <c r="DJ84" s="1">
        <f t="shared" si="132"/>
        <v>10</v>
      </c>
      <c r="DM84" s="1" t="str">
        <f t="shared" si="133"/>
        <v/>
      </c>
      <c r="DN84" s="1" t="str">
        <f>IF(DM84="","",IF(A84="","",RANK(DM84,$DM$3:$DM234,1)))</f>
        <v/>
      </c>
      <c r="DO84" s="1">
        <f t="shared" si="134"/>
        <v>10</v>
      </c>
      <c r="DR84" s="1">
        <f t="shared" si="135"/>
        <v>14.80082</v>
      </c>
      <c r="DS84" s="1">
        <f>IF(DR84="","",IF(A84="","",RANK(DR84,$DR$3:$DR234,1)))</f>
        <v>39</v>
      </c>
      <c r="DT84" s="1">
        <f t="shared" si="136"/>
        <v>10</v>
      </c>
      <c r="DW84" s="1">
        <f t="shared" si="137"/>
        <v>13.90082</v>
      </c>
      <c r="DX84" s="1">
        <f>IF(DW84="","",IF(A84="","",RANK(DW84,$DW$3:$DW234,1)))</f>
        <v>74</v>
      </c>
      <c r="DY84" s="1">
        <f t="shared" si="138"/>
        <v>10</v>
      </c>
      <c r="EB84" s="1">
        <f t="shared" si="139"/>
        <v>13.40082</v>
      </c>
      <c r="EC84" s="1">
        <f>IF(EB84="","",IF(A84="","",RANK(EB84,$EB$3:$EB234,1)))</f>
        <v>103</v>
      </c>
      <c r="ED84" s="1">
        <f t="shared" si="140"/>
        <v>10</v>
      </c>
      <c r="EG84" s="1">
        <f t="shared" si="141"/>
        <v>12.80082</v>
      </c>
      <c r="EH84" s="1">
        <f>IF(EG84="","",IF(A84="","",RANK(EG84,$EG$3:$EG234,1)))</f>
        <v>82</v>
      </c>
      <c r="EI84" s="1">
        <f t="shared" si="142"/>
        <v>10</v>
      </c>
    </row>
    <row r="85" spans="1:139" ht="18.75">
      <c r="A85" s="1" t="s">
        <v>88</v>
      </c>
      <c r="B85" s="1">
        <v>20190605</v>
      </c>
      <c r="C85" s="1" t="s">
        <v>98</v>
      </c>
      <c r="D85" s="1">
        <v>9</v>
      </c>
      <c r="E85" s="30">
        <v>53.9</v>
      </c>
      <c r="F85" s="30">
        <v>38.5</v>
      </c>
      <c r="G85" s="30">
        <v>25.3</v>
      </c>
      <c r="H85" s="30">
        <v>12.8</v>
      </c>
      <c r="I85" s="30">
        <v>15.4</v>
      </c>
      <c r="J85" s="30">
        <v>13.2</v>
      </c>
      <c r="K85" s="30">
        <v>12.5</v>
      </c>
      <c r="L85" s="30">
        <v>12.8</v>
      </c>
      <c r="M85" s="1" t="str">
        <f t="shared" si="85"/>
        <v>2019/06/05</v>
      </c>
      <c r="N85" s="4" t="str">
        <f t="shared" si="86"/>
        <v/>
      </c>
      <c r="O85">
        <v>8.3000000000000153E-4</v>
      </c>
      <c r="P85" s="1" t="str">
        <f t="shared" si="87"/>
        <v/>
      </c>
      <c r="Q85" s="1" t="str">
        <f t="shared" si="88"/>
        <v/>
      </c>
      <c r="R85" s="1">
        <f t="shared" si="89"/>
        <v>9</v>
      </c>
      <c r="U85" s="1">
        <f t="shared" si="90"/>
        <v>53.900829999999999</v>
      </c>
      <c r="V85" s="1">
        <f t="shared" si="91"/>
        <v>43</v>
      </c>
      <c r="W85" s="1">
        <f t="shared" si="92"/>
        <v>9</v>
      </c>
      <c r="Z85" s="1" t="str">
        <f t="shared" si="93"/>
        <v/>
      </c>
      <c r="AA85" s="1" t="str">
        <f t="shared" si="94"/>
        <v/>
      </c>
      <c r="AB85" s="1">
        <f t="shared" si="95"/>
        <v>9</v>
      </c>
      <c r="AE85" s="1">
        <f t="shared" si="96"/>
        <v>38.500830000000001</v>
      </c>
      <c r="AF85" s="1">
        <f t="shared" si="97"/>
        <v>41</v>
      </c>
      <c r="AG85" s="1">
        <f t="shared" si="98"/>
        <v>9</v>
      </c>
      <c r="AJ85" s="1" t="str">
        <f t="shared" si="99"/>
        <v/>
      </c>
      <c r="AK85" s="1" t="str">
        <f t="shared" si="100"/>
        <v/>
      </c>
      <c r="AL85" s="1">
        <f t="shared" si="101"/>
        <v>9</v>
      </c>
      <c r="AO85" s="1">
        <f t="shared" si="102"/>
        <v>25.300830000000001</v>
      </c>
      <c r="AP85" s="1">
        <f t="shared" si="103"/>
        <v>62</v>
      </c>
      <c r="AQ85" s="1">
        <f t="shared" si="104"/>
        <v>9</v>
      </c>
      <c r="AT85" s="1">
        <f t="shared" si="105"/>
        <v>2.2000000000000011</v>
      </c>
      <c r="AU85" s="1">
        <f t="shared" si="106"/>
        <v>0.69999999999999929</v>
      </c>
      <c r="AV85" s="1">
        <f t="shared" si="107"/>
        <v>-0.30000000000000071</v>
      </c>
      <c r="AW85" s="1">
        <f t="shared" si="108"/>
        <v>2.5999999999999996</v>
      </c>
      <c r="AX85" s="1">
        <f t="shared" si="109"/>
        <v>0</v>
      </c>
      <c r="BC85" s="1">
        <f t="shared" si="110"/>
        <v>2.9008300000000005</v>
      </c>
      <c r="BD85" s="1">
        <f t="shared" si="111"/>
        <v>55</v>
      </c>
      <c r="BE85" s="1">
        <f t="shared" si="112"/>
        <v>9</v>
      </c>
      <c r="BH85" s="1" t="str">
        <f t="shared" si="113"/>
        <v/>
      </c>
      <c r="BI85" s="1" t="str">
        <f>IF(A85="","",IF(BH85="","",RANK(BH85,$BH$3:$BH235,1)))</f>
        <v/>
      </c>
      <c r="BJ85" s="1">
        <f t="shared" si="114"/>
        <v>9</v>
      </c>
      <c r="BM85" s="1">
        <f t="shared" si="115"/>
        <v>1.2968750000000004</v>
      </c>
      <c r="BN85" s="1">
        <f>IF(A85="","",IF(BM85="","",RANK(BM85,$BM$3:$BM235,1)))</f>
        <v>81</v>
      </c>
      <c r="BO85" s="1">
        <f t="shared" si="116"/>
        <v>9</v>
      </c>
      <c r="BR85" s="1">
        <f t="shared" si="117"/>
        <v>9</v>
      </c>
      <c r="BS85" s="1" t="str">
        <f t="shared" si="118"/>
        <v>メイショウイサナ　　　　　　　　　　</v>
      </c>
      <c r="CD85" s="1" t="str">
        <f t="shared" si="119"/>
        <v/>
      </c>
      <c r="CE85" s="1" t="str">
        <f>IF(A85="","",IF(CD85="","",RANK(CD85,$CD$3:$CD235,1)))</f>
        <v/>
      </c>
      <c r="CF85" s="1">
        <f t="shared" si="120"/>
        <v>9</v>
      </c>
      <c r="CI85" s="1" t="str">
        <f t="shared" si="121"/>
        <v/>
      </c>
      <c r="CJ85" s="1" t="str">
        <f>IF(A85="","",IF(CI85="","",RANK(CI85,$CI$3:$CI235,1)))</f>
        <v/>
      </c>
      <c r="CK85" s="1">
        <f t="shared" si="122"/>
        <v>9</v>
      </c>
      <c r="CN85" s="1" t="str">
        <f t="shared" si="123"/>
        <v/>
      </c>
      <c r="CO85" s="1" t="str">
        <f>IF(A85="","",IF(CN85="","",RANK(CN85,$CN$3:$CN235,1)))</f>
        <v/>
      </c>
      <c r="CP85" s="1">
        <f t="shared" si="124"/>
        <v>9</v>
      </c>
      <c r="CS85" s="1" t="str">
        <f t="shared" si="125"/>
        <v/>
      </c>
      <c r="CT85" s="1" t="str">
        <f>IF(A85="","",IF(CS85="","",RANK(CS85,$CS$3:$CS235,1)))</f>
        <v/>
      </c>
      <c r="CU85" s="1">
        <f t="shared" si="126"/>
        <v>9</v>
      </c>
      <c r="CX85" s="1" t="str">
        <f t="shared" si="127"/>
        <v/>
      </c>
      <c r="CY85" s="1" t="str">
        <f>IF(CX85="","",IF(A85="","",RANK(CX85,$CX$3:$CX235,1)))</f>
        <v/>
      </c>
      <c r="CZ85" s="1">
        <f t="shared" si="128"/>
        <v>9</v>
      </c>
      <c r="DC85" s="1" t="str">
        <f t="shared" si="129"/>
        <v/>
      </c>
      <c r="DD85" s="1" t="str">
        <f>IF(DC85="","",IF(A85="","",RANK(DC85,$DC$3:$DC235,1)))</f>
        <v/>
      </c>
      <c r="DE85" s="1">
        <f t="shared" si="130"/>
        <v>9</v>
      </c>
      <c r="DH85" s="1" t="str">
        <f t="shared" si="131"/>
        <v/>
      </c>
      <c r="DI85" s="1" t="str">
        <f>IF(DH85="","",IF(A85="","",RANK(DH85,$DH$3:$DH235,1)))</f>
        <v/>
      </c>
      <c r="DJ85" s="1">
        <f t="shared" si="132"/>
        <v>9</v>
      </c>
      <c r="DM85" s="1" t="str">
        <f t="shared" si="133"/>
        <v/>
      </c>
      <c r="DN85" s="1" t="str">
        <f>IF(DM85="","",IF(A85="","",RANK(DM85,$DM$3:$DM235,1)))</f>
        <v/>
      </c>
      <c r="DO85" s="1">
        <f t="shared" si="134"/>
        <v>9</v>
      </c>
      <c r="DR85" s="1">
        <f t="shared" si="135"/>
        <v>15.400830000000001</v>
      </c>
      <c r="DS85" s="1">
        <f>IF(DR85="","",IF(A85="","",RANK(DR85,$DR$3:$DR235,1)))</f>
        <v>66</v>
      </c>
      <c r="DT85" s="1">
        <f t="shared" si="136"/>
        <v>9</v>
      </c>
      <c r="DW85" s="1">
        <f t="shared" si="137"/>
        <v>13.20083</v>
      </c>
      <c r="DX85" s="1">
        <f>IF(DW85="","",IF(A85="","",RANK(DW85,$DW$3:$DW235,1)))</f>
        <v>20</v>
      </c>
      <c r="DY85" s="1">
        <f t="shared" si="138"/>
        <v>9</v>
      </c>
      <c r="EB85" s="1">
        <f t="shared" si="139"/>
        <v>12.500830000000001</v>
      </c>
      <c r="EC85" s="1">
        <f>IF(EB85="","",IF(A85="","",RANK(EB85,$EB$3:$EB235,1)))</f>
        <v>49</v>
      </c>
      <c r="ED85" s="1">
        <f t="shared" si="140"/>
        <v>9</v>
      </c>
      <c r="EG85" s="1">
        <f t="shared" si="141"/>
        <v>12.800830000000001</v>
      </c>
      <c r="EH85" s="1">
        <f>IF(EG85="","",IF(A85="","",RANK(EG85,$EG$3:$EG235,1)))</f>
        <v>83</v>
      </c>
      <c r="EI85" s="1">
        <f t="shared" si="142"/>
        <v>9</v>
      </c>
    </row>
    <row r="86" spans="1:139" ht="18.75">
      <c r="A86" s="1" t="s">
        <v>88</v>
      </c>
      <c r="B86" s="1">
        <v>20190619</v>
      </c>
      <c r="C86" s="1" t="s">
        <v>96</v>
      </c>
      <c r="D86" s="1">
        <v>7</v>
      </c>
      <c r="E86" s="30">
        <v>56.6</v>
      </c>
      <c r="F86" s="30">
        <v>41.2</v>
      </c>
      <c r="G86" s="30">
        <v>26.1</v>
      </c>
      <c r="H86" s="30">
        <v>12.8</v>
      </c>
      <c r="I86" s="30">
        <v>15.4</v>
      </c>
      <c r="J86" s="30">
        <v>15.1</v>
      </c>
      <c r="K86" s="30">
        <v>13.3</v>
      </c>
      <c r="L86" s="30">
        <v>12.8</v>
      </c>
      <c r="M86" s="1" t="str">
        <f t="shared" si="85"/>
        <v>2019/06/19</v>
      </c>
      <c r="N86" s="4" t="str">
        <f t="shared" si="86"/>
        <v/>
      </c>
      <c r="O86">
        <v>8.4000000000000155E-4</v>
      </c>
      <c r="P86" s="1" t="str">
        <f t="shared" si="87"/>
        <v/>
      </c>
      <c r="Q86" s="1" t="str">
        <f t="shared" si="88"/>
        <v/>
      </c>
      <c r="R86" s="1">
        <f t="shared" si="89"/>
        <v>7</v>
      </c>
      <c r="U86" s="1">
        <f t="shared" si="90"/>
        <v>56.600839999999998</v>
      </c>
      <c r="V86" s="1">
        <f t="shared" si="91"/>
        <v>95</v>
      </c>
      <c r="W86" s="1">
        <f t="shared" si="92"/>
        <v>7</v>
      </c>
      <c r="Z86" s="1" t="str">
        <f t="shared" si="93"/>
        <v/>
      </c>
      <c r="AA86" s="1" t="str">
        <f t="shared" si="94"/>
        <v/>
      </c>
      <c r="AB86" s="1">
        <f t="shared" si="95"/>
        <v>7</v>
      </c>
      <c r="AE86" s="1">
        <f t="shared" si="96"/>
        <v>41.200839999999999</v>
      </c>
      <c r="AF86" s="1">
        <f t="shared" si="97"/>
        <v>103</v>
      </c>
      <c r="AG86" s="1">
        <f t="shared" si="98"/>
        <v>7</v>
      </c>
      <c r="AJ86" s="1" t="str">
        <f t="shared" si="99"/>
        <v/>
      </c>
      <c r="AK86" s="1" t="str">
        <f t="shared" si="100"/>
        <v/>
      </c>
      <c r="AL86" s="1">
        <f t="shared" si="101"/>
        <v>7</v>
      </c>
      <c r="AO86" s="1">
        <f t="shared" si="102"/>
        <v>26.100840000000002</v>
      </c>
      <c r="AP86" s="1">
        <f t="shared" si="103"/>
        <v>92</v>
      </c>
      <c r="AQ86" s="1">
        <f t="shared" si="104"/>
        <v>7</v>
      </c>
      <c r="AT86" s="1">
        <f t="shared" si="105"/>
        <v>0.30000000000000071</v>
      </c>
      <c r="AU86" s="1">
        <f t="shared" si="106"/>
        <v>1.7999999999999989</v>
      </c>
      <c r="AV86" s="1">
        <f t="shared" si="107"/>
        <v>0.5</v>
      </c>
      <c r="AW86" s="1">
        <f t="shared" si="108"/>
        <v>2.5999999999999996</v>
      </c>
      <c r="AX86" s="1">
        <f t="shared" si="109"/>
        <v>0.86750666666666654</v>
      </c>
      <c r="BC86" s="1">
        <f t="shared" si="110"/>
        <v>2.1008399999999998</v>
      </c>
      <c r="BD86" s="1">
        <f t="shared" si="111"/>
        <v>97</v>
      </c>
      <c r="BE86" s="1">
        <f t="shared" si="112"/>
        <v>7</v>
      </c>
      <c r="BH86" s="1" t="str">
        <f t="shared" si="113"/>
        <v/>
      </c>
      <c r="BI86" s="1" t="str">
        <f>IF(A86="","",IF(BH86="","",RANK(BH86,$BH$3:$BH236,1)))</f>
        <v/>
      </c>
      <c r="BJ86" s="1">
        <f t="shared" si="114"/>
        <v>7</v>
      </c>
      <c r="BM86" s="1">
        <f t="shared" si="115"/>
        <v>1.2524999999999993</v>
      </c>
      <c r="BN86" s="1">
        <f>IF(A86="","",IF(BM86="","",RANK(BM86,$BM$3:$BM236,1)))</f>
        <v>77</v>
      </c>
      <c r="BO86" s="1">
        <f t="shared" si="116"/>
        <v>7</v>
      </c>
      <c r="BR86" s="1">
        <f t="shared" si="117"/>
        <v>7</v>
      </c>
      <c r="BS86" s="1" t="str">
        <f t="shared" si="118"/>
        <v>サヤカチャン　　　　　　　　　　　　</v>
      </c>
      <c r="CD86" s="1" t="str">
        <f t="shared" si="119"/>
        <v/>
      </c>
      <c r="CE86" s="1" t="str">
        <f>IF(A86="","",IF(CD86="","",RANK(CD86,$CD$3:$CD236,1)))</f>
        <v/>
      </c>
      <c r="CF86" s="1">
        <f t="shared" si="120"/>
        <v>7</v>
      </c>
      <c r="CI86" s="1" t="str">
        <f t="shared" si="121"/>
        <v/>
      </c>
      <c r="CJ86" s="1" t="str">
        <f>IF(A86="","",IF(CI86="","",RANK(CI86,$CI$3:$CI236,1)))</f>
        <v/>
      </c>
      <c r="CK86" s="1">
        <f t="shared" si="122"/>
        <v>7</v>
      </c>
      <c r="CN86" s="1" t="str">
        <f t="shared" si="123"/>
        <v/>
      </c>
      <c r="CO86" s="1" t="str">
        <f>IF(A86="","",IF(CN86="","",RANK(CN86,$CN$3:$CN236,1)))</f>
        <v/>
      </c>
      <c r="CP86" s="1">
        <f t="shared" si="124"/>
        <v>7</v>
      </c>
      <c r="CS86" s="1" t="str">
        <f t="shared" si="125"/>
        <v/>
      </c>
      <c r="CT86" s="1" t="str">
        <f>IF(A86="","",IF(CS86="","",RANK(CS86,$CS$3:$CS236,1)))</f>
        <v/>
      </c>
      <c r="CU86" s="1">
        <f t="shared" si="126"/>
        <v>7</v>
      </c>
      <c r="CX86" s="1" t="str">
        <f t="shared" si="127"/>
        <v/>
      </c>
      <c r="CY86" s="1" t="str">
        <f>IF(CX86="","",IF(A86="","",RANK(CX86,$CX$3:$CX236,1)))</f>
        <v/>
      </c>
      <c r="CZ86" s="1">
        <f t="shared" si="128"/>
        <v>7</v>
      </c>
      <c r="DC86" s="1" t="str">
        <f t="shared" si="129"/>
        <v/>
      </c>
      <c r="DD86" s="1" t="str">
        <f>IF(DC86="","",IF(A86="","",RANK(DC86,$DC$3:$DC236,1)))</f>
        <v/>
      </c>
      <c r="DE86" s="1">
        <f t="shared" si="130"/>
        <v>7</v>
      </c>
      <c r="DH86" s="1" t="str">
        <f t="shared" si="131"/>
        <v/>
      </c>
      <c r="DI86" s="1" t="str">
        <f>IF(DH86="","",IF(A86="","",RANK(DH86,$DH$3:$DH236,1)))</f>
        <v/>
      </c>
      <c r="DJ86" s="1">
        <f t="shared" si="132"/>
        <v>7</v>
      </c>
      <c r="DM86" s="1" t="str">
        <f t="shared" si="133"/>
        <v/>
      </c>
      <c r="DN86" s="1" t="str">
        <f>IF(DM86="","",IF(A86="","",RANK(DM86,$DM$3:$DM236,1)))</f>
        <v/>
      </c>
      <c r="DO86" s="1">
        <f t="shared" si="134"/>
        <v>7</v>
      </c>
      <c r="DR86" s="1">
        <f t="shared" si="135"/>
        <v>15.400840000000001</v>
      </c>
      <c r="DS86" s="1">
        <f>IF(DR86="","",IF(A86="","",RANK(DR86,$DR$3:$DR236,1)))</f>
        <v>67</v>
      </c>
      <c r="DT86" s="1">
        <f t="shared" si="136"/>
        <v>7</v>
      </c>
      <c r="DW86" s="1">
        <f t="shared" si="137"/>
        <v>15.10084</v>
      </c>
      <c r="DX86" s="1">
        <f>IF(DW86="","",IF(A86="","",RANK(DW86,$DW$3:$DW236,1)))</f>
        <v>119</v>
      </c>
      <c r="DY86" s="1">
        <f t="shared" si="138"/>
        <v>7</v>
      </c>
      <c r="EB86" s="1">
        <f t="shared" si="139"/>
        <v>13.300840000000001</v>
      </c>
      <c r="EC86" s="1">
        <f>IF(EB86="","",IF(A86="","",RANK(EB86,$EB$3:$EB236,1)))</f>
        <v>95</v>
      </c>
      <c r="ED86" s="1">
        <f t="shared" si="140"/>
        <v>7</v>
      </c>
      <c r="EG86" s="1">
        <f t="shared" si="141"/>
        <v>12.800840000000001</v>
      </c>
      <c r="EH86" s="1">
        <f>IF(EG86="","",IF(A86="","",RANK(EG86,$EG$3:$EG236,1)))</f>
        <v>84</v>
      </c>
      <c r="EI86" s="1">
        <f t="shared" si="142"/>
        <v>7</v>
      </c>
    </row>
    <row r="87" spans="1:139" ht="18.75">
      <c r="A87" s="1" t="s">
        <v>88</v>
      </c>
      <c r="B87" s="1">
        <v>20190116</v>
      </c>
      <c r="C87" s="1" t="s">
        <v>99</v>
      </c>
      <c r="D87" s="1">
        <v>10</v>
      </c>
      <c r="E87" s="30">
        <v>54.1</v>
      </c>
      <c r="F87" s="30">
        <v>39.5</v>
      </c>
      <c r="G87" s="30">
        <v>26.1</v>
      </c>
      <c r="H87" s="30">
        <v>12.9</v>
      </c>
      <c r="I87" s="30">
        <v>14.6</v>
      </c>
      <c r="J87" s="30">
        <v>13.4</v>
      </c>
      <c r="K87" s="30">
        <v>13.2</v>
      </c>
      <c r="L87" s="30">
        <v>12.9</v>
      </c>
      <c r="M87" s="1" t="str">
        <f t="shared" si="85"/>
        <v>2019/01/16</v>
      </c>
      <c r="N87" s="4" t="str">
        <f t="shared" si="86"/>
        <v/>
      </c>
      <c r="O87">
        <v>8.5000000000000158E-4</v>
      </c>
      <c r="P87" s="1" t="str">
        <f t="shared" si="87"/>
        <v/>
      </c>
      <c r="Q87" s="1" t="str">
        <f t="shared" si="88"/>
        <v/>
      </c>
      <c r="R87" s="1">
        <f t="shared" si="89"/>
        <v>10</v>
      </c>
      <c r="U87" s="1">
        <f t="shared" si="90"/>
        <v>54.100850000000001</v>
      </c>
      <c r="V87" s="1">
        <f t="shared" si="91"/>
        <v>45</v>
      </c>
      <c r="W87" s="1">
        <f t="shared" si="92"/>
        <v>10</v>
      </c>
      <c r="Z87" s="1" t="str">
        <f t="shared" si="93"/>
        <v/>
      </c>
      <c r="AA87" s="1" t="str">
        <f t="shared" si="94"/>
        <v/>
      </c>
      <c r="AB87" s="1">
        <f t="shared" si="95"/>
        <v>10</v>
      </c>
      <c r="AE87" s="1">
        <f t="shared" si="96"/>
        <v>39.50085</v>
      </c>
      <c r="AF87" s="1">
        <f t="shared" si="97"/>
        <v>74</v>
      </c>
      <c r="AG87" s="1">
        <f t="shared" si="98"/>
        <v>10</v>
      </c>
      <c r="AJ87" s="1" t="str">
        <f t="shared" si="99"/>
        <v/>
      </c>
      <c r="AK87" s="1" t="str">
        <f t="shared" si="100"/>
        <v/>
      </c>
      <c r="AL87" s="1">
        <f t="shared" si="101"/>
        <v>10</v>
      </c>
      <c r="AO87" s="1">
        <f t="shared" si="102"/>
        <v>26.100850000000001</v>
      </c>
      <c r="AP87" s="1">
        <f t="shared" si="103"/>
        <v>93</v>
      </c>
      <c r="AQ87" s="1">
        <f t="shared" si="104"/>
        <v>10</v>
      </c>
      <c r="AT87" s="1">
        <f t="shared" si="105"/>
        <v>1.1999999999999993</v>
      </c>
      <c r="AU87" s="1">
        <f t="shared" si="106"/>
        <v>0.20000000000000107</v>
      </c>
      <c r="AV87" s="1">
        <f t="shared" si="107"/>
        <v>0.29999999999999893</v>
      </c>
      <c r="AW87" s="1">
        <f t="shared" si="108"/>
        <v>1.6999999999999993</v>
      </c>
      <c r="AX87" s="1">
        <f t="shared" si="109"/>
        <v>0.56751666666666645</v>
      </c>
      <c r="BC87" s="1">
        <f t="shared" si="110"/>
        <v>1.4008500000000004</v>
      </c>
      <c r="BD87" s="1">
        <f t="shared" si="111"/>
        <v>133</v>
      </c>
      <c r="BE87" s="1">
        <f t="shared" si="112"/>
        <v>10</v>
      </c>
      <c r="BH87" s="1" t="str">
        <f t="shared" si="113"/>
        <v/>
      </c>
      <c r="BI87" s="1" t="str">
        <f>IF(A87="","",IF(BH87="","",RANK(BH87,$BH$3:$BH237,1)))</f>
        <v/>
      </c>
      <c r="BJ87" s="1">
        <f t="shared" si="114"/>
        <v>10</v>
      </c>
      <c r="BM87" s="1">
        <f t="shared" si="115"/>
        <v>0.41687499999999983</v>
      </c>
      <c r="BN87" s="1">
        <f>IF(A87="","",IF(BM87="","",RANK(BM87,$BM$3:$BM237,1)))</f>
        <v>17</v>
      </c>
      <c r="BO87" s="1">
        <f t="shared" si="116"/>
        <v>10</v>
      </c>
      <c r="BR87" s="1">
        <f t="shared" si="117"/>
        <v>10</v>
      </c>
      <c r="BS87" s="1" t="str">
        <f t="shared" si="118"/>
        <v>コンパウンダー　　　　　　　　　　　</v>
      </c>
      <c r="CD87" s="1" t="str">
        <f t="shared" si="119"/>
        <v/>
      </c>
      <c r="CE87" s="1" t="str">
        <f>IF(A87="","",IF(CD87="","",RANK(CD87,$CD$3:$CD237,1)))</f>
        <v/>
      </c>
      <c r="CF87" s="1">
        <f t="shared" si="120"/>
        <v>10</v>
      </c>
      <c r="CI87" s="1" t="str">
        <f t="shared" si="121"/>
        <v/>
      </c>
      <c r="CJ87" s="1" t="str">
        <f>IF(A87="","",IF(CI87="","",RANK(CI87,$CI$3:$CI237,1)))</f>
        <v/>
      </c>
      <c r="CK87" s="1">
        <f t="shared" si="122"/>
        <v>10</v>
      </c>
      <c r="CN87" s="1" t="str">
        <f t="shared" si="123"/>
        <v/>
      </c>
      <c r="CO87" s="1" t="str">
        <f>IF(A87="","",IF(CN87="","",RANK(CN87,$CN$3:$CN237,1)))</f>
        <v/>
      </c>
      <c r="CP87" s="1">
        <f t="shared" si="124"/>
        <v>10</v>
      </c>
      <c r="CS87" s="1" t="str">
        <f t="shared" si="125"/>
        <v/>
      </c>
      <c r="CT87" s="1" t="str">
        <f>IF(A87="","",IF(CS87="","",RANK(CS87,$CS$3:$CS237,1)))</f>
        <v/>
      </c>
      <c r="CU87" s="1">
        <f t="shared" si="126"/>
        <v>10</v>
      </c>
      <c r="CX87" s="1" t="str">
        <f t="shared" si="127"/>
        <v/>
      </c>
      <c r="CY87" s="1" t="str">
        <f>IF(CX87="","",IF(A87="","",RANK(CX87,$CX$3:$CX237,1)))</f>
        <v/>
      </c>
      <c r="CZ87" s="1">
        <f t="shared" si="128"/>
        <v>10</v>
      </c>
      <c r="DC87" s="1" t="str">
        <f t="shared" si="129"/>
        <v/>
      </c>
      <c r="DD87" s="1" t="str">
        <f>IF(DC87="","",IF(A87="","",RANK(DC87,$DC$3:$DC237,1)))</f>
        <v/>
      </c>
      <c r="DE87" s="1">
        <f t="shared" si="130"/>
        <v>10</v>
      </c>
      <c r="DH87" s="1" t="str">
        <f t="shared" si="131"/>
        <v/>
      </c>
      <c r="DI87" s="1" t="str">
        <f>IF(DH87="","",IF(A87="","",RANK(DH87,$DH$3:$DH237,1)))</f>
        <v/>
      </c>
      <c r="DJ87" s="1">
        <f t="shared" si="132"/>
        <v>10</v>
      </c>
      <c r="DM87" s="1" t="str">
        <f t="shared" si="133"/>
        <v/>
      </c>
      <c r="DN87" s="1" t="str">
        <f>IF(DM87="","",IF(A87="","",RANK(DM87,$DM$3:$DM237,1)))</f>
        <v/>
      </c>
      <c r="DO87" s="1">
        <f t="shared" si="134"/>
        <v>10</v>
      </c>
      <c r="DR87" s="1">
        <f t="shared" si="135"/>
        <v>14.600849999999999</v>
      </c>
      <c r="DS87" s="1">
        <f>IF(DR87="","",IF(A87="","",RANK(DR87,$DR$3:$DR237,1)))</f>
        <v>29</v>
      </c>
      <c r="DT87" s="1">
        <f t="shared" si="136"/>
        <v>10</v>
      </c>
      <c r="DW87" s="1">
        <f t="shared" si="137"/>
        <v>13.40085</v>
      </c>
      <c r="DX87" s="1">
        <f>IF(DW87="","",IF(A87="","",RANK(DW87,$DW$3:$DW237,1)))</f>
        <v>33</v>
      </c>
      <c r="DY87" s="1">
        <f t="shared" si="138"/>
        <v>10</v>
      </c>
      <c r="EB87" s="1">
        <f t="shared" si="139"/>
        <v>13.200849999999999</v>
      </c>
      <c r="EC87" s="1">
        <f>IF(EB87="","",IF(A87="","",RANK(EB87,$EB$3:$EB237,1)))</f>
        <v>92</v>
      </c>
      <c r="ED87" s="1">
        <f t="shared" si="140"/>
        <v>10</v>
      </c>
      <c r="EG87" s="1">
        <f t="shared" si="141"/>
        <v>12.90085</v>
      </c>
      <c r="EH87" s="1">
        <f>IF(EG87="","",IF(A87="","",RANK(EG87,$EG$3:$EG237,1)))</f>
        <v>85</v>
      </c>
      <c r="EI87" s="1">
        <f t="shared" si="142"/>
        <v>10</v>
      </c>
    </row>
    <row r="88" spans="1:139" ht="18.75">
      <c r="A88" s="1" t="s">
        <v>88</v>
      </c>
      <c r="B88" s="1">
        <v>20190310</v>
      </c>
      <c r="C88" s="1" t="s">
        <v>91</v>
      </c>
      <c r="D88" s="1">
        <v>2</v>
      </c>
      <c r="E88" s="30">
        <v>56.4</v>
      </c>
      <c r="F88" s="30">
        <v>40.200000000000003</v>
      </c>
      <c r="G88" s="30">
        <v>25.4</v>
      </c>
      <c r="H88" s="30">
        <v>12.9</v>
      </c>
      <c r="I88" s="30">
        <v>16.2</v>
      </c>
      <c r="J88" s="30">
        <v>14.8</v>
      </c>
      <c r="K88" s="30">
        <v>12.5</v>
      </c>
      <c r="L88" s="30">
        <v>12.9</v>
      </c>
      <c r="M88" s="1" t="str">
        <f t="shared" si="85"/>
        <v>2019/03/10</v>
      </c>
      <c r="N88" s="4" t="str">
        <f t="shared" si="86"/>
        <v/>
      </c>
      <c r="O88">
        <v>8.6000000000000161E-4</v>
      </c>
      <c r="P88" s="1" t="str">
        <f t="shared" si="87"/>
        <v/>
      </c>
      <c r="Q88" s="1" t="str">
        <f t="shared" si="88"/>
        <v/>
      </c>
      <c r="R88" s="1">
        <f t="shared" si="89"/>
        <v>2</v>
      </c>
      <c r="U88" s="1">
        <f t="shared" si="90"/>
        <v>56.400860000000002</v>
      </c>
      <c r="V88" s="1">
        <f t="shared" si="91"/>
        <v>93</v>
      </c>
      <c r="W88" s="1">
        <f t="shared" si="92"/>
        <v>2</v>
      </c>
      <c r="Z88" s="1" t="str">
        <f t="shared" si="93"/>
        <v/>
      </c>
      <c r="AA88" s="1" t="str">
        <f t="shared" si="94"/>
        <v/>
      </c>
      <c r="AB88" s="1">
        <f t="shared" si="95"/>
        <v>2</v>
      </c>
      <c r="AE88" s="1">
        <f t="shared" si="96"/>
        <v>40.200860000000006</v>
      </c>
      <c r="AF88" s="1">
        <f t="shared" si="97"/>
        <v>85</v>
      </c>
      <c r="AG88" s="1">
        <f t="shared" si="98"/>
        <v>2</v>
      </c>
      <c r="AJ88" s="1" t="str">
        <f t="shared" si="99"/>
        <v/>
      </c>
      <c r="AK88" s="1" t="str">
        <f t="shared" si="100"/>
        <v/>
      </c>
      <c r="AL88" s="1">
        <f t="shared" si="101"/>
        <v>2</v>
      </c>
      <c r="AO88" s="1">
        <f t="shared" si="102"/>
        <v>25.400859999999998</v>
      </c>
      <c r="AP88" s="1">
        <f t="shared" si="103"/>
        <v>69</v>
      </c>
      <c r="AQ88" s="1">
        <f t="shared" si="104"/>
        <v>2</v>
      </c>
      <c r="AT88" s="1">
        <f t="shared" si="105"/>
        <v>1.3999999999999986</v>
      </c>
      <c r="AU88" s="1">
        <f t="shared" si="106"/>
        <v>2.3000000000000007</v>
      </c>
      <c r="AV88" s="1">
        <f t="shared" si="107"/>
        <v>-0.40000000000000036</v>
      </c>
      <c r="AW88" s="1">
        <f t="shared" si="108"/>
        <v>3.2999999999999989</v>
      </c>
      <c r="AX88" s="1">
        <f t="shared" si="109"/>
        <v>0</v>
      </c>
      <c r="BC88" s="1">
        <f t="shared" si="110"/>
        <v>3.7008599999999992</v>
      </c>
      <c r="BD88" s="1">
        <f t="shared" si="111"/>
        <v>29</v>
      </c>
      <c r="BE88" s="1">
        <f t="shared" si="112"/>
        <v>2</v>
      </c>
      <c r="BH88" s="1" t="str">
        <f t="shared" si="113"/>
        <v/>
      </c>
      <c r="BI88" s="1" t="str">
        <f>IF(A88="","",IF(BH88="","",RANK(BH88,$BH$3:$BH238,1)))</f>
        <v/>
      </c>
      <c r="BJ88" s="1">
        <f t="shared" si="114"/>
        <v>2</v>
      </c>
      <c r="BM88" s="1">
        <f t="shared" si="115"/>
        <v>2.2249999999999943</v>
      </c>
      <c r="BN88" s="1">
        <f>IF(A88="","",IF(BM88="","",RANK(BM88,$BM$3:$BM238,1)))</f>
        <v>116</v>
      </c>
      <c r="BO88" s="1">
        <f t="shared" si="116"/>
        <v>2</v>
      </c>
      <c r="BR88" s="1">
        <f t="shared" si="117"/>
        <v>2</v>
      </c>
      <c r="BS88" s="1" t="str">
        <f t="shared" si="118"/>
        <v>フェルトベルク　　　　　　　　　　　</v>
      </c>
      <c r="CD88" s="1" t="str">
        <f t="shared" si="119"/>
        <v/>
      </c>
      <c r="CE88" s="1" t="str">
        <f>IF(A88="","",IF(CD88="","",RANK(CD88,$CD$3:$CD238,1)))</f>
        <v/>
      </c>
      <c r="CF88" s="1">
        <f t="shared" si="120"/>
        <v>2</v>
      </c>
      <c r="CI88" s="1" t="str">
        <f t="shared" si="121"/>
        <v/>
      </c>
      <c r="CJ88" s="1" t="str">
        <f>IF(A88="","",IF(CI88="","",RANK(CI88,$CI$3:$CI238,1)))</f>
        <v/>
      </c>
      <c r="CK88" s="1">
        <f t="shared" si="122"/>
        <v>2</v>
      </c>
      <c r="CN88" s="1" t="str">
        <f t="shared" si="123"/>
        <v/>
      </c>
      <c r="CO88" s="1" t="str">
        <f>IF(A88="","",IF(CN88="","",RANK(CN88,$CN$3:$CN238,1)))</f>
        <v/>
      </c>
      <c r="CP88" s="1">
        <f t="shared" si="124"/>
        <v>2</v>
      </c>
      <c r="CS88" s="1" t="str">
        <f t="shared" si="125"/>
        <v/>
      </c>
      <c r="CT88" s="1" t="str">
        <f>IF(A88="","",IF(CS88="","",RANK(CS88,$CS$3:$CS238,1)))</f>
        <v/>
      </c>
      <c r="CU88" s="1">
        <f t="shared" si="126"/>
        <v>2</v>
      </c>
      <c r="CX88" s="1" t="str">
        <f t="shared" si="127"/>
        <v/>
      </c>
      <c r="CY88" s="1" t="str">
        <f>IF(CX88="","",IF(A88="","",RANK(CX88,$CX$3:$CX238,1)))</f>
        <v/>
      </c>
      <c r="CZ88" s="1">
        <f t="shared" si="128"/>
        <v>2</v>
      </c>
      <c r="DC88" s="1" t="str">
        <f t="shared" si="129"/>
        <v/>
      </c>
      <c r="DD88" s="1" t="str">
        <f>IF(DC88="","",IF(A88="","",RANK(DC88,$DC$3:$DC238,1)))</f>
        <v/>
      </c>
      <c r="DE88" s="1">
        <f t="shared" si="130"/>
        <v>2</v>
      </c>
      <c r="DH88" s="1" t="str">
        <f t="shared" si="131"/>
        <v/>
      </c>
      <c r="DI88" s="1" t="str">
        <f>IF(DH88="","",IF(A88="","",RANK(DH88,$DH$3:$DH238,1)))</f>
        <v/>
      </c>
      <c r="DJ88" s="1">
        <f t="shared" si="132"/>
        <v>2</v>
      </c>
      <c r="DM88" s="1" t="str">
        <f t="shared" si="133"/>
        <v/>
      </c>
      <c r="DN88" s="1" t="str">
        <f>IF(DM88="","",IF(A88="","",RANK(DM88,$DM$3:$DM238,1)))</f>
        <v/>
      </c>
      <c r="DO88" s="1">
        <f t="shared" si="134"/>
        <v>2</v>
      </c>
      <c r="DR88" s="1">
        <f t="shared" si="135"/>
        <v>16.200859999999999</v>
      </c>
      <c r="DS88" s="1">
        <f>IF(DR88="","",IF(A88="","",RANK(DR88,$DR$3:$DR238,1)))</f>
        <v>102</v>
      </c>
      <c r="DT88" s="1">
        <f t="shared" si="136"/>
        <v>2</v>
      </c>
      <c r="DW88" s="1">
        <f t="shared" si="137"/>
        <v>14.80086</v>
      </c>
      <c r="DX88" s="1">
        <f>IF(DW88="","",IF(A88="","",RANK(DW88,$DW$3:$DW238,1)))</f>
        <v>113</v>
      </c>
      <c r="DY88" s="1">
        <f t="shared" si="138"/>
        <v>2</v>
      </c>
      <c r="EB88" s="1">
        <f t="shared" si="139"/>
        <v>12.500859999999999</v>
      </c>
      <c r="EC88" s="1">
        <f>IF(EB88="","",IF(A88="","",RANK(EB88,$EB$3:$EB238,1)))</f>
        <v>50</v>
      </c>
      <c r="ED88" s="1">
        <f t="shared" si="140"/>
        <v>2</v>
      </c>
      <c r="EG88" s="1">
        <f t="shared" si="141"/>
        <v>12.90086</v>
      </c>
      <c r="EH88" s="1">
        <f>IF(EG88="","",IF(A88="","",RANK(EG88,$EG$3:$EG238,1)))</f>
        <v>86</v>
      </c>
      <c r="EI88" s="1">
        <f t="shared" si="142"/>
        <v>2</v>
      </c>
    </row>
    <row r="89" spans="1:139" ht="18.75">
      <c r="A89" s="1" t="s">
        <v>88</v>
      </c>
      <c r="B89" s="1">
        <v>20190508</v>
      </c>
      <c r="C89" s="1" t="s">
        <v>91</v>
      </c>
      <c r="D89" s="1">
        <v>2</v>
      </c>
      <c r="E89" s="30">
        <v>53.6</v>
      </c>
      <c r="F89" s="30">
        <v>38.700000000000003</v>
      </c>
      <c r="G89" s="30">
        <v>25.3</v>
      </c>
      <c r="H89" s="30">
        <v>12.9</v>
      </c>
      <c r="I89" s="30">
        <v>14.9</v>
      </c>
      <c r="J89" s="30">
        <v>13.4</v>
      </c>
      <c r="K89" s="30">
        <v>12.4</v>
      </c>
      <c r="L89" s="30">
        <v>12.9</v>
      </c>
      <c r="M89" s="1" t="str">
        <f t="shared" si="85"/>
        <v>2019/05/08</v>
      </c>
      <c r="N89" s="4" t="str">
        <f t="shared" si="86"/>
        <v/>
      </c>
      <c r="O89">
        <v>8.7000000000000163E-4</v>
      </c>
      <c r="P89" s="1" t="str">
        <f t="shared" si="87"/>
        <v/>
      </c>
      <c r="Q89" s="1" t="str">
        <f t="shared" si="88"/>
        <v/>
      </c>
      <c r="R89" s="1">
        <f t="shared" si="89"/>
        <v>2</v>
      </c>
      <c r="U89" s="1">
        <f t="shared" si="90"/>
        <v>53.60087</v>
      </c>
      <c r="V89" s="1">
        <f t="shared" si="91"/>
        <v>37</v>
      </c>
      <c r="W89" s="1">
        <f t="shared" si="92"/>
        <v>2</v>
      </c>
      <c r="Z89" s="1" t="str">
        <f t="shared" si="93"/>
        <v/>
      </c>
      <c r="AA89" s="1" t="str">
        <f t="shared" si="94"/>
        <v/>
      </c>
      <c r="AB89" s="1">
        <f t="shared" si="95"/>
        <v>2</v>
      </c>
      <c r="AE89" s="1">
        <f t="shared" si="96"/>
        <v>38.700870000000002</v>
      </c>
      <c r="AF89" s="1">
        <f t="shared" si="97"/>
        <v>52</v>
      </c>
      <c r="AG89" s="1">
        <f t="shared" si="98"/>
        <v>2</v>
      </c>
      <c r="AJ89" s="1" t="str">
        <f t="shared" si="99"/>
        <v/>
      </c>
      <c r="AK89" s="1" t="str">
        <f t="shared" si="100"/>
        <v/>
      </c>
      <c r="AL89" s="1">
        <f t="shared" si="101"/>
        <v>2</v>
      </c>
      <c r="AO89" s="1">
        <f t="shared" si="102"/>
        <v>25.30087</v>
      </c>
      <c r="AP89" s="1">
        <f t="shared" si="103"/>
        <v>63</v>
      </c>
      <c r="AQ89" s="1">
        <f t="shared" si="104"/>
        <v>2</v>
      </c>
      <c r="AT89" s="1">
        <f t="shared" si="105"/>
        <v>1.5</v>
      </c>
      <c r="AU89" s="1">
        <f t="shared" si="106"/>
        <v>1</v>
      </c>
      <c r="AV89" s="1">
        <f t="shared" si="107"/>
        <v>-0.5</v>
      </c>
      <c r="AW89" s="1">
        <f t="shared" si="108"/>
        <v>2</v>
      </c>
      <c r="AX89" s="1">
        <f t="shared" si="109"/>
        <v>0</v>
      </c>
      <c r="BC89" s="1">
        <f t="shared" si="110"/>
        <v>2.5008699999999999</v>
      </c>
      <c r="BD89" s="1">
        <f t="shared" si="111"/>
        <v>72</v>
      </c>
      <c r="BE89" s="1">
        <f t="shared" si="112"/>
        <v>2</v>
      </c>
      <c r="BH89" s="1" t="str">
        <f t="shared" si="113"/>
        <v/>
      </c>
      <c r="BI89" s="1" t="str">
        <f>IF(A89="","",IF(BH89="","",RANK(BH89,$BH$3:$BH239,1)))</f>
        <v/>
      </c>
      <c r="BJ89" s="1">
        <f t="shared" si="114"/>
        <v>2</v>
      </c>
      <c r="BM89" s="1">
        <f t="shared" si="115"/>
        <v>0.875</v>
      </c>
      <c r="BN89" s="1">
        <f>IF(A89="","",IF(BM89="","",RANK(BM89,$BM$3:$BM239,1)))</f>
        <v>54</v>
      </c>
      <c r="BO89" s="1">
        <f t="shared" si="116"/>
        <v>2</v>
      </c>
      <c r="BR89" s="1">
        <f t="shared" si="117"/>
        <v>2</v>
      </c>
      <c r="BS89" s="1" t="str">
        <f t="shared" si="118"/>
        <v>フェルトベルク　　　　　　　　　　　</v>
      </c>
      <c r="CD89" s="1" t="str">
        <f t="shared" si="119"/>
        <v/>
      </c>
      <c r="CE89" s="1" t="str">
        <f>IF(A89="","",IF(CD89="","",RANK(CD89,$CD$3:$CD239,1)))</f>
        <v/>
      </c>
      <c r="CF89" s="1">
        <f t="shared" si="120"/>
        <v>2</v>
      </c>
      <c r="CI89" s="1" t="str">
        <f t="shared" si="121"/>
        <v/>
      </c>
      <c r="CJ89" s="1" t="str">
        <f>IF(A89="","",IF(CI89="","",RANK(CI89,$CI$3:$CI239,1)))</f>
        <v/>
      </c>
      <c r="CK89" s="1">
        <f t="shared" si="122"/>
        <v>2</v>
      </c>
      <c r="CN89" s="1" t="str">
        <f t="shared" si="123"/>
        <v/>
      </c>
      <c r="CO89" s="1" t="str">
        <f>IF(A89="","",IF(CN89="","",RANK(CN89,$CN$3:$CN239,1)))</f>
        <v/>
      </c>
      <c r="CP89" s="1">
        <f t="shared" si="124"/>
        <v>2</v>
      </c>
      <c r="CS89" s="1" t="str">
        <f t="shared" si="125"/>
        <v/>
      </c>
      <c r="CT89" s="1" t="str">
        <f>IF(A89="","",IF(CS89="","",RANK(CS89,$CS$3:$CS239,1)))</f>
        <v/>
      </c>
      <c r="CU89" s="1">
        <f t="shared" si="126"/>
        <v>2</v>
      </c>
      <c r="CX89" s="1" t="str">
        <f t="shared" si="127"/>
        <v/>
      </c>
      <c r="CY89" s="1" t="str">
        <f>IF(CX89="","",IF(A89="","",RANK(CX89,$CX$3:$CX239,1)))</f>
        <v/>
      </c>
      <c r="CZ89" s="1">
        <f t="shared" si="128"/>
        <v>2</v>
      </c>
      <c r="DC89" s="1" t="str">
        <f t="shared" si="129"/>
        <v/>
      </c>
      <c r="DD89" s="1" t="str">
        <f>IF(DC89="","",IF(A89="","",RANK(DC89,$DC$3:$DC239,1)))</f>
        <v/>
      </c>
      <c r="DE89" s="1">
        <f t="shared" si="130"/>
        <v>2</v>
      </c>
      <c r="DH89" s="1" t="str">
        <f t="shared" si="131"/>
        <v/>
      </c>
      <c r="DI89" s="1" t="str">
        <f>IF(DH89="","",IF(A89="","",RANK(DH89,$DH$3:$DH239,1)))</f>
        <v/>
      </c>
      <c r="DJ89" s="1">
        <f t="shared" si="132"/>
        <v>2</v>
      </c>
      <c r="DM89" s="1" t="str">
        <f t="shared" si="133"/>
        <v/>
      </c>
      <c r="DN89" s="1" t="str">
        <f>IF(DM89="","",IF(A89="","",RANK(DM89,$DM$3:$DM239,1)))</f>
        <v/>
      </c>
      <c r="DO89" s="1">
        <f t="shared" si="134"/>
        <v>2</v>
      </c>
      <c r="DR89" s="1">
        <f t="shared" si="135"/>
        <v>14.900870000000001</v>
      </c>
      <c r="DS89" s="1">
        <f>IF(DR89="","",IF(A89="","",RANK(DR89,$DR$3:$DR239,1)))</f>
        <v>44</v>
      </c>
      <c r="DT89" s="1">
        <f t="shared" si="136"/>
        <v>2</v>
      </c>
      <c r="DW89" s="1">
        <f t="shared" si="137"/>
        <v>13.400870000000001</v>
      </c>
      <c r="DX89" s="1">
        <f>IF(DW89="","",IF(A89="","",RANK(DW89,$DW$3:$DW239,1)))</f>
        <v>34</v>
      </c>
      <c r="DY89" s="1">
        <f t="shared" si="138"/>
        <v>2</v>
      </c>
      <c r="EB89" s="1">
        <f t="shared" si="139"/>
        <v>12.400870000000001</v>
      </c>
      <c r="EC89" s="1">
        <f>IF(EB89="","",IF(A89="","",RANK(EB89,$EB$3:$EB239,1)))</f>
        <v>42</v>
      </c>
      <c r="ED89" s="1">
        <f t="shared" si="140"/>
        <v>2</v>
      </c>
      <c r="EG89" s="1">
        <f t="shared" si="141"/>
        <v>12.900870000000001</v>
      </c>
      <c r="EH89" s="1">
        <f>IF(EG89="","",IF(A89="","",RANK(EG89,$EG$3:$EG239,1)))</f>
        <v>87</v>
      </c>
      <c r="EI89" s="1">
        <f t="shared" si="142"/>
        <v>2</v>
      </c>
    </row>
    <row r="90" spans="1:139" ht="18.75">
      <c r="A90" s="1" t="s">
        <v>88</v>
      </c>
      <c r="B90" s="1">
        <v>20190602</v>
      </c>
      <c r="C90" s="1" t="s">
        <v>98</v>
      </c>
      <c r="D90" s="1">
        <v>9</v>
      </c>
      <c r="E90" s="30">
        <v>56.1</v>
      </c>
      <c r="F90" s="30">
        <v>40.4</v>
      </c>
      <c r="G90" s="30">
        <v>26.6</v>
      </c>
      <c r="H90" s="30">
        <v>12.9</v>
      </c>
      <c r="I90" s="30">
        <v>15.7</v>
      </c>
      <c r="J90" s="30">
        <v>13.8</v>
      </c>
      <c r="K90" s="30">
        <v>13.7</v>
      </c>
      <c r="L90" s="30">
        <v>12.9</v>
      </c>
      <c r="M90" s="1" t="str">
        <f t="shared" si="85"/>
        <v>2019/06/02</v>
      </c>
      <c r="N90" s="4" t="str">
        <f t="shared" si="86"/>
        <v/>
      </c>
      <c r="O90">
        <v>8.8000000000000166E-4</v>
      </c>
      <c r="P90" s="1" t="str">
        <f t="shared" si="87"/>
        <v/>
      </c>
      <c r="Q90" s="1" t="str">
        <f t="shared" si="88"/>
        <v/>
      </c>
      <c r="R90" s="1">
        <f t="shared" si="89"/>
        <v>9</v>
      </c>
      <c r="U90" s="1">
        <f t="shared" si="90"/>
        <v>56.100880000000004</v>
      </c>
      <c r="V90" s="1">
        <f t="shared" si="91"/>
        <v>85</v>
      </c>
      <c r="W90" s="1">
        <f t="shared" si="92"/>
        <v>9</v>
      </c>
      <c r="Z90" s="1" t="str">
        <f t="shared" si="93"/>
        <v/>
      </c>
      <c r="AA90" s="1" t="str">
        <f t="shared" si="94"/>
        <v/>
      </c>
      <c r="AB90" s="1">
        <f t="shared" si="95"/>
        <v>9</v>
      </c>
      <c r="AE90" s="1">
        <f t="shared" si="96"/>
        <v>40.400880000000001</v>
      </c>
      <c r="AF90" s="1">
        <f t="shared" si="97"/>
        <v>91</v>
      </c>
      <c r="AG90" s="1">
        <f t="shared" si="98"/>
        <v>9</v>
      </c>
      <c r="AJ90" s="1" t="str">
        <f t="shared" si="99"/>
        <v/>
      </c>
      <c r="AK90" s="1" t="str">
        <f t="shared" si="100"/>
        <v/>
      </c>
      <c r="AL90" s="1">
        <f t="shared" si="101"/>
        <v>9</v>
      </c>
      <c r="AO90" s="1">
        <f t="shared" si="102"/>
        <v>26.60088</v>
      </c>
      <c r="AP90" s="1">
        <f t="shared" si="103"/>
        <v>107</v>
      </c>
      <c r="AQ90" s="1">
        <f t="shared" si="104"/>
        <v>9</v>
      </c>
      <c r="AT90" s="1">
        <f t="shared" si="105"/>
        <v>1.8999999999999986</v>
      </c>
      <c r="AU90" s="1">
        <f t="shared" si="106"/>
        <v>0.10000000000000142</v>
      </c>
      <c r="AV90" s="1">
        <f t="shared" si="107"/>
        <v>0.79999999999999893</v>
      </c>
      <c r="AW90" s="1">
        <f t="shared" si="108"/>
        <v>2.7999999999999989</v>
      </c>
      <c r="AX90" s="1">
        <f t="shared" si="109"/>
        <v>0.93421333333333301</v>
      </c>
      <c r="BC90" s="1">
        <f t="shared" si="110"/>
        <v>2.00088</v>
      </c>
      <c r="BD90" s="1">
        <f t="shared" si="111"/>
        <v>104</v>
      </c>
      <c r="BE90" s="1">
        <f t="shared" si="112"/>
        <v>9</v>
      </c>
      <c r="BH90" s="1" t="str">
        <f t="shared" si="113"/>
        <v/>
      </c>
      <c r="BI90" s="1" t="str">
        <f>IF(A90="","",IF(BH90="","",RANK(BH90,$BH$3:$BH240,1)))</f>
        <v/>
      </c>
      <c r="BJ90" s="1">
        <f t="shared" si="114"/>
        <v>9</v>
      </c>
      <c r="BM90" s="1">
        <f t="shared" si="115"/>
        <v>1.0568749999999993</v>
      </c>
      <c r="BN90" s="1">
        <f>IF(A90="","",IF(BM90="","",RANK(BM90,$BM$3:$BM240,1)))</f>
        <v>63</v>
      </c>
      <c r="BO90" s="1">
        <f t="shared" si="116"/>
        <v>9</v>
      </c>
      <c r="BR90" s="1">
        <f t="shared" si="117"/>
        <v>9</v>
      </c>
      <c r="BS90" s="1" t="str">
        <f t="shared" si="118"/>
        <v>メイショウイサナ　　　　　　　　　　</v>
      </c>
      <c r="CD90" s="1" t="str">
        <f t="shared" si="119"/>
        <v/>
      </c>
      <c r="CE90" s="1" t="str">
        <f>IF(A90="","",IF(CD90="","",RANK(CD90,$CD$3:$CD240,1)))</f>
        <v/>
      </c>
      <c r="CF90" s="1">
        <f t="shared" si="120"/>
        <v>9</v>
      </c>
      <c r="CI90" s="1" t="str">
        <f t="shared" si="121"/>
        <v/>
      </c>
      <c r="CJ90" s="1" t="str">
        <f>IF(A90="","",IF(CI90="","",RANK(CI90,$CI$3:$CI240,1)))</f>
        <v/>
      </c>
      <c r="CK90" s="1">
        <f t="shared" si="122"/>
        <v>9</v>
      </c>
      <c r="CN90" s="1" t="str">
        <f t="shared" si="123"/>
        <v/>
      </c>
      <c r="CO90" s="1" t="str">
        <f>IF(A90="","",IF(CN90="","",RANK(CN90,$CN$3:$CN240,1)))</f>
        <v/>
      </c>
      <c r="CP90" s="1">
        <f t="shared" si="124"/>
        <v>9</v>
      </c>
      <c r="CS90" s="1" t="str">
        <f t="shared" si="125"/>
        <v/>
      </c>
      <c r="CT90" s="1" t="str">
        <f>IF(A90="","",IF(CS90="","",RANK(CS90,$CS$3:$CS240,1)))</f>
        <v/>
      </c>
      <c r="CU90" s="1">
        <f t="shared" si="126"/>
        <v>9</v>
      </c>
      <c r="CX90" s="1" t="str">
        <f t="shared" si="127"/>
        <v/>
      </c>
      <c r="CY90" s="1" t="str">
        <f>IF(CX90="","",IF(A90="","",RANK(CX90,$CX$3:$CX240,1)))</f>
        <v/>
      </c>
      <c r="CZ90" s="1">
        <f t="shared" si="128"/>
        <v>9</v>
      </c>
      <c r="DC90" s="1" t="str">
        <f t="shared" si="129"/>
        <v/>
      </c>
      <c r="DD90" s="1" t="str">
        <f>IF(DC90="","",IF(A90="","",RANK(DC90,$DC$3:$DC240,1)))</f>
        <v/>
      </c>
      <c r="DE90" s="1">
        <f t="shared" si="130"/>
        <v>9</v>
      </c>
      <c r="DH90" s="1" t="str">
        <f t="shared" si="131"/>
        <v/>
      </c>
      <c r="DI90" s="1" t="str">
        <f>IF(DH90="","",IF(A90="","",RANK(DH90,$DH$3:$DH240,1)))</f>
        <v/>
      </c>
      <c r="DJ90" s="1">
        <f t="shared" si="132"/>
        <v>9</v>
      </c>
      <c r="DM90" s="1" t="str">
        <f t="shared" si="133"/>
        <v/>
      </c>
      <c r="DN90" s="1" t="str">
        <f>IF(DM90="","",IF(A90="","",RANK(DM90,$DM$3:$DM240,1)))</f>
        <v/>
      </c>
      <c r="DO90" s="1">
        <f t="shared" si="134"/>
        <v>9</v>
      </c>
      <c r="DR90" s="1">
        <f t="shared" si="135"/>
        <v>15.70088</v>
      </c>
      <c r="DS90" s="1">
        <f>IF(DR90="","",IF(A90="","",RANK(DR90,$DR$3:$DR240,1)))</f>
        <v>81</v>
      </c>
      <c r="DT90" s="1">
        <f t="shared" si="136"/>
        <v>9</v>
      </c>
      <c r="DW90" s="1">
        <f t="shared" si="137"/>
        <v>13.800880000000001</v>
      </c>
      <c r="DX90" s="1">
        <f>IF(DW90="","",IF(A90="","",RANK(DW90,$DW$3:$DW240,1)))</f>
        <v>63</v>
      </c>
      <c r="DY90" s="1">
        <f t="shared" si="138"/>
        <v>9</v>
      </c>
      <c r="EB90" s="1">
        <f t="shared" si="139"/>
        <v>13.70088</v>
      </c>
      <c r="EC90" s="1">
        <f>IF(EB90="","",IF(A90="","",RANK(EB90,$EB$3:$EB240,1)))</f>
        <v>115</v>
      </c>
      <c r="ED90" s="1">
        <f t="shared" si="140"/>
        <v>9</v>
      </c>
      <c r="EG90" s="1">
        <f t="shared" si="141"/>
        <v>12.900880000000001</v>
      </c>
      <c r="EH90" s="1">
        <f>IF(EG90="","",IF(A90="","",RANK(EG90,$EG$3:$EG240,1)))</f>
        <v>88</v>
      </c>
      <c r="EI90" s="1">
        <f t="shared" si="142"/>
        <v>9</v>
      </c>
    </row>
    <row r="91" spans="1:139" ht="18.75">
      <c r="A91" s="1" t="s">
        <v>88</v>
      </c>
      <c r="B91" s="1">
        <v>20190602</v>
      </c>
      <c r="C91" s="1" t="s">
        <v>98</v>
      </c>
      <c r="D91" s="1">
        <v>9</v>
      </c>
      <c r="E91" s="30">
        <v>56.1</v>
      </c>
      <c r="F91" s="30">
        <v>40.4</v>
      </c>
      <c r="G91" s="30">
        <v>26.6</v>
      </c>
      <c r="H91" s="30">
        <v>12.9</v>
      </c>
      <c r="I91" s="30">
        <v>15.7</v>
      </c>
      <c r="J91" s="30">
        <v>13.8</v>
      </c>
      <c r="K91" s="30">
        <v>13.7</v>
      </c>
      <c r="L91" s="30">
        <v>12.9</v>
      </c>
      <c r="M91" s="1" t="str">
        <f t="shared" si="85"/>
        <v>2019/06/02</v>
      </c>
      <c r="N91" s="4" t="str">
        <f t="shared" si="86"/>
        <v/>
      </c>
      <c r="O91">
        <v>8.9000000000000168E-4</v>
      </c>
      <c r="P91" s="1" t="str">
        <f t="shared" si="87"/>
        <v/>
      </c>
      <c r="Q91" s="1" t="str">
        <f t="shared" si="88"/>
        <v/>
      </c>
      <c r="R91" s="1">
        <f t="shared" si="89"/>
        <v>9</v>
      </c>
      <c r="U91" s="1">
        <f t="shared" si="90"/>
        <v>56.10089</v>
      </c>
      <c r="V91" s="1">
        <f t="shared" si="91"/>
        <v>86</v>
      </c>
      <c r="W91" s="1">
        <f t="shared" si="92"/>
        <v>9</v>
      </c>
      <c r="Z91" s="1" t="str">
        <f t="shared" si="93"/>
        <v/>
      </c>
      <c r="AA91" s="1" t="str">
        <f t="shared" si="94"/>
        <v/>
      </c>
      <c r="AB91" s="1">
        <f t="shared" si="95"/>
        <v>9</v>
      </c>
      <c r="AE91" s="1">
        <f t="shared" si="96"/>
        <v>40.400889999999997</v>
      </c>
      <c r="AF91" s="1">
        <f t="shared" si="97"/>
        <v>92</v>
      </c>
      <c r="AG91" s="1">
        <f t="shared" si="98"/>
        <v>9</v>
      </c>
      <c r="AJ91" s="1" t="str">
        <f t="shared" si="99"/>
        <v/>
      </c>
      <c r="AK91" s="1" t="str">
        <f t="shared" si="100"/>
        <v/>
      </c>
      <c r="AL91" s="1">
        <f t="shared" si="101"/>
        <v>9</v>
      </c>
      <c r="AO91" s="1">
        <f t="shared" si="102"/>
        <v>26.60089</v>
      </c>
      <c r="AP91" s="1">
        <f t="shared" si="103"/>
        <v>108</v>
      </c>
      <c r="AQ91" s="1">
        <f t="shared" si="104"/>
        <v>9</v>
      </c>
      <c r="AT91" s="1">
        <f t="shared" si="105"/>
        <v>1.8999999999999986</v>
      </c>
      <c r="AU91" s="1">
        <f t="shared" si="106"/>
        <v>0.10000000000000142</v>
      </c>
      <c r="AV91" s="1">
        <f t="shared" si="107"/>
        <v>0.79999999999999893</v>
      </c>
      <c r="AW91" s="1">
        <f t="shared" si="108"/>
        <v>2.7999999999999989</v>
      </c>
      <c r="AX91" s="1">
        <f t="shared" si="109"/>
        <v>0.93422333333333296</v>
      </c>
      <c r="BC91" s="1">
        <f t="shared" si="110"/>
        <v>2.0008900000000001</v>
      </c>
      <c r="BD91" s="1">
        <f t="shared" si="111"/>
        <v>103</v>
      </c>
      <c r="BE91" s="1">
        <f t="shared" si="112"/>
        <v>9</v>
      </c>
      <c r="BH91" s="1" t="str">
        <f t="shared" si="113"/>
        <v/>
      </c>
      <c r="BI91" s="1" t="str">
        <f>IF(A91="","",IF(BH91="","",RANK(BH91,$BH$3:$BH241,1)))</f>
        <v/>
      </c>
      <c r="BJ91" s="1">
        <f t="shared" si="114"/>
        <v>9</v>
      </c>
      <c r="BM91" s="1">
        <f t="shared" si="115"/>
        <v>1.0568749999999993</v>
      </c>
      <c r="BN91" s="1">
        <f>IF(A91="","",IF(BM91="","",RANK(BM91,$BM$3:$BM241,1)))</f>
        <v>63</v>
      </c>
      <c r="BO91" s="1">
        <f t="shared" si="116"/>
        <v>9</v>
      </c>
      <c r="BR91" s="1">
        <f t="shared" si="117"/>
        <v>9</v>
      </c>
      <c r="BS91" s="1" t="str">
        <f t="shared" si="118"/>
        <v>メイショウイサナ　　　　　　　　　　</v>
      </c>
      <c r="CD91" s="1" t="str">
        <f t="shared" si="119"/>
        <v/>
      </c>
      <c r="CE91" s="1" t="str">
        <f>IF(A91="","",IF(CD91="","",RANK(CD91,$CD$3:$CD241,1)))</f>
        <v/>
      </c>
      <c r="CF91" s="1">
        <f t="shared" si="120"/>
        <v>9</v>
      </c>
      <c r="CI91" s="1" t="str">
        <f t="shared" si="121"/>
        <v/>
      </c>
      <c r="CJ91" s="1" t="str">
        <f>IF(A91="","",IF(CI91="","",RANK(CI91,$CI$3:$CI241,1)))</f>
        <v/>
      </c>
      <c r="CK91" s="1">
        <f t="shared" si="122"/>
        <v>9</v>
      </c>
      <c r="CN91" s="1" t="str">
        <f t="shared" si="123"/>
        <v/>
      </c>
      <c r="CO91" s="1" t="str">
        <f>IF(A91="","",IF(CN91="","",RANK(CN91,$CN$3:$CN241,1)))</f>
        <v/>
      </c>
      <c r="CP91" s="1">
        <f t="shared" si="124"/>
        <v>9</v>
      </c>
      <c r="CS91" s="1" t="str">
        <f t="shared" si="125"/>
        <v/>
      </c>
      <c r="CT91" s="1" t="str">
        <f>IF(A91="","",IF(CS91="","",RANK(CS91,$CS$3:$CS241,1)))</f>
        <v/>
      </c>
      <c r="CU91" s="1">
        <f t="shared" si="126"/>
        <v>9</v>
      </c>
      <c r="CX91" s="1" t="str">
        <f t="shared" si="127"/>
        <v/>
      </c>
      <c r="CY91" s="1" t="str">
        <f>IF(CX91="","",IF(A91="","",RANK(CX91,$CX$3:$CX241,1)))</f>
        <v/>
      </c>
      <c r="CZ91" s="1">
        <f t="shared" si="128"/>
        <v>9</v>
      </c>
      <c r="DC91" s="1" t="str">
        <f t="shared" si="129"/>
        <v/>
      </c>
      <c r="DD91" s="1" t="str">
        <f>IF(DC91="","",IF(A91="","",RANK(DC91,$DC$3:$DC241,1)))</f>
        <v/>
      </c>
      <c r="DE91" s="1">
        <f t="shared" si="130"/>
        <v>9</v>
      </c>
      <c r="DH91" s="1" t="str">
        <f t="shared" si="131"/>
        <v/>
      </c>
      <c r="DI91" s="1" t="str">
        <f>IF(DH91="","",IF(A91="","",RANK(DH91,$DH$3:$DH241,1)))</f>
        <v/>
      </c>
      <c r="DJ91" s="1">
        <f t="shared" si="132"/>
        <v>9</v>
      </c>
      <c r="DM91" s="1" t="str">
        <f t="shared" si="133"/>
        <v/>
      </c>
      <c r="DN91" s="1" t="str">
        <f>IF(DM91="","",IF(A91="","",RANK(DM91,$DM$3:$DM241,1)))</f>
        <v/>
      </c>
      <c r="DO91" s="1">
        <f t="shared" si="134"/>
        <v>9</v>
      </c>
      <c r="DR91" s="1">
        <f t="shared" si="135"/>
        <v>15.700889999999999</v>
      </c>
      <c r="DS91" s="1">
        <f>IF(DR91="","",IF(A91="","",RANK(DR91,$DR$3:$DR241,1)))</f>
        <v>82</v>
      </c>
      <c r="DT91" s="1">
        <f t="shared" si="136"/>
        <v>9</v>
      </c>
      <c r="DW91" s="1">
        <f t="shared" si="137"/>
        <v>13.800890000000001</v>
      </c>
      <c r="DX91" s="1">
        <f>IF(DW91="","",IF(A91="","",RANK(DW91,$DW$3:$DW241,1)))</f>
        <v>64</v>
      </c>
      <c r="DY91" s="1">
        <f t="shared" si="138"/>
        <v>9</v>
      </c>
      <c r="EB91" s="1">
        <f t="shared" si="139"/>
        <v>13.700889999999999</v>
      </c>
      <c r="EC91" s="1">
        <f>IF(EB91="","",IF(A91="","",RANK(EB91,$EB$3:$EB241,1)))</f>
        <v>116</v>
      </c>
      <c r="ED91" s="1">
        <f t="shared" si="140"/>
        <v>9</v>
      </c>
      <c r="EG91" s="1">
        <f t="shared" si="141"/>
        <v>12.90089</v>
      </c>
      <c r="EH91" s="1">
        <f>IF(EG91="","",IF(A91="","",RANK(EG91,$EG$3:$EG241,1)))</f>
        <v>89</v>
      </c>
      <c r="EI91" s="1">
        <f t="shared" si="142"/>
        <v>9</v>
      </c>
    </row>
    <row r="92" spans="1:139" ht="18.75">
      <c r="A92" s="1" t="s">
        <v>88</v>
      </c>
      <c r="B92" s="1">
        <v>20190630</v>
      </c>
      <c r="C92" s="1" t="s">
        <v>97</v>
      </c>
      <c r="D92" s="1">
        <v>8</v>
      </c>
      <c r="E92" s="30">
        <v>56.6</v>
      </c>
      <c r="F92" s="30">
        <v>40.6</v>
      </c>
      <c r="G92" s="30">
        <v>26.5</v>
      </c>
      <c r="H92" s="30">
        <v>12.9</v>
      </c>
      <c r="I92" s="30">
        <v>16</v>
      </c>
      <c r="J92" s="30">
        <v>14.1</v>
      </c>
      <c r="K92" s="30">
        <v>13.6</v>
      </c>
      <c r="L92" s="30">
        <v>12.9</v>
      </c>
      <c r="M92" s="1" t="str">
        <f t="shared" si="85"/>
        <v>2019/06/30</v>
      </c>
      <c r="N92" s="4" t="str">
        <f t="shared" si="86"/>
        <v/>
      </c>
      <c r="O92">
        <v>9.0000000000000171E-4</v>
      </c>
      <c r="P92" s="1" t="str">
        <f t="shared" si="87"/>
        <v/>
      </c>
      <c r="Q92" s="1" t="str">
        <f t="shared" si="88"/>
        <v/>
      </c>
      <c r="R92" s="1">
        <f t="shared" si="89"/>
        <v>8</v>
      </c>
      <c r="U92" s="1">
        <f t="shared" si="90"/>
        <v>56.600900000000003</v>
      </c>
      <c r="V92" s="1">
        <f t="shared" si="91"/>
        <v>96</v>
      </c>
      <c r="W92" s="1">
        <f t="shared" si="92"/>
        <v>8</v>
      </c>
      <c r="Z92" s="1" t="str">
        <f t="shared" si="93"/>
        <v/>
      </c>
      <c r="AA92" s="1" t="str">
        <f t="shared" si="94"/>
        <v/>
      </c>
      <c r="AB92" s="1">
        <f t="shared" si="95"/>
        <v>8</v>
      </c>
      <c r="AE92" s="1">
        <f t="shared" si="96"/>
        <v>40.600900000000003</v>
      </c>
      <c r="AF92" s="1">
        <f t="shared" si="97"/>
        <v>95</v>
      </c>
      <c r="AG92" s="1">
        <f t="shared" si="98"/>
        <v>8</v>
      </c>
      <c r="AJ92" s="1" t="str">
        <f t="shared" si="99"/>
        <v/>
      </c>
      <c r="AK92" s="1" t="str">
        <f t="shared" si="100"/>
        <v/>
      </c>
      <c r="AL92" s="1">
        <f t="shared" si="101"/>
        <v>8</v>
      </c>
      <c r="AO92" s="1">
        <f t="shared" si="102"/>
        <v>26.500900000000001</v>
      </c>
      <c r="AP92" s="1">
        <f t="shared" si="103"/>
        <v>106</v>
      </c>
      <c r="AQ92" s="1">
        <f t="shared" si="104"/>
        <v>8</v>
      </c>
      <c r="AT92" s="1">
        <f t="shared" si="105"/>
        <v>1.9000000000000004</v>
      </c>
      <c r="AU92" s="1">
        <f t="shared" si="106"/>
        <v>0.5</v>
      </c>
      <c r="AV92" s="1">
        <f t="shared" si="107"/>
        <v>0.69999999999999929</v>
      </c>
      <c r="AW92" s="1">
        <f t="shared" si="108"/>
        <v>3.0999999999999996</v>
      </c>
      <c r="AX92" s="1">
        <f t="shared" si="109"/>
        <v>1.0342333333333331</v>
      </c>
      <c r="BC92" s="1">
        <f t="shared" si="110"/>
        <v>2.4009000000000005</v>
      </c>
      <c r="BD92" s="1">
        <f t="shared" si="111"/>
        <v>78</v>
      </c>
      <c r="BE92" s="1">
        <f t="shared" si="112"/>
        <v>8</v>
      </c>
      <c r="BH92" s="1" t="str">
        <f t="shared" si="113"/>
        <v/>
      </c>
      <c r="BI92" s="1" t="str">
        <f>IF(A92="","",IF(BH92="","",RANK(BH92,$BH$3:$BH242,1)))</f>
        <v/>
      </c>
      <c r="BJ92" s="1">
        <f t="shared" si="114"/>
        <v>8</v>
      </c>
      <c r="BM92" s="1">
        <f t="shared" si="115"/>
        <v>1.3224999999999998</v>
      </c>
      <c r="BN92" s="1">
        <f>IF(A92="","",IF(BM92="","",RANK(BM92,$BM$3:$BM242,1)))</f>
        <v>86</v>
      </c>
      <c r="BO92" s="1">
        <f t="shared" si="116"/>
        <v>8</v>
      </c>
      <c r="BR92" s="1">
        <f t="shared" si="117"/>
        <v>8</v>
      </c>
      <c r="BS92" s="1" t="str">
        <f t="shared" si="118"/>
        <v>タマモメイトウ　　　　　　　　　　　</v>
      </c>
      <c r="CD92" s="1" t="str">
        <f t="shared" si="119"/>
        <v/>
      </c>
      <c r="CE92" s="1" t="str">
        <f>IF(A92="","",IF(CD92="","",RANK(CD92,$CD$3:$CD242,1)))</f>
        <v/>
      </c>
      <c r="CF92" s="1">
        <f t="shared" si="120"/>
        <v>8</v>
      </c>
      <c r="CI92" s="1" t="str">
        <f t="shared" si="121"/>
        <v/>
      </c>
      <c r="CJ92" s="1" t="str">
        <f>IF(A92="","",IF(CI92="","",RANK(CI92,$CI$3:$CI242,1)))</f>
        <v/>
      </c>
      <c r="CK92" s="1">
        <f t="shared" si="122"/>
        <v>8</v>
      </c>
      <c r="CN92" s="1" t="str">
        <f t="shared" si="123"/>
        <v/>
      </c>
      <c r="CO92" s="1" t="str">
        <f>IF(A92="","",IF(CN92="","",RANK(CN92,$CN$3:$CN242,1)))</f>
        <v/>
      </c>
      <c r="CP92" s="1">
        <f t="shared" si="124"/>
        <v>8</v>
      </c>
      <c r="CS92" s="1" t="str">
        <f t="shared" si="125"/>
        <v/>
      </c>
      <c r="CT92" s="1" t="str">
        <f>IF(A92="","",IF(CS92="","",RANK(CS92,$CS$3:$CS242,1)))</f>
        <v/>
      </c>
      <c r="CU92" s="1">
        <f t="shared" si="126"/>
        <v>8</v>
      </c>
      <c r="CX92" s="1" t="str">
        <f t="shared" si="127"/>
        <v/>
      </c>
      <c r="CY92" s="1" t="str">
        <f>IF(CX92="","",IF(A92="","",RANK(CX92,$CX$3:$CX242,1)))</f>
        <v/>
      </c>
      <c r="CZ92" s="1">
        <f t="shared" si="128"/>
        <v>8</v>
      </c>
      <c r="DC92" s="1" t="str">
        <f t="shared" si="129"/>
        <v/>
      </c>
      <c r="DD92" s="1" t="str">
        <f>IF(DC92="","",IF(A92="","",RANK(DC92,$DC$3:$DC242,1)))</f>
        <v/>
      </c>
      <c r="DE92" s="1">
        <f t="shared" si="130"/>
        <v>8</v>
      </c>
      <c r="DH92" s="1" t="str">
        <f t="shared" si="131"/>
        <v/>
      </c>
      <c r="DI92" s="1" t="str">
        <f>IF(DH92="","",IF(A92="","",RANK(DH92,$DH$3:$DH242,1)))</f>
        <v/>
      </c>
      <c r="DJ92" s="1">
        <f t="shared" si="132"/>
        <v>8</v>
      </c>
      <c r="DM92" s="1" t="str">
        <f t="shared" si="133"/>
        <v/>
      </c>
      <c r="DN92" s="1" t="str">
        <f>IF(DM92="","",IF(A92="","",RANK(DM92,$DM$3:$DM242,1)))</f>
        <v/>
      </c>
      <c r="DO92" s="1">
        <f t="shared" si="134"/>
        <v>8</v>
      </c>
      <c r="DR92" s="1">
        <f t="shared" si="135"/>
        <v>16.000900000000001</v>
      </c>
      <c r="DS92" s="1">
        <f>IF(DR92="","",IF(A92="","",RANK(DR92,$DR$3:$DR242,1)))</f>
        <v>100</v>
      </c>
      <c r="DT92" s="1">
        <f t="shared" si="136"/>
        <v>8</v>
      </c>
      <c r="DW92" s="1">
        <f t="shared" si="137"/>
        <v>14.100899999999999</v>
      </c>
      <c r="DX92" s="1">
        <f>IF(DW92="","",IF(A92="","",RANK(DW92,$DW$3:$DW242,1)))</f>
        <v>83</v>
      </c>
      <c r="DY92" s="1">
        <f t="shared" si="138"/>
        <v>8</v>
      </c>
      <c r="EB92" s="1">
        <f t="shared" si="139"/>
        <v>13.600899999999999</v>
      </c>
      <c r="EC92" s="1">
        <f>IF(EB92="","",IF(A92="","",RANK(EB92,$EB$3:$EB242,1)))</f>
        <v>110</v>
      </c>
      <c r="ED92" s="1">
        <f t="shared" si="140"/>
        <v>8</v>
      </c>
      <c r="EG92" s="1">
        <f t="shared" si="141"/>
        <v>12.9009</v>
      </c>
      <c r="EH92" s="1">
        <f>IF(EG92="","",IF(A92="","",RANK(EG92,$EG$3:$EG242,1)))</f>
        <v>90</v>
      </c>
      <c r="EI92" s="1">
        <f t="shared" si="142"/>
        <v>8</v>
      </c>
    </row>
    <row r="93" spans="1:139" ht="18.75">
      <c r="A93" s="1" t="s">
        <v>88</v>
      </c>
      <c r="B93" s="1">
        <v>20190704</v>
      </c>
      <c r="C93" s="1" t="s">
        <v>99</v>
      </c>
      <c r="D93" s="1">
        <v>10</v>
      </c>
      <c r="E93" s="30">
        <v>55.7</v>
      </c>
      <c r="F93" s="30">
        <v>40</v>
      </c>
      <c r="G93" s="30">
        <v>26.2</v>
      </c>
      <c r="H93" s="30">
        <v>12.9</v>
      </c>
      <c r="I93" s="30">
        <v>15.7</v>
      </c>
      <c r="J93" s="30">
        <v>13.8</v>
      </c>
      <c r="K93" s="30">
        <v>13.3</v>
      </c>
      <c r="L93" s="30">
        <v>12.9</v>
      </c>
      <c r="M93" s="1" t="str">
        <f t="shared" si="85"/>
        <v>2019/07/04</v>
      </c>
      <c r="N93" s="4" t="str">
        <f t="shared" si="86"/>
        <v/>
      </c>
      <c r="O93">
        <v>9.1000000000000174E-4</v>
      </c>
      <c r="P93" s="1" t="str">
        <f t="shared" si="87"/>
        <v/>
      </c>
      <c r="Q93" s="1" t="str">
        <f t="shared" si="88"/>
        <v/>
      </c>
      <c r="R93" s="1">
        <f t="shared" si="89"/>
        <v>10</v>
      </c>
      <c r="U93" s="1">
        <f t="shared" si="90"/>
        <v>55.70091</v>
      </c>
      <c r="V93" s="1">
        <f t="shared" si="91"/>
        <v>83</v>
      </c>
      <c r="W93" s="1">
        <f t="shared" si="92"/>
        <v>10</v>
      </c>
      <c r="Z93" s="1" t="str">
        <f t="shared" si="93"/>
        <v/>
      </c>
      <c r="AA93" s="1" t="str">
        <f t="shared" si="94"/>
        <v/>
      </c>
      <c r="AB93" s="1">
        <f t="shared" si="95"/>
        <v>10</v>
      </c>
      <c r="AE93" s="1">
        <f t="shared" si="96"/>
        <v>40.000909999999998</v>
      </c>
      <c r="AF93" s="1">
        <f t="shared" si="97"/>
        <v>80</v>
      </c>
      <c r="AG93" s="1">
        <f t="shared" si="98"/>
        <v>10</v>
      </c>
      <c r="AJ93" s="1" t="str">
        <f t="shared" si="99"/>
        <v/>
      </c>
      <c r="AK93" s="1" t="str">
        <f t="shared" si="100"/>
        <v/>
      </c>
      <c r="AL93" s="1">
        <f t="shared" si="101"/>
        <v>10</v>
      </c>
      <c r="AO93" s="1">
        <f t="shared" si="102"/>
        <v>26.20091</v>
      </c>
      <c r="AP93" s="1">
        <f t="shared" si="103"/>
        <v>99</v>
      </c>
      <c r="AQ93" s="1">
        <f t="shared" si="104"/>
        <v>10</v>
      </c>
      <c r="AT93" s="1">
        <f t="shared" si="105"/>
        <v>1.8999999999999986</v>
      </c>
      <c r="AU93" s="1">
        <f t="shared" si="106"/>
        <v>0.5</v>
      </c>
      <c r="AV93" s="1">
        <f t="shared" si="107"/>
        <v>0.40000000000000036</v>
      </c>
      <c r="AW93" s="1">
        <f t="shared" si="108"/>
        <v>2.7999999999999989</v>
      </c>
      <c r="AX93" s="1">
        <f t="shared" si="109"/>
        <v>0.93424333333333298</v>
      </c>
      <c r="BC93" s="1">
        <f t="shared" si="110"/>
        <v>2.4009099999999988</v>
      </c>
      <c r="BD93" s="1">
        <f t="shared" si="111"/>
        <v>77</v>
      </c>
      <c r="BE93" s="1">
        <f t="shared" si="112"/>
        <v>10</v>
      </c>
      <c r="BH93" s="1" t="str">
        <f t="shared" si="113"/>
        <v/>
      </c>
      <c r="BI93" s="1" t="str">
        <f>IF(A93="","",IF(BH93="","",RANK(BH93,$BH$3:$BH243,1)))</f>
        <v/>
      </c>
      <c r="BJ93" s="1">
        <f t="shared" si="114"/>
        <v>10</v>
      </c>
      <c r="BM93" s="1">
        <f t="shared" si="115"/>
        <v>1.1518749999999989</v>
      </c>
      <c r="BN93" s="1">
        <f>IF(A93="","",IF(BM93="","",RANK(BM93,$BM$3:$BM243,1)))</f>
        <v>72</v>
      </c>
      <c r="BO93" s="1">
        <f t="shared" si="116"/>
        <v>10</v>
      </c>
      <c r="BR93" s="1">
        <f t="shared" si="117"/>
        <v>10</v>
      </c>
      <c r="BS93" s="1" t="str">
        <f t="shared" si="118"/>
        <v>コンパウンダー　　　　　　　　　　　</v>
      </c>
      <c r="CD93" s="1" t="str">
        <f t="shared" si="119"/>
        <v/>
      </c>
      <c r="CE93" s="1" t="str">
        <f>IF(A93="","",IF(CD93="","",RANK(CD93,$CD$3:$CD243,1)))</f>
        <v/>
      </c>
      <c r="CF93" s="1">
        <f t="shared" si="120"/>
        <v>10</v>
      </c>
      <c r="CI93" s="1" t="str">
        <f t="shared" si="121"/>
        <v/>
      </c>
      <c r="CJ93" s="1" t="str">
        <f>IF(A93="","",IF(CI93="","",RANK(CI93,$CI$3:$CI243,1)))</f>
        <v/>
      </c>
      <c r="CK93" s="1">
        <f t="shared" si="122"/>
        <v>10</v>
      </c>
      <c r="CN93" s="1" t="str">
        <f t="shared" si="123"/>
        <v/>
      </c>
      <c r="CO93" s="1" t="str">
        <f>IF(A93="","",IF(CN93="","",RANK(CN93,$CN$3:$CN243,1)))</f>
        <v/>
      </c>
      <c r="CP93" s="1">
        <f t="shared" si="124"/>
        <v>10</v>
      </c>
      <c r="CS93" s="1" t="str">
        <f t="shared" si="125"/>
        <v/>
      </c>
      <c r="CT93" s="1" t="str">
        <f>IF(A93="","",IF(CS93="","",RANK(CS93,$CS$3:$CS243,1)))</f>
        <v/>
      </c>
      <c r="CU93" s="1">
        <f t="shared" si="126"/>
        <v>10</v>
      </c>
      <c r="CX93" s="1" t="str">
        <f t="shared" si="127"/>
        <v/>
      </c>
      <c r="CY93" s="1" t="str">
        <f>IF(CX93="","",IF(A93="","",RANK(CX93,$CX$3:$CX243,1)))</f>
        <v/>
      </c>
      <c r="CZ93" s="1">
        <f t="shared" si="128"/>
        <v>10</v>
      </c>
      <c r="DC93" s="1" t="str">
        <f t="shared" si="129"/>
        <v/>
      </c>
      <c r="DD93" s="1" t="str">
        <f>IF(DC93="","",IF(A93="","",RANK(DC93,$DC$3:$DC243,1)))</f>
        <v/>
      </c>
      <c r="DE93" s="1">
        <f t="shared" si="130"/>
        <v>10</v>
      </c>
      <c r="DH93" s="1" t="str">
        <f t="shared" si="131"/>
        <v/>
      </c>
      <c r="DI93" s="1" t="str">
        <f>IF(DH93="","",IF(A93="","",RANK(DH93,$DH$3:$DH243,1)))</f>
        <v/>
      </c>
      <c r="DJ93" s="1">
        <f t="shared" si="132"/>
        <v>10</v>
      </c>
      <c r="DM93" s="1" t="str">
        <f t="shared" si="133"/>
        <v/>
      </c>
      <c r="DN93" s="1" t="str">
        <f>IF(DM93="","",IF(A93="","",RANK(DM93,$DM$3:$DM243,1)))</f>
        <v/>
      </c>
      <c r="DO93" s="1">
        <f t="shared" si="134"/>
        <v>10</v>
      </c>
      <c r="DR93" s="1">
        <f t="shared" si="135"/>
        <v>15.700909999999999</v>
      </c>
      <c r="DS93" s="1">
        <f>IF(DR93="","",IF(A93="","",RANK(DR93,$DR$3:$DR243,1)))</f>
        <v>83</v>
      </c>
      <c r="DT93" s="1">
        <f t="shared" si="136"/>
        <v>10</v>
      </c>
      <c r="DW93" s="1">
        <f t="shared" si="137"/>
        <v>13.80091</v>
      </c>
      <c r="DX93" s="1">
        <f>IF(DW93="","",IF(A93="","",RANK(DW93,$DW$3:$DW243,1)))</f>
        <v>65</v>
      </c>
      <c r="DY93" s="1">
        <f t="shared" si="138"/>
        <v>10</v>
      </c>
      <c r="EB93" s="1">
        <f t="shared" si="139"/>
        <v>13.30091</v>
      </c>
      <c r="EC93" s="1">
        <f>IF(EB93="","",IF(A93="","",RANK(EB93,$EB$3:$EB243,1)))</f>
        <v>96</v>
      </c>
      <c r="ED93" s="1">
        <f t="shared" si="140"/>
        <v>10</v>
      </c>
      <c r="EG93" s="1">
        <f t="shared" si="141"/>
        <v>12.90091</v>
      </c>
      <c r="EH93" s="1">
        <f>IF(EG93="","",IF(A93="","",RANK(EG93,$EG$3:$EG243,1)))</f>
        <v>91</v>
      </c>
      <c r="EI93" s="1">
        <f t="shared" si="142"/>
        <v>10</v>
      </c>
    </row>
    <row r="94" spans="1:139" ht="18.75">
      <c r="A94" s="1" t="s">
        <v>88</v>
      </c>
      <c r="B94" s="1">
        <v>20190317</v>
      </c>
      <c r="C94" s="1" t="s">
        <v>91</v>
      </c>
      <c r="D94" s="1">
        <v>2</v>
      </c>
      <c r="E94" s="30">
        <v>57.8</v>
      </c>
      <c r="F94" s="30">
        <v>40.5</v>
      </c>
      <c r="G94" s="30">
        <v>25.6</v>
      </c>
      <c r="H94" s="30">
        <v>13</v>
      </c>
      <c r="I94" s="30">
        <v>17.3</v>
      </c>
      <c r="J94" s="30">
        <v>14.9</v>
      </c>
      <c r="K94" s="30">
        <v>12.6</v>
      </c>
      <c r="L94" s="30">
        <v>13</v>
      </c>
      <c r="M94" s="1" t="str">
        <f t="shared" si="85"/>
        <v>2019/03/17</v>
      </c>
      <c r="N94" s="4" t="str">
        <f t="shared" si="86"/>
        <v/>
      </c>
      <c r="O94">
        <v>9.2000000000000176E-4</v>
      </c>
      <c r="P94" s="1" t="str">
        <f t="shared" si="87"/>
        <v/>
      </c>
      <c r="Q94" s="1" t="str">
        <f t="shared" si="88"/>
        <v/>
      </c>
      <c r="R94" s="1">
        <f t="shared" si="89"/>
        <v>2</v>
      </c>
      <c r="U94" s="1">
        <f t="shared" si="90"/>
        <v>57.800919999999998</v>
      </c>
      <c r="V94" s="1">
        <f t="shared" si="91"/>
        <v>111</v>
      </c>
      <c r="W94" s="1">
        <f t="shared" si="92"/>
        <v>2</v>
      </c>
      <c r="Z94" s="1" t="str">
        <f t="shared" si="93"/>
        <v/>
      </c>
      <c r="AA94" s="1" t="str">
        <f t="shared" si="94"/>
        <v/>
      </c>
      <c r="AB94" s="1">
        <f t="shared" si="95"/>
        <v>2</v>
      </c>
      <c r="AE94" s="1">
        <f t="shared" si="96"/>
        <v>40.500920000000001</v>
      </c>
      <c r="AF94" s="1">
        <f t="shared" si="97"/>
        <v>94</v>
      </c>
      <c r="AG94" s="1">
        <f t="shared" si="98"/>
        <v>2</v>
      </c>
      <c r="AJ94" s="1" t="str">
        <f t="shared" si="99"/>
        <v/>
      </c>
      <c r="AK94" s="1" t="str">
        <f t="shared" si="100"/>
        <v/>
      </c>
      <c r="AL94" s="1">
        <f t="shared" si="101"/>
        <v>2</v>
      </c>
      <c r="AO94" s="1">
        <f t="shared" si="102"/>
        <v>25.600920000000002</v>
      </c>
      <c r="AP94" s="1">
        <f t="shared" si="103"/>
        <v>79</v>
      </c>
      <c r="AQ94" s="1">
        <f t="shared" si="104"/>
        <v>2</v>
      </c>
      <c r="AT94" s="1">
        <f t="shared" si="105"/>
        <v>2.4000000000000004</v>
      </c>
      <c r="AU94" s="1">
        <f t="shared" si="106"/>
        <v>2.3000000000000007</v>
      </c>
      <c r="AV94" s="1">
        <f t="shared" si="107"/>
        <v>-0.40000000000000036</v>
      </c>
      <c r="AW94" s="1">
        <f t="shared" si="108"/>
        <v>4.3000000000000007</v>
      </c>
      <c r="AX94" s="1">
        <f t="shared" si="109"/>
        <v>0</v>
      </c>
      <c r="BC94" s="1">
        <f t="shared" si="110"/>
        <v>4.7009200000000009</v>
      </c>
      <c r="BD94" s="1">
        <f t="shared" si="111"/>
        <v>11</v>
      </c>
      <c r="BE94" s="1">
        <f t="shared" si="112"/>
        <v>2</v>
      </c>
      <c r="BH94" s="1" t="str">
        <f t="shared" si="113"/>
        <v/>
      </c>
      <c r="BI94" s="1" t="str">
        <f>IF(A94="","",IF(BH94="","",RANK(BH94,$BH$3:$BH244,1)))</f>
        <v/>
      </c>
      <c r="BJ94" s="1">
        <f t="shared" si="114"/>
        <v>2</v>
      </c>
      <c r="BM94" s="1">
        <f t="shared" si="115"/>
        <v>3.4624999999999773</v>
      </c>
      <c r="BN94" s="1">
        <f>IF(A94="","",IF(BM94="","",RANK(BM94,$BM$3:$BM244,1)))</f>
        <v>137</v>
      </c>
      <c r="BO94" s="1">
        <f t="shared" si="116"/>
        <v>2</v>
      </c>
      <c r="BR94" s="1">
        <f t="shared" si="117"/>
        <v>2</v>
      </c>
      <c r="BS94" s="1" t="str">
        <f t="shared" si="118"/>
        <v>フェルトベルク　　　　　　　　　　　</v>
      </c>
      <c r="CD94" s="1" t="str">
        <f t="shared" si="119"/>
        <v/>
      </c>
      <c r="CE94" s="1" t="str">
        <f>IF(A94="","",IF(CD94="","",RANK(CD94,$CD$3:$CD244,1)))</f>
        <v/>
      </c>
      <c r="CF94" s="1">
        <f t="shared" si="120"/>
        <v>2</v>
      </c>
      <c r="CI94" s="1" t="str">
        <f t="shared" si="121"/>
        <v/>
      </c>
      <c r="CJ94" s="1" t="str">
        <f>IF(A94="","",IF(CI94="","",RANK(CI94,$CI$3:$CI244,1)))</f>
        <v/>
      </c>
      <c r="CK94" s="1">
        <f t="shared" si="122"/>
        <v>2</v>
      </c>
      <c r="CN94" s="1" t="str">
        <f t="shared" si="123"/>
        <v/>
      </c>
      <c r="CO94" s="1" t="str">
        <f>IF(A94="","",IF(CN94="","",RANK(CN94,$CN$3:$CN244,1)))</f>
        <v/>
      </c>
      <c r="CP94" s="1">
        <f t="shared" si="124"/>
        <v>2</v>
      </c>
      <c r="CS94" s="1" t="str">
        <f t="shared" si="125"/>
        <v/>
      </c>
      <c r="CT94" s="1" t="str">
        <f>IF(A94="","",IF(CS94="","",RANK(CS94,$CS$3:$CS244,1)))</f>
        <v/>
      </c>
      <c r="CU94" s="1">
        <f t="shared" si="126"/>
        <v>2</v>
      </c>
      <c r="CX94" s="1" t="str">
        <f t="shared" si="127"/>
        <v/>
      </c>
      <c r="CY94" s="1" t="str">
        <f>IF(CX94="","",IF(A94="","",RANK(CX94,$CX$3:$CX244,1)))</f>
        <v/>
      </c>
      <c r="CZ94" s="1">
        <f t="shared" si="128"/>
        <v>2</v>
      </c>
      <c r="DC94" s="1" t="str">
        <f t="shared" si="129"/>
        <v/>
      </c>
      <c r="DD94" s="1" t="str">
        <f>IF(DC94="","",IF(A94="","",RANK(DC94,$DC$3:$DC244,1)))</f>
        <v/>
      </c>
      <c r="DE94" s="1">
        <f t="shared" si="130"/>
        <v>2</v>
      </c>
      <c r="DH94" s="1" t="str">
        <f t="shared" si="131"/>
        <v/>
      </c>
      <c r="DI94" s="1" t="str">
        <f>IF(DH94="","",IF(A94="","",RANK(DH94,$DH$3:$DH244,1)))</f>
        <v/>
      </c>
      <c r="DJ94" s="1">
        <f t="shared" si="132"/>
        <v>2</v>
      </c>
      <c r="DM94" s="1" t="str">
        <f t="shared" si="133"/>
        <v/>
      </c>
      <c r="DN94" s="1" t="str">
        <f>IF(DM94="","",IF(A94="","",RANK(DM94,$DM$3:$DM244,1)))</f>
        <v/>
      </c>
      <c r="DO94" s="1">
        <f t="shared" si="134"/>
        <v>2</v>
      </c>
      <c r="DR94" s="1">
        <f t="shared" si="135"/>
        <v>17.300920000000001</v>
      </c>
      <c r="DS94" s="1">
        <f>IF(DR94="","",IF(A94="","",RANK(DR94,$DR$3:$DR244,1)))</f>
        <v>126</v>
      </c>
      <c r="DT94" s="1">
        <f t="shared" si="136"/>
        <v>2</v>
      </c>
      <c r="DW94" s="1">
        <f t="shared" si="137"/>
        <v>14.900920000000001</v>
      </c>
      <c r="DX94" s="1">
        <f>IF(DW94="","",IF(A94="","",RANK(DW94,$DW$3:$DW244,1)))</f>
        <v>115</v>
      </c>
      <c r="DY94" s="1">
        <f t="shared" si="138"/>
        <v>2</v>
      </c>
      <c r="EB94" s="1">
        <f t="shared" si="139"/>
        <v>12.60092</v>
      </c>
      <c r="EC94" s="1">
        <f>IF(EB94="","",IF(A94="","",RANK(EB94,$EB$3:$EB244,1)))</f>
        <v>59</v>
      </c>
      <c r="ED94" s="1">
        <f t="shared" si="140"/>
        <v>2</v>
      </c>
      <c r="EG94" s="1">
        <f t="shared" si="141"/>
        <v>13.000920000000001</v>
      </c>
      <c r="EH94" s="1">
        <f>IF(EG94="","",IF(A94="","",RANK(EG94,$EG$3:$EG244,1)))</f>
        <v>92</v>
      </c>
      <c r="EI94" s="1">
        <f t="shared" si="142"/>
        <v>2</v>
      </c>
    </row>
    <row r="95" spans="1:139" ht="18.75">
      <c r="A95" s="1" t="s">
        <v>88</v>
      </c>
      <c r="B95" s="1">
        <v>20190515</v>
      </c>
      <c r="C95" s="1" t="s">
        <v>97</v>
      </c>
      <c r="D95" s="1">
        <v>8</v>
      </c>
      <c r="E95" s="30">
        <v>54.5</v>
      </c>
      <c r="F95" s="30">
        <v>40.200000000000003</v>
      </c>
      <c r="G95" s="30">
        <v>26.2</v>
      </c>
      <c r="H95" s="30">
        <v>13</v>
      </c>
      <c r="I95" s="30">
        <v>14.3</v>
      </c>
      <c r="J95" s="30">
        <v>14</v>
      </c>
      <c r="K95" s="30">
        <v>13.2</v>
      </c>
      <c r="L95" s="30">
        <v>13</v>
      </c>
      <c r="M95" s="1" t="str">
        <f t="shared" si="85"/>
        <v>2019/05/15</v>
      </c>
      <c r="N95" s="4" t="str">
        <f t="shared" si="86"/>
        <v/>
      </c>
      <c r="O95">
        <v>9.3000000000000179E-4</v>
      </c>
      <c r="P95" s="1" t="str">
        <f t="shared" si="87"/>
        <v/>
      </c>
      <c r="Q95" s="1" t="str">
        <f t="shared" si="88"/>
        <v/>
      </c>
      <c r="R95" s="1">
        <f t="shared" si="89"/>
        <v>8</v>
      </c>
      <c r="U95" s="1">
        <f t="shared" si="90"/>
        <v>54.500929999999997</v>
      </c>
      <c r="V95" s="1">
        <f t="shared" si="91"/>
        <v>60</v>
      </c>
      <c r="W95" s="1">
        <f t="shared" si="92"/>
        <v>8</v>
      </c>
      <c r="Z95" s="1" t="str">
        <f t="shared" si="93"/>
        <v/>
      </c>
      <c r="AA95" s="1" t="str">
        <f t="shared" si="94"/>
        <v/>
      </c>
      <c r="AB95" s="1">
        <f t="shared" si="95"/>
        <v>8</v>
      </c>
      <c r="AE95" s="1">
        <f t="shared" si="96"/>
        <v>40.20093</v>
      </c>
      <c r="AF95" s="1">
        <f t="shared" si="97"/>
        <v>86</v>
      </c>
      <c r="AG95" s="1">
        <f t="shared" si="98"/>
        <v>8</v>
      </c>
      <c r="AJ95" s="1" t="str">
        <f t="shared" si="99"/>
        <v/>
      </c>
      <c r="AK95" s="1" t="str">
        <f t="shared" si="100"/>
        <v/>
      </c>
      <c r="AL95" s="1">
        <f t="shared" si="101"/>
        <v>8</v>
      </c>
      <c r="AO95" s="1">
        <f t="shared" si="102"/>
        <v>26.20093</v>
      </c>
      <c r="AP95" s="1">
        <f t="shared" si="103"/>
        <v>100</v>
      </c>
      <c r="AQ95" s="1">
        <f t="shared" si="104"/>
        <v>8</v>
      </c>
      <c r="AT95" s="1">
        <f t="shared" si="105"/>
        <v>0.30000000000000071</v>
      </c>
      <c r="AU95" s="1">
        <f t="shared" si="106"/>
        <v>0.80000000000000071</v>
      </c>
      <c r="AV95" s="1">
        <f t="shared" si="107"/>
        <v>0.19999999999999929</v>
      </c>
      <c r="AW95" s="1">
        <f t="shared" si="108"/>
        <v>1.3000000000000007</v>
      </c>
      <c r="AX95" s="1">
        <f t="shared" si="109"/>
        <v>0.43426333333333356</v>
      </c>
      <c r="BC95" s="1">
        <f t="shared" si="110"/>
        <v>1.1009300000000015</v>
      </c>
      <c r="BD95" s="1">
        <f t="shared" si="111"/>
        <v>144</v>
      </c>
      <c r="BE95" s="1">
        <f t="shared" si="112"/>
        <v>8</v>
      </c>
      <c r="BH95" s="1" t="str">
        <f t="shared" si="113"/>
        <v/>
      </c>
      <c r="BI95" s="1" t="str">
        <f>IF(A95="","",IF(BH95="","",RANK(BH95,$BH$3:$BH245,1)))</f>
        <v/>
      </c>
      <c r="BJ95" s="1">
        <f t="shared" si="114"/>
        <v>8</v>
      </c>
      <c r="BM95" s="1">
        <f t="shared" si="115"/>
        <v>0.29187500000000038</v>
      </c>
      <c r="BN95" s="1">
        <f>IF(A95="","",IF(BM95="","",RANK(BM95,$BM$3:$BM245,1)))</f>
        <v>8</v>
      </c>
      <c r="BO95" s="1">
        <f t="shared" si="116"/>
        <v>8</v>
      </c>
      <c r="BR95" s="1">
        <f t="shared" si="117"/>
        <v>8</v>
      </c>
      <c r="BS95" s="1" t="str">
        <f t="shared" si="118"/>
        <v>タマモメイトウ　　　　　　　　　　　</v>
      </c>
      <c r="CD95" s="1" t="str">
        <f t="shared" si="119"/>
        <v/>
      </c>
      <c r="CE95" s="1" t="str">
        <f>IF(A95="","",IF(CD95="","",RANK(CD95,$CD$3:$CD245,1)))</f>
        <v/>
      </c>
      <c r="CF95" s="1">
        <f t="shared" si="120"/>
        <v>8</v>
      </c>
      <c r="CI95" s="1" t="str">
        <f t="shared" si="121"/>
        <v/>
      </c>
      <c r="CJ95" s="1" t="str">
        <f>IF(A95="","",IF(CI95="","",RANK(CI95,$CI$3:$CI245,1)))</f>
        <v/>
      </c>
      <c r="CK95" s="1">
        <f t="shared" si="122"/>
        <v>8</v>
      </c>
      <c r="CN95" s="1" t="str">
        <f t="shared" si="123"/>
        <v/>
      </c>
      <c r="CO95" s="1" t="str">
        <f>IF(A95="","",IF(CN95="","",RANK(CN95,$CN$3:$CN245,1)))</f>
        <v/>
      </c>
      <c r="CP95" s="1">
        <f t="shared" si="124"/>
        <v>8</v>
      </c>
      <c r="CS95" s="1" t="str">
        <f t="shared" si="125"/>
        <v/>
      </c>
      <c r="CT95" s="1" t="str">
        <f>IF(A95="","",IF(CS95="","",RANK(CS95,$CS$3:$CS245,1)))</f>
        <v/>
      </c>
      <c r="CU95" s="1">
        <f t="shared" si="126"/>
        <v>8</v>
      </c>
      <c r="CX95" s="1" t="str">
        <f t="shared" si="127"/>
        <v/>
      </c>
      <c r="CY95" s="1" t="str">
        <f>IF(CX95="","",IF(A95="","",RANK(CX95,$CX$3:$CX245,1)))</f>
        <v/>
      </c>
      <c r="CZ95" s="1">
        <f t="shared" si="128"/>
        <v>8</v>
      </c>
      <c r="DC95" s="1" t="str">
        <f t="shared" si="129"/>
        <v/>
      </c>
      <c r="DD95" s="1" t="str">
        <f>IF(DC95="","",IF(A95="","",RANK(DC95,$DC$3:$DC245,1)))</f>
        <v/>
      </c>
      <c r="DE95" s="1">
        <f t="shared" si="130"/>
        <v>8</v>
      </c>
      <c r="DH95" s="1" t="str">
        <f t="shared" si="131"/>
        <v/>
      </c>
      <c r="DI95" s="1" t="str">
        <f>IF(DH95="","",IF(A95="","",RANK(DH95,$DH$3:$DH245,1)))</f>
        <v/>
      </c>
      <c r="DJ95" s="1">
        <f t="shared" si="132"/>
        <v>8</v>
      </c>
      <c r="DM95" s="1" t="str">
        <f t="shared" si="133"/>
        <v/>
      </c>
      <c r="DN95" s="1" t="str">
        <f>IF(DM95="","",IF(A95="","",RANK(DM95,$DM$3:$DM245,1)))</f>
        <v/>
      </c>
      <c r="DO95" s="1">
        <f t="shared" si="134"/>
        <v>8</v>
      </c>
      <c r="DR95" s="1">
        <f t="shared" si="135"/>
        <v>14.300930000000001</v>
      </c>
      <c r="DS95" s="1">
        <f>IF(DR95="","",IF(A95="","",RANK(DR95,$DR$3:$DR245,1)))</f>
        <v>17</v>
      </c>
      <c r="DT95" s="1">
        <f t="shared" si="136"/>
        <v>8</v>
      </c>
      <c r="DW95" s="1">
        <f t="shared" si="137"/>
        <v>14.00093</v>
      </c>
      <c r="DX95" s="1">
        <f>IF(DW95="","",IF(A95="","",RANK(DW95,$DW$3:$DW245,1)))</f>
        <v>81</v>
      </c>
      <c r="DY95" s="1">
        <f t="shared" si="138"/>
        <v>8</v>
      </c>
      <c r="EB95" s="1">
        <f t="shared" si="139"/>
        <v>13.20093</v>
      </c>
      <c r="EC95" s="1">
        <f>IF(EB95="","",IF(A95="","",RANK(EB95,$EB$3:$EB245,1)))</f>
        <v>93</v>
      </c>
      <c r="ED95" s="1">
        <f t="shared" si="140"/>
        <v>8</v>
      </c>
      <c r="EG95" s="1">
        <f t="shared" si="141"/>
        <v>13.00093</v>
      </c>
      <c r="EH95" s="1">
        <f>IF(EG95="","",IF(A95="","",RANK(EG95,$EG$3:$EG245,1)))</f>
        <v>93</v>
      </c>
      <c r="EI95" s="1">
        <f t="shared" si="142"/>
        <v>8</v>
      </c>
    </row>
    <row r="96" spans="1:139" ht="18.75">
      <c r="A96" s="1" t="s">
        <v>88</v>
      </c>
      <c r="B96" s="1">
        <v>20190203</v>
      </c>
      <c r="C96" s="1" t="s">
        <v>98</v>
      </c>
      <c r="D96" s="1">
        <v>9</v>
      </c>
      <c r="E96" s="30">
        <v>59.4</v>
      </c>
      <c r="F96" s="30">
        <v>42.1</v>
      </c>
      <c r="G96" s="30">
        <v>27</v>
      </c>
      <c r="H96" s="30">
        <v>13.1</v>
      </c>
      <c r="I96" s="30">
        <v>17.3</v>
      </c>
      <c r="J96" s="30">
        <v>15.1</v>
      </c>
      <c r="K96" s="30">
        <v>13.9</v>
      </c>
      <c r="L96" s="30">
        <v>13.1</v>
      </c>
      <c r="M96" s="1" t="str">
        <f t="shared" si="85"/>
        <v>2019/02/03</v>
      </c>
      <c r="N96" s="4" t="str">
        <f t="shared" si="86"/>
        <v/>
      </c>
      <c r="O96">
        <v>9.4000000000000182E-4</v>
      </c>
      <c r="P96" s="1" t="str">
        <f t="shared" si="87"/>
        <v/>
      </c>
      <c r="Q96" s="1" t="str">
        <f t="shared" si="88"/>
        <v/>
      </c>
      <c r="R96" s="1">
        <f t="shared" si="89"/>
        <v>9</v>
      </c>
      <c r="U96" s="1">
        <f t="shared" si="90"/>
        <v>59.400939999999999</v>
      </c>
      <c r="V96" s="1">
        <f t="shared" si="91"/>
        <v>125</v>
      </c>
      <c r="W96" s="1">
        <f t="shared" si="92"/>
        <v>9</v>
      </c>
      <c r="Z96" s="1" t="str">
        <f t="shared" si="93"/>
        <v/>
      </c>
      <c r="AA96" s="1" t="str">
        <f t="shared" si="94"/>
        <v/>
      </c>
      <c r="AB96" s="1">
        <f t="shared" si="95"/>
        <v>9</v>
      </c>
      <c r="AE96" s="1">
        <f t="shared" si="96"/>
        <v>42.100940000000001</v>
      </c>
      <c r="AF96" s="1">
        <f t="shared" si="97"/>
        <v>116</v>
      </c>
      <c r="AG96" s="1">
        <f t="shared" si="98"/>
        <v>9</v>
      </c>
      <c r="AJ96" s="1" t="str">
        <f t="shared" si="99"/>
        <v/>
      </c>
      <c r="AK96" s="1" t="str">
        <f t="shared" si="100"/>
        <v/>
      </c>
      <c r="AL96" s="1">
        <f t="shared" si="101"/>
        <v>9</v>
      </c>
      <c r="AO96" s="1">
        <f t="shared" si="102"/>
        <v>27.00094</v>
      </c>
      <c r="AP96" s="1">
        <f t="shared" si="103"/>
        <v>112</v>
      </c>
      <c r="AQ96" s="1">
        <f t="shared" si="104"/>
        <v>9</v>
      </c>
      <c r="AT96" s="1">
        <f t="shared" si="105"/>
        <v>2.2000000000000011</v>
      </c>
      <c r="AU96" s="1">
        <f t="shared" si="106"/>
        <v>1.1999999999999993</v>
      </c>
      <c r="AV96" s="1">
        <f t="shared" si="107"/>
        <v>0.80000000000000071</v>
      </c>
      <c r="AW96" s="1">
        <f t="shared" si="108"/>
        <v>4.2000000000000011</v>
      </c>
      <c r="AX96" s="1">
        <f t="shared" si="109"/>
        <v>1.4009400000000003</v>
      </c>
      <c r="BC96" s="1">
        <f t="shared" si="110"/>
        <v>3.4009400000000003</v>
      </c>
      <c r="BD96" s="1">
        <f t="shared" si="111"/>
        <v>39</v>
      </c>
      <c r="BE96" s="1">
        <f t="shared" si="112"/>
        <v>9</v>
      </c>
      <c r="BH96" s="1" t="str">
        <f t="shared" si="113"/>
        <v/>
      </c>
      <c r="BI96" s="1" t="str">
        <f>IF(A96="","",IF(BH96="","",RANK(BH96,$BH$3:$BH246,1)))</f>
        <v/>
      </c>
      <c r="BJ96" s="1">
        <f t="shared" si="114"/>
        <v>9</v>
      </c>
      <c r="BM96" s="1">
        <f t="shared" si="115"/>
        <v>2.5075000000000216</v>
      </c>
      <c r="BN96" s="1">
        <f>IF(A96="","",IF(BM96="","",RANK(BM96,$BM$3:$BM246,1)))</f>
        <v>123</v>
      </c>
      <c r="BO96" s="1">
        <f t="shared" si="116"/>
        <v>9</v>
      </c>
      <c r="BR96" s="1">
        <f t="shared" si="117"/>
        <v>9</v>
      </c>
      <c r="BS96" s="1" t="str">
        <f t="shared" si="118"/>
        <v>メイショウイサナ　　　　　　　　　　</v>
      </c>
      <c r="CD96" s="1" t="str">
        <f t="shared" si="119"/>
        <v/>
      </c>
      <c r="CE96" s="1" t="str">
        <f>IF(A96="","",IF(CD96="","",RANK(CD96,$CD$3:$CD246,1)))</f>
        <v/>
      </c>
      <c r="CF96" s="1">
        <f t="shared" si="120"/>
        <v>9</v>
      </c>
      <c r="CI96" s="1" t="str">
        <f t="shared" si="121"/>
        <v/>
      </c>
      <c r="CJ96" s="1" t="str">
        <f>IF(A96="","",IF(CI96="","",RANK(CI96,$CI$3:$CI246,1)))</f>
        <v/>
      </c>
      <c r="CK96" s="1">
        <f t="shared" si="122"/>
        <v>9</v>
      </c>
      <c r="CN96" s="1" t="str">
        <f t="shared" si="123"/>
        <v/>
      </c>
      <c r="CO96" s="1" t="str">
        <f>IF(A96="","",IF(CN96="","",RANK(CN96,$CN$3:$CN246,1)))</f>
        <v/>
      </c>
      <c r="CP96" s="1">
        <f t="shared" si="124"/>
        <v>9</v>
      </c>
      <c r="CS96" s="1" t="str">
        <f t="shared" si="125"/>
        <v/>
      </c>
      <c r="CT96" s="1" t="str">
        <f>IF(A96="","",IF(CS96="","",RANK(CS96,$CS$3:$CS246,1)))</f>
        <v/>
      </c>
      <c r="CU96" s="1">
        <f t="shared" si="126"/>
        <v>9</v>
      </c>
      <c r="CX96" s="1" t="str">
        <f t="shared" si="127"/>
        <v/>
      </c>
      <c r="CY96" s="1" t="str">
        <f>IF(CX96="","",IF(A96="","",RANK(CX96,$CX$3:$CX246,1)))</f>
        <v/>
      </c>
      <c r="CZ96" s="1">
        <f t="shared" si="128"/>
        <v>9</v>
      </c>
      <c r="DC96" s="1" t="str">
        <f t="shared" si="129"/>
        <v/>
      </c>
      <c r="DD96" s="1" t="str">
        <f>IF(DC96="","",IF(A96="","",RANK(DC96,$DC$3:$DC246,1)))</f>
        <v/>
      </c>
      <c r="DE96" s="1">
        <f t="shared" si="130"/>
        <v>9</v>
      </c>
      <c r="DH96" s="1" t="str">
        <f t="shared" si="131"/>
        <v/>
      </c>
      <c r="DI96" s="1" t="str">
        <f>IF(DH96="","",IF(A96="","",RANK(DH96,$DH$3:$DH246,1)))</f>
        <v/>
      </c>
      <c r="DJ96" s="1">
        <f t="shared" si="132"/>
        <v>9</v>
      </c>
      <c r="DM96" s="1" t="str">
        <f t="shared" si="133"/>
        <v/>
      </c>
      <c r="DN96" s="1" t="str">
        <f>IF(DM96="","",IF(A96="","",RANK(DM96,$DM$3:$DM246,1)))</f>
        <v/>
      </c>
      <c r="DO96" s="1">
        <f t="shared" si="134"/>
        <v>9</v>
      </c>
      <c r="DR96" s="1">
        <f t="shared" si="135"/>
        <v>17.300940000000001</v>
      </c>
      <c r="DS96" s="1">
        <f>IF(DR96="","",IF(A96="","",RANK(DR96,$DR$3:$DR246,1)))</f>
        <v>127</v>
      </c>
      <c r="DT96" s="1">
        <f t="shared" si="136"/>
        <v>9</v>
      </c>
      <c r="DW96" s="1">
        <f t="shared" si="137"/>
        <v>15.10094</v>
      </c>
      <c r="DX96" s="1">
        <f>IF(DW96="","",IF(A96="","",RANK(DW96,$DW$3:$DW246,1)))</f>
        <v>120</v>
      </c>
      <c r="DY96" s="1">
        <f t="shared" si="138"/>
        <v>9</v>
      </c>
      <c r="EB96" s="1">
        <f t="shared" si="139"/>
        <v>13.90094</v>
      </c>
      <c r="EC96" s="1">
        <f>IF(EB96="","",IF(A96="","",RANK(EB96,$EB$3:$EB246,1)))</f>
        <v>120</v>
      </c>
      <c r="ED96" s="1">
        <f t="shared" si="140"/>
        <v>9</v>
      </c>
      <c r="EG96" s="1">
        <f t="shared" si="141"/>
        <v>13.10094</v>
      </c>
      <c r="EH96" s="1">
        <f>IF(EG96="","",IF(A96="","",RANK(EG96,$EG$3:$EG246,1)))</f>
        <v>94</v>
      </c>
      <c r="EI96" s="1">
        <f t="shared" si="142"/>
        <v>9</v>
      </c>
    </row>
    <row r="97" spans="1:139" ht="18.75">
      <c r="A97" s="1" t="s">
        <v>88</v>
      </c>
      <c r="B97" s="1">
        <v>20190206</v>
      </c>
      <c r="C97" s="1" t="s">
        <v>96</v>
      </c>
      <c r="D97" s="1">
        <v>7</v>
      </c>
      <c r="E97" s="30">
        <v>51.7</v>
      </c>
      <c r="F97" s="30">
        <v>37.799999999999997</v>
      </c>
      <c r="G97" s="30">
        <v>25.3</v>
      </c>
      <c r="H97" s="30">
        <v>13.1</v>
      </c>
      <c r="I97" s="30">
        <v>13.9</v>
      </c>
      <c r="J97" s="30">
        <v>12.5</v>
      </c>
      <c r="K97" s="30">
        <v>12.2</v>
      </c>
      <c r="L97" s="30">
        <v>13.1</v>
      </c>
      <c r="M97" s="1" t="str">
        <f t="shared" si="85"/>
        <v>2019/02/06</v>
      </c>
      <c r="N97" s="4" t="str">
        <f t="shared" si="86"/>
        <v/>
      </c>
      <c r="O97">
        <v>9.5000000000000184E-4</v>
      </c>
      <c r="P97" s="1" t="str">
        <f t="shared" si="87"/>
        <v/>
      </c>
      <c r="Q97" s="1" t="str">
        <f t="shared" si="88"/>
        <v/>
      </c>
      <c r="R97" s="1">
        <f t="shared" si="89"/>
        <v>7</v>
      </c>
      <c r="U97" s="1">
        <f t="shared" si="90"/>
        <v>51.700950000000006</v>
      </c>
      <c r="V97" s="1">
        <f t="shared" si="91"/>
        <v>7</v>
      </c>
      <c r="W97" s="1">
        <f t="shared" si="92"/>
        <v>7</v>
      </c>
      <c r="Z97" s="1" t="str">
        <f t="shared" si="93"/>
        <v/>
      </c>
      <c r="AA97" s="1" t="str">
        <f t="shared" si="94"/>
        <v/>
      </c>
      <c r="AB97" s="1">
        <f t="shared" si="95"/>
        <v>7</v>
      </c>
      <c r="AE97" s="1">
        <f t="shared" si="96"/>
        <v>37.80095</v>
      </c>
      <c r="AF97" s="1">
        <f t="shared" si="97"/>
        <v>17</v>
      </c>
      <c r="AG97" s="1">
        <f t="shared" si="98"/>
        <v>7</v>
      </c>
      <c r="AJ97" s="1" t="str">
        <f t="shared" si="99"/>
        <v/>
      </c>
      <c r="AK97" s="1" t="str">
        <f t="shared" si="100"/>
        <v/>
      </c>
      <c r="AL97" s="1">
        <f t="shared" si="101"/>
        <v>7</v>
      </c>
      <c r="AO97" s="1">
        <f t="shared" si="102"/>
        <v>25.30095</v>
      </c>
      <c r="AP97" s="1">
        <f t="shared" si="103"/>
        <v>64</v>
      </c>
      <c r="AQ97" s="1">
        <f t="shared" si="104"/>
        <v>7</v>
      </c>
      <c r="AT97" s="1">
        <f t="shared" si="105"/>
        <v>1.4000000000000004</v>
      </c>
      <c r="AU97" s="1">
        <f t="shared" si="106"/>
        <v>0.30000000000000071</v>
      </c>
      <c r="AV97" s="1">
        <f t="shared" si="107"/>
        <v>-0.90000000000000036</v>
      </c>
      <c r="AW97" s="1">
        <f t="shared" si="108"/>
        <v>0.80000000000000071</v>
      </c>
      <c r="AX97" s="1">
        <f t="shared" si="109"/>
        <v>0</v>
      </c>
      <c r="BC97" s="1">
        <f t="shared" si="110"/>
        <v>1.7009500000000011</v>
      </c>
      <c r="BD97" s="1">
        <f t="shared" si="111"/>
        <v>123</v>
      </c>
      <c r="BE97" s="1">
        <f t="shared" si="112"/>
        <v>7</v>
      </c>
      <c r="BH97" s="1" t="str">
        <f t="shared" si="113"/>
        <v/>
      </c>
      <c r="BI97" s="1" t="str">
        <f>IF(A97="","",IF(BH97="","",RANK(BH97,$BH$3:$BH247,1)))</f>
        <v/>
      </c>
      <c r="BJ97" s="1">
        <f t="shared" si="114"/>
        <v>7</v>
      </c>
      <c r="BM97" s="1">
        <f t="shared" si="115"/>
        <v>0.42187500000000039</v>
      </c>
      <c r="BN97" s="1">
        <f>IF(A97="","",IF(BM97="","",RANK(BM97,$BM$3:$BM247,1)))</f>
        <v>18</v>
      </c>
      <c r="BO97" s="1">
        <f t="shared" si="116"/>
        <v>7</v>
      </c>
      <c r="BR97" s="1">
        <f t="shared" si="117"/>
        <v>7</v>
      </c>
      <c r="BS97" s="1" t="str">
        <f t="shared" si="118"/>
        <v>サヤカチャン　　　　　　　　　　　　</v>
      </c>
      <c r="CD97" s="1" t="str">
        <f t="shared" si="119"/>
        <v/>
      </c>
      <c r="CE97" s="1" t="str">
        <f>IF(A97="","",IF(CD97="","",RANK(CD97,$CD$3:$CD247,1)))</f>
        <v/>
      </c>
      <c r="CF97" s="1">
        <f t="shared" si="120"/>
        <v>7</v>
      </c>
      <c r="CI97" s="1" t="str">
        <f t="shared" si="121"/>
        <v/>
      </c>
      <c r="CJ97" s="1" t="str">
        <f>IF(A97="","",IF(CI97="","",RANK(CI97,$CI$3:$CI247,1)))</f>
        <v/>
      </c>
      <c r="CK97" s="1">
        <f t="shared" si="122"/>
        <v>7</v>
      </c>
      <c r="CN97" s="1" t="str">
        <f t="shared" si="123"/>
        <v/>
      </c>
      <c r="CO97" s="1" t="str">
        <f>IF(A97="","",IF(CN97="","",RANK(CN97,$CN$3:$CN247,1)))</f>
        <v/>
      </c>
      <c r="CP97" s="1">
        <f t="shared" si="124"/>
        <v>7</v>
      </c>
      <c r="CS97" s="1" t="str">
        <f t="shared" si="125"/>
        <v/>
      </c>
      <c r="CT97" s="1" t="str">
        <f>IF(A97="","",IF(CS97="","",RANK(CS97,$CS$3:$CS247,1)))</f>
        <v/>
      </c>
      <c r="CU97" s="1">
        <f t="shared" si="126"/>
        <v>7</v>
      </c>
      <c r="CX97" s="1" t="str">
        <f t="shared" si="127"/>
        <v/>
      </c>
      <c r="CY97" s="1" t="str">
        <f>IF(CX97="","",IF(A97="","",RANK(CX97,$CX$3:$CX247,1)))</f>
        <v/>
      </c>
      <c r="CZ97" s="1">
        <f t="shared" si="128"/>
        <v>7</v>
      </c>
      <c r="DC97" s="1" t="str">
        <f t="shared" si="129"/>
        <v/>
      </c>
      <c r="DD97" s="1" t="str">
        <f>IF(DC97="","",IF(A97="","",RANK(DC97,$DC$3:$DC247,1)))</f>
        <v/>
      </c>
      <c r="DE97" s="1">
        <f t="shared" si="130"/>
        <v>7</v>
      </c>
      <c r="DH97" s="1" t="str">
        <f t="shared" si="131"/>
        <v/>
      </c>
      <c r="DI97" s="1" t="str">
        <f>IF(DH97="","",IF(A97="","",RANK(DH97,$DH$3:$DH247,1)))</f>
        <v/>
      </c>
      <c r="DJ97" s="1">
        <f t="shared" si="132"/>
        <v>7</v>
      </c>
      <c r="DM97" s="1" t="str">
        <f t="shared" si="133"/>
        <v/>
      </c>
      <c r="DN97" s="1" t="str">
        <f>IF(DM97="","",IF(A97="","",RANK(DM97,$DM$3:$DM247,1)))</f>
        <v/>
      </c>
      <c r="DO97" s="1">
        <f t="shared" si="134"/>
        <v>7</v>
      </c>
      <c r="DR97" s="1">
        <f t="shared" si="135"/>
        <v>13.90095</v>
      </c>
      <c r="DS97" s="1">
        <f>IF(DR97="","",IF(A97="","",RANK(DR97,$DR$3:$DR247,1)))</f>
        <v>8</v>
      </c>
      <c r="DT97" s="1">
        <f t="shared" si="136"/>
        <v>7</v>
      </c>
      <c r="DW97" s="1">
        <f t="shared" si="137"/>
        <v>12.50095</v>
      </c>
      <c r="DX97" s="1">
        <f>IF(DW97="","",IF(A97="","",RANK(DW97,$DW$3:$DW247,1)))</f>
        <v>4</v>
      </c>
      <c r="DY97" s="1">
        <f t="shared" si="138"/>
        <v>7</v>
      </c>
      <c r="EB97" s="1">
        <f t="shared" si="139"/>
        <v>12.200949999999999</v>
      </c>
      <c r="EC97" s="1">
        <f>IF(EB97="","",IF(A97="","",RANK(EB97,$EB$3:$EB247,1)))</f>
        <v>19</v>
      </c>
      <c r="ED97" s="1">
        <f t="shared" si="140"/>
        <v>7</v>
      </c>
      <c r="EG97" s="1">
        <f t="shared" si="141"/>
        <v>13.100949999999999</v>
      </c>
      <c r="EH97" s="1">
        <f>IF(EG97="","",IF(A97="","",RANK(EG97,$EG$3:$EG247,1)))</f>
        <v>95</v>
      </c>
      <c r="EI97" s="1">
        <f t="shared" si="142"/>
        <v>7</v>
      </c>
    </row>
    <row r="98" spans="1:139" ht="18.75">
      <c r="A98" s="1" t="s">
        <v>88</v>
      </c>
      <c r="B98" s="1">
        <v>20190222</v>
      </c>
      <c r="C98" s="1" t="s">
        <v>98</v>
      </c>
      <c r="D98" s="1">
        <v>9</v>
      </c>
      <c r="E98" s="30">
        <v>54.6</v>
      </c>
      <c r="F98" s="30">
        <v>39.1</v>
      </c>
      <c r="G98" s="30">
        <v>25.7</v>
      </c>
      <c r="H98" s="30">
        <v>13.1</v>
      </c>
      <c r="I98" s="30">
        <v>15.5</v>
      </c>
      <c r="J98" s="30">
        <v>13.4</v>
      </c>
      <c r="K98" s="30">
        <v>12.6</v>
      </c>
      <c r="L98" s="30">
        <v>13.1</v>
      </c>
      <c r="M98" s="1" t="str">
        <f t="shared" si="85"/>
        <v>2019/02/22</v>
      </c>
      <c r="N98" s="4" t="str">
        <f t="shared" si="86"/>
        <v/>
      </c>
      <c r="O98">
        <v>9.6000000000000187E-4</v>
      </c>
      <c r="P98" s="1" t="str">
        <f t="shared" si="87"/>
        <v/>
      </c>
      <c r="Q98" s="1" t="str">
        <f t="shared" si="88"/>
        <v/>
      </c>
      <c r="R98" s="1">
        <f t="shared" si="89"/>
        <v>9</v>
      </c>
      <c r="U98" s="1">
        <f t="shared" si="90"/>
        <v>54.600960000000001</v>
      </c>
      <c r="V98" s="1">
        <f t="shared" si="91"/>
        <v>66</v>
      </c>
      <c r="W98" s="1">
        <f t="shared" si="92"/>
        <v>9</v>
      </c>
      <c r="Z98" s="1" t="str">
        <f t="shared" si="93"/>
        <v/>
      </c>
      <c r="AA98" s="1" t="str">
        <f t="shared" si="94"/>
        <v/>
      </c>
      <c r="AB98" s="1">
        <f t="shared" si="95"/>
        <v>9</v>
      </c>
      <c r="AE98" s="1">
        <f t="shared" si="96"/>
        <v>39.100960000000001</v>
      </c>
      <c r="AF98" s="1">
        <f t="shared" si="97"/>
        <v>64</v>
      </c>
      <c r="AG98" s="1">
        <f t="shared" si="98"/>
        <v>9</v>
      </c>
      <c r="AJ98" s="1" t="str">
        <f t="shared" si="99"/>
        <v/>
      </c>
      <c r="AK98" s="1" t="str">
        <f t="shared" si="100"/>
        <v/>
      </c>
      <c r="AL98" s="1">
        <f t="shared" si="101"/>
        <v>9</v>
      </c>
      <c r="AO98" s="1">
        <f t="shared" si="102"/>
        <v>25.700959999999998</v>
      </c>
      <c r="AP98" s="1">
        <f t="shared" si="103"/>
        <v>81</v>
      </c>
      <c r="AQ98" s="1">
        <f t="shared" si="104"/>
        <v>9</v>
      </c>
      <c r="AT98" s="1">
        <f t="shared" si="105"/>
        <v>2.0999999999999996</v>
      </c>
      <c r="AU98" s="1">
        <f t="shared" si="106"/>
        <v>0.80000000000000071</v>
      </c>
      <c r="AV98" s="1">
        <f t="shared" si="107"/>
        <v>-0.5</v>
      </c>
      <c r="AW98" s="1">
        <f t="shared" si="108"/>
        <v>2.4000000000000004</v>
      </c>
      <c r="AX98" s="1">
        <f t="shared" si="109"/>
        <v>0</v>
      </c>
      <c r="BC98" s="1">
        <f t="shared" si="110"/>
        <v>2.9009600000000004</v>
      </c>
      <c r="BD98" s="1">
        <f t="shared" si="111"/>
        <v>54</v>
      </c>
      <c r="BE98" s="1">
        <f t="shared" si="112"/>
        <v>9</v>
      </c>
      <c r="BH98" s="1" t="str">
        <f t="shared" si="113"/>
        <v/>
      </c>
      <c r="BI98" s="1" t="str">
        <f>IF(A98="","",IF(BH98="","",RANK(BH98,$BH$3:$BH248,1)))</f>
        <v/>
      </c>
      <c r="BJ98" s="1">
        <f t="shared" si="114"/>
        <v>9</v>
      </c>
      <c r="BM98" s="1">
        <f t="shared" si="115"/>
        <v>1.2225000000000004</v>
      </c>
      <c r="BN98" s="1">
        <f>IF(A98="","",IF(BM98="","",RANK(BM98,$BM$3:$BM248,1)))</f>
        <v>73</v>
      </c>
      <c r="BO98" s="1">
        <f t="shared" si="116"/>
        <v>9</v>
      </c>
      <c r="BR98" s="1">
        <f t="shared" si="117"/>
        <v>9</v>
      </c>
      <c r="BS98" s="1" t="str">
        <f t="shared" si="118"/>
        <v>メイショウイサナ　　　　　　　　　　</v>
      </c>
      <c r="CD98" s="1" t="str">
        <f t="shared" si="119"/>
        <v/>
      </c>
      <c r="CE98" s="1" t="str">
        <f>IF(A98="","",IF(CD98="","",RANK(CD98,$CD$3:$CD248,1)))</f>
        <v/>
      </c>
      <c r="CF98" s="1">
        <f t="shared" si="120"/>
        <v>9</v>
      </c>
      <c r="CI98" s="1" t="str">
        <f t="shared" si="121"/>
        <v/>
      </c>
      <c r="CJ98" s="1" t="str">
        <f>IF(A98="","",IF(CI98="","",RANK(CI98,$CI$3:$CI248,1)))</f>
        <v/>
      </c>
      <c r="CK98" s="1">
        <f t="shared" si="122"/>
        <v>9</v>
      </c>
      <c r="CN98" s="1" t="str">
        <f t="shared" si="123"/>
        <v/>
      </c>
      <c r="CO98" s="1" t="str">
        <f>IF(A98="","",IF(CN98="","",RANK(CN98,$CN$3:$CN248,1)))</f>
        <v/>
      </c>
      <c r="CP98" s="1">
        <f t="shared" si="124"/>
        <v>9</v>
      </c>
      <c r="CS98" s="1" t="str">
        <f t="shared" si="125"/>
        <v/>
      </c>
      <c r="CT98" s="1" t="str">
        <f>IF(A98="","",IF(CS98="","",RANK(CS98,$CS$3:$CS248,1)))</f>
        <v/>
      </c>
      <c r="CU98" s="1">
        <f t="shared" si="126"/>
        <v>9</v>
      </c>
      <c r="CX98" s="1" t="str">
        <f t="shared" si="127"/>
        <v/>
      </c>
      <c r="CY98" s="1" t="str">
        <f>IF(CX98="","",IF(A98="","",RANK(CX98,$CX$3:$CX248,1)))</f>
        <v/>
      </c>
      <c r="CZ98" s="1">
        <f t="shared" si="128"/>
        <v>9</v>
      </c>
      <c r="DC98" s="1" t="str">
        <f t="shared" si="129"/>
        <v/>
      </c>
      <c r="DD98" s="1" t="str">
        <f>IF(DC98="","",IF(A98="","",RANK(DC98,$DC$3:$DC248,1)))</f>
        <v/>
      </c>
      <c r="DE98" s="1">
        <f t="shared" si="130"/>
        <v>9</v>
      </c>
      <c r="DH98" s="1" t="str">
        <f t="shared" si="131"/>
        <v/>
      </c>
      <c r="DI98" s="1" t="str">
        <f>IF(DH98="","",IF(A98="","",RANK(DH98,$DH$3:$DH248,1)))</f>
        <v/>
      </c>
      <c r="DJ98" s="1">
        <f t="shared" si="132"/>
        <v>9</v>
      </c>
      <c r="DM98" s="1" t="str">
        <f t="shared" si="133"/>
        <v/>
      </c>
      <c r="DN98" s="1" t="str">
        <f>IF(DM98="","",IF(A98="","",RANK(DM98,$DM$3:$DM248,1)))</f>
        <v/>
      </c>
      <c r="DO98" s="1">
        <f t="shared" si="134"/>
        <v>9</v>
      </c>
      <c r="DR98" s="1">
        <f t="shared" si="135"/>
        <v>15.500959999999999</v>
      </c>
      <c r="DS98" s="1">
        <f>IF(DR98="","",IF(A98="","",RANK(DR98,$DR$3:$DR248,1)))</f>
        <v>72</v>
      </c>
      <c r="DT98" s="1">
        <f t="shared" si="136"/>
        <v>9</v>
      </c>
      <c r="DW98" s="1">
        <f t="shared" si="137"/>
        <v>13.40096</v>
      </c>
      <c r="DX98" s="1">
        <f>IF(DW98="","",IF(A98="","",RANK(DW98,$DW$3:$DW248,1)))</f>
        <v>35</v>
      </c>
      <c r="DY98" s="1">
        <f t="shared" si="138"/>
        <v>9</v>
      </c>
      <c r="EB98" s="1">
        <f t="shared" si="139"/>
        <v>12.600959999999999</v>
      </c>
      <c r="EC98" s="1">
        <f>IF(EB98="","",IF(A98="","",RANK(EB98,$EB$3:$EB248,1)))</f>
        <v>60</v>
      </c>
      <c r="ED98" s="1">
        <f t="shared" si="140"/>
        <v>9</v>
      </c>
      <c r="EG98" s="1">
        <f t="shared" si="141"/>
        <v>13.100959999999999</v>
      </c>
      <c r="EH98" s="1">
        <f>IF(EG98="","",IF(A98="","",RANK(EG98,$EG$3:$EG248,1)))</f>
        <v>96</v>
      </c>
      <c r="EI98" s="1">
        <f t="shared" si="142"/>
        <v>9</v>
      </c>
    </row>
    <row r="99" spans="1:139" ht="18.75">
      <c r="A99" s="1" t="s">
        <v>88</v>
      </c>
      <c r="B99" s="1">
        <v>20190227</v>
      </c>
      <c r="C99" s="1" t="s">
        <v>91</v>
      </c>
      <c r="D99" s="1">
        <v>2</v>
      </c>
      <c r="E99" s="30">
        <v>53.5</v>
      </c>
      <c r="F99" s="30">
        <v>39</v>
      </c>
      <c r="G99" s="30">
        <v>25.7</v>
      </c>
      <c r="H99" s="30">
        <v>13.1</v>
      </c>
      <c r="I99" s="30">
        <v>14.5</v>
      </c>
      <c r="J99" s="30">
        <v>13.3</v>
      </c>
      <c r="K99" s="30">
        <v>12.6</v>
      </c>
      <c r="L99" s="30">
        <v>13.1</v>
      </c>
      <c r="M99" s="1" t="str">
        <f t="shared" si="85"/>
        <v>2019/02/27</v>
      </c>
      <c r="N99" s="4" t="str">
        <f t="shared" si="86"/>
        <v/>
      </c>
      <c r="O99">
        <v>9.7000000000000189E-4</v>
      </c>
      <c r="P99" s="1" t="str">
        <f t="shared" si="87"/>
        <v/>
      </c>
      <c r="Q99" s="1" t="str">
        <f t="shared" si="88"/>
        <v/>
      </c>
      <c r="R99" s="1">
        <f t="shared" si="89"/>
        <v>2</v>
      </c>
      <c r="U99" s="1">
        <f t="shared" si="90"/>
        <v>53.500970000000002</v>
      </c>
      <c r="V99" s="1">
        <f t="shared" si="91"/>
        <v>34</v>
      </c>
      <c r="W99" s="1">
        <f t="shared" si="92"/>
        <v>2</v>
      </c>
      <c r="Z99" s="1" t="str">
        <f t="shared" si="93"/>
        <v/>
      </c>
      <c r="AA99" s="1" t="str">
        <f t="shared" si="94"/>
        <v/>
      </c>
      <c r="AB99" s="1">
        <f t="shared" si="95"/>
        <v>2</v>
      </c>
      <c r="AE99" s="1">
        <f t="shared" si="96"/>
        <v>39.000970000000002</v>
      </c>
      <c r="AF99" s="1">
        <f t="shared" si="97"/>
        <v>60</v>
      </c>
      <c r="AG99" s="1">
        <f t="shared" si="98"/>
        <v>2</v>
      </c>
      <c r="AJ99" s="1" t="str">
        <f t="shared" si="99"/>
        <v/>
      </c>
      <c r="AK99" s="1" t="str">
        <f t="shared" si="100"/>
        <v/>
      </c>
      <c r="AL99" s="1">
        <f t="shared" si="101"/>
        <v>2</v>
      </c>
      <c r="AO99" s="1">
        <f t="shared" si="102"/>
        <v>25.700969999999998</v>
      </c>
      <c r="AP99" s="1">
        <f t="shared" si="103"/>
        <v>82</v>
      </c>
      <c r="AQ99" s="1">
        <f t="shared" si="104"/>
        <v>2</v>
      </c>
      <c r="AT99" s="1">
        <f t="shared" si="105"/>
        <v>1.1999999999999993</v>
      </c>
      <c r="AU99" s="1">
        <f t="shared" si="106"/>
        <v>0.70000000000000107</v>
      </c>
      <c r="AV99" s="1">
        <f t="shared" si="107"/>
        <v>-0.5</v>
      </c>
      <c r="AW99" s="1">
        <f t="shared" si="108"/>
        <v>1.4000000000000004</v>
      </c>
      <c r="AX99" s="1">
        <f t="shared" si="109"/>
        <v>0</v>
      </c>
      <c r="BC99" s="1">
        <f t="shared" si="110"/>
        <v>1.9009700000000003</v>
      </c>
      <c r="BD99" s="1">
        <f t="shared" si="111"/>
        <v>112</v>
      </c>
      <c r="BE99" s="1">
        <f t="shared" si="112"/>
        <v>2</v>
      </c>
      <c r="BH99" s="1" t="str">
        <f t="shared" si="113"/>
        <v/>
      </c>
      <c r="BI99" s="1" t="str">
        <f>IF(A99="","",IF(BH99="","",RANK(BH99,$BH$3:$BH249,1)))</f>
        <v/>
      </c>
      <c r="BJ99" s="1">
        <f t="shared" si="114"/>
        <v>2</v>
      </c>
      <c r="BM99" s="1">
        <f t="shared" si="115"/>
        <v>0.48687500000000022</v>
      </c>
      <c r="BN99" s="1">
        <f>IF(A99="","",IF(BM99="","",RANK(BM99,$BM$3:$BM249,1)))</f>
        <v>21</v>
      </c>
      <c r="BO99" s="1">
        <f t="shared" si="116"/>
        <v>2</v>
      </c>
      <c r="BR99" s="1">
        <f t="shared" si="117"/>
        <v>2</v>
      </c>
      <c r="BS99" s="1" t="str">
        <f t="shared" si="118"/>
        <v>フェルトベルク　　　　　　　　　　　</v>
      </c>
      <c r="CD99" s="1" t="str">
        <f t="shared" si="119"/>
        <v/>
      </c>
      <c r="CE99" s="1" t="str">
        <f>IF(A99="","",IF(CD99="","",RANK(CD99,$CD$3:$CD249,1)))</f>
        <v/>
      </c>
      <c r="CF99" s="1">
        <f t="shared" si="120"/>
        <v>2</v>
      </c>
      <c r="CI99" s="1" t="str">
        <f t="shared" si="121"/>
        <v/>
      </c>
      <c r="CJ99" s="1" t="str">
        <f>IF(A99="","",IF(CI99="","",RANK(CI99,$CI$3:$CI249,1)))</f>
        <v/>
      </c>
      <c r="CK99" s="1">
        <f t="shared" si="122"/>
        <v>2</v>
      </c>
      <c r="CN99" s="1" t="str">
        <f t="shared" si="123"/>
        <v/>
      </c>
      <c r="CO99" s="1" t="str">
        <f>IF(A99="","",IF(CN99="","",RANK(CN99,$CN$3:$CN249,1)))</f>
        <v/>
      </c>
      <c r="CP99" s="1">
        <f t="shared" si="124"/>
        <v>2</v>
      </c>
      <c r="CS99" s="1" t="str">
        <f t="shared" si="125"/>
        <v/>
      </c>
      <c r="CT99" s="1" t="str">
        <f>IF(A99="","",IF(CS99="","",RANK(CS99,$CS$3:$CS249,1)))</f>
        <v/>
      </c>
      <c r="CU99" s="1">
        <f t="shared" si="126"/>
        <v>2</v>
      </c>
      <c r="CX99" s="1" t="str">
        <f t="shared" si="127"/>
        <v/>
      </c>
      <c r="CY99" s="1" t="str">
        <f>IF(CX99="","",IF(A99="","",RANK(CX99,$CX$3:$CX249,1)))</f>
        <v/>
      </c>
      <c r="CZ99" s="1">
        <f t="shared" si="128"/>
        <v>2</v>
      </c>
      <c r="DC99" s="1" t="str">
        <f t="shared" si="129"/>
        <v/>
      </c>
      <c r="DD99" s="1" t="str">
        <f>IF(DC99="","",IF(A99="","",RANK(DC99,$DC$3:$DC249,1)))</f>
        <v/>
      </c>
      <c r="DE99" s="1">
        <f t="shared" si="130"/>
        <v>2</v>
      </c>
      <c r="DH99" s="1" t="str">
        <f t="shared" si="131"/>
        <v/>
      </c>
      <c r="DI99" s="1" t="str">
        <f>IF(DH99="","",IF(A99="","",RANK(DH99,$DH$3:$DH249,1)))</f>
        <v/>
      </c>
      <c r="DJ99" s="1">
        <f t="shared" si="132"/>
        <v>2</v>
      </c>
      <c r="DM99" s="1" t="str">
        <f t="shared" si="133"/>
        <v/>
      </c>
      <c r="DN99" s="1" t="str">
        <f>IF(DM99="","",IF(A99="","",RANK(DM99,$DM$3:$DM249,1)))</f>
        <v/>
      </c>
      <c r="DO99" s="1">
        <f t="shared" si="134"/>
        <v>2</v>
      </c>
      <c r="DR99" s="1">
        <f t="shared" si="135"/>
        <v>14.500970000000001</v>
      </c>
      <c r="DS99" s="1">
        <f>IF(DR99="","",IF(A99="","",RANK(DR99,$DR$3:$DR249,1)))</f>
        <v>24</v>
      </c>
      <c r="DT99" s="1">
        <f t="shared" si="136"/>
        <v>2</v>
      </c>
      <c r="DW99" s="1">
        <f t="shared" si="137"/>
        <v>13.300970000000001</v>
      </c>
      <c r="DX99" s="1">
        <f>IF(DW99="","",IF(A99="","",RANK(DW99,$DW$3:$DW249,1)))</f>
        <v>25</v>
      </c>
      <c r="DY99" s="1">
        <f t="shared" si="138"/>
        <v>2</v>
      </c>
      <c r="EB99" s="1">
        <f t="shared" si="139"/>
        <v>12.60097</v>
      </c>
      <c r="EC99" s="1">
        <f>IF(EB99="","",IF(A99="","",RANK(EB99,$EB$3:$EB249,1)))</f>
        <v>61</v>
      </c>
      <c r="ED99" s="1">
        <f t="shared" si="140"/>
        <v>2</v>
      </c>
      <c r="EG99" s="1">
        <f t="shared" si="141"/>
        <v>13.10097</v>
      </c>
      <c r="EH99" s="1">
        <f>IF(EG99="","",IF(A99="","",RANK(EG99,$EG$3:$EG249,1)))</f>
        <v>97</v>
      </c>
      <c r="EI99" s="1">
        <f t="shared" si="142"/>
        <v>2</v>
      </c>
    </row>
    <row r="100" spans="1:139" ht="18.75">
      <c r="A100" s="1" t="s">
        <v>88</v>
      </c>
      <c r="B100" s="1">
        <v>20190227</v>
      </c>
      <c r="C100" s="1" t="s">
        <v>91</v>
      </c>
      <c r="D100" s="1">
        <v>2</v>
      </c>
      <c r="E100" s="30">
        <v>53.5</v>
      </c>
      <c r="F100" s="30">
        <v>39</v>
      </c>
      <c r="G100" s="30">
        <v>25.7</v>
      </c>
      <c r="H100" s="30">
        <v>13.1</v>
      </c>
      <c r="I100" s="30">
        <v>14.5</v>
      </c>
      <c r="J100" s="30">
        <v>13.3</v>
      </c>
      <c r="K100" s="30">
        <v>12.6</v>
      </c>
      <c r="L100" s="30">
        <v>13.1</v>
      </c>
      <c r="M100" s="1" t="str">
        <f t="shared" si="85"/>
        <v>2019/02/27</v>
      </c>
      <c r="N100" s="4" t="str">
        <f t="shared" si="86"/>
        <v/>
      </c>
      <c r="O100">
        <v>9.8000000000000192E-4</v>
      </c>
      <c r="P100" s="1" t="str">
        <f t="shared" si="87"/>
        <v/>
      </c>
      <c r="Q100" s="1" t="str">
        <f t="shared" si="88"/>
        <v/>
      </c>
      <c r="R100" s="1">
        <f t="shared" si="89"/>
        <v>2</v>
      </c>
      <c r="U100" s="1">
        <f t="shared" si="90"/>
        <v>53.500979999999998</v>
      </c>
      <c r="V100" s="1">
        <f t="shared" si="91"/>
        <v>35</v>
      </c>
      <c r="W100" s="1">
        <f t="shared" si="92"/>
        <v>2</v>
      </c>
      <c r="Z100" s="1" t="str">
        <f t="shared" si="93"/>
        <v/>
      </c>
      <c r="AA100" s="1" t="str">
        <f t="shared" si="94"/>
        <v/>
      </c>
      <c r="AB100" s="1">
        <f t="shared" si="95"/>
        <v>2</v>
      </c>
      <c r="AE100" s="1">
        <f t="shared" si="96"/>
        <v>39.000979999999998</v>
      </c>
      <c r="AF100" s="1">
        <f t="shared" si="97"/>
        <v>61</v>
      </c>
      <c r="AG100" s="1">
        <f t="shared" si="98"/>
        <v>2</v>
      </c>
      <c r="AJ100" s="1" t="str">
        <f t="shared" si="99"/>
        <v/>
      </c>
      <c r="AK100" s="1" t="str">
        <f t="shared" si="100"/>
        <v/>
      </c>
      <c r="AL100" s="1">
        <f t="shared" si="101"/>
        <v>2</v>
      </c>
      <c r="AO100" s="1">
        <f t="shared" si="102"/>
        <v>25.700979999999998</v>
      </c>
      <c r="AP100" s="1">
        <f t="shared" si="103"/>
        <v>83</v>
      </c>
      <c r="AQ100" s="1">
        <f t="shared" si="104"/>
        <v>2</v>
      </c>
      <c r="AT100" s="1">
        <f t="shared" si="105"/>
        <v>1.1999999999999993</v>
      </c>
      <c r="AU100" s="1">
        <f t="shared" si="106"/>
        <v>0.70000000000000107</v>
      </c>
      <c r="AV100" s="1">
        <f t="shared" si="107"/>
        <v>-0.5</v>
      </c>
      <c r="AW100" s="1">
        <f t="shared" si="108"/>
        <v>1.4000000000000004</v>
      </c>
      <c r="AX100" s="1">
        <f t="shared" si="109"/>
        <v>0</v>
      </c>
      <c r="BC100" s="1">
        <f t="shared" si="110"/>
        <v>1.9009800000000003</v>
      </c>
      <c r="BD100" s="1">
        <f t="shared" si="111"/>
        <v>111</v>
      </c>
      <c r="BE100" s="1">
        <f t="shared" si="112"/>
        <v>2</v>
      </c>
      <c r="BH100" s="1" t="str">
        <f t="shared" si="113"/>
        <v/>
      </c>
      <c r="BI100" s="1" t="str">
        <f>IF(A100="","",IF(BH100="","",RANK(BH100,$BH$3:$BH250,1)))</f>
        <v/>
      </c>
      <c r="BJ100" s="1">
        <f t="shared" si="114"/>
        <v>2</v>
      </c>
      <c r="BM100" s="1">
        <f t="shared" si="115"/>
        <v>0.48687500000000022</v>
      </c>
      <c r="BN100" s="1">
        <f>IF(A100="","",IF(BM100="","",RANK(BM100,$BM$3:$BM250,1)))</f>
        <v>21</v>
      </c>
      <c r="BO100" s="1">
        <f t="shared" si="116"/>
        <v>2</v>
      </c>
      <c r="BR100" s="1">
        <f t="shared" si="117"/>
        <v>2</v>
      </c>
      <c r="BS100" s="1" t="str">
        <f t="shared" si="118"/>
        <v>フェルトベルク　　　　　　　　　　　</v>
      </c>
      <c r="CD100" s="1" t="str">
        <f t="shared" si="119"/>
        <v/>
      </c>
      <c r="CE100" s="1" t="str">
        <f>IF(A100="","",IF(CD100="","",RANK(CD100,$CD$3:$CD250,1)))</f>
        <v/>
      </c>
      <c r="CF100" s="1">
        <f t="shared" si="120"/>
        <v>2</v>
      </c>
      <c r="CI100" s="1" t="str">
        <f t="shared" si="121"/>
        <v/>
      </c>
      <c r="CJ100" s="1" t="str">
        <f>IF(A100="","",IF(CI100="","",RANK(CI100,$CI$3:$CI250,1)))</f>
        <v/>
      </c>
      <c r="CK100" s="1">
        <f t="shared" si="122"/>
        <v>2</v>
      </c>
      <c r="CN100" s="1" t="str">
        <f t="shared" si="123"/>
        <v/>
      </c>
      <c r="CO100" s="1" t="str">
        <f>IF(A100="","",IF(CN100="","",RANK(CN100,$CN$3:$CN250,1)))</f>
        <v/>
      </c>
      <c r="CP100" s="1">
        <f t="shared" si="124"/>
        <v>2</v>
      </c>
      <c r="CS100" s="1" t="str">
        <f t="shared" si="125"/>
        <v/>
      </c>
      <c r="CT100" s="1" t="str">
        <f>IF(A100="","",IF(CS100="","",RANK(CS100,$CS$3:$CS250,1)))</f>
        <v/>
      </c>
      <c r="CU100" s="1">
        <f t="shared" si="126"/>
        <v>2</v>
      </c>
      <c r="CX100" s="1" t="str">
        <f t="shared" si="127"/>
        <v/>
      </c>
      <c r="CY100" s="1" t="str">
        <f>IF(CX100="","",IF(A100="","",RANK(CX100,$CX$3:$CX250,1)))</f>
        <v/>
      </c>
      <c r="CZ100" s="1">
        <f t="shared" si="128"/>
        <v>2</v>
      </c>
      <c r="DC100" s="1" t="str">
        <f t="shared" si="129"/>
        <v/>
      </c>
      <c r="DD100" s="1" t="str">
        <f>IF(DC100="","",IF(A100="","",RANK(DC100,$DC$3:$DC250,1)))</f>
        <v/>
      </c>
      <c r="DE100" s="1">
        <f t="shared" si="130"/>
        <v>2</v>
      </c>
      <c r="DH100" s="1" t="str">
        <f t="shared" si="131"/>
        <v/>
      </c>
      <c r="DI100" s="1" t="str">
        <f>IF(DH100="","",IF(A100="","",RANK(DH100,$DH$3:$DH250,1)))</f>
        <v/>
      </c>
      <c r="DJ100" s="1">
        <f t="shared" si="132"/>
        <v>2</v>
      </c>
      <c r="DM100" s="1" t="str">
        <f t="shared" si="133"/>
        <v/>
      </c>
      <c r="DN100" s="1" t="str">
        <f>IF(DM100="","",IF(A100="","",RANK(DM100,$DM$3:$DM250,1)))</f>
        <v/>
      </c>
      <c r="DO100" s="1">
        <f t="shared" si="134"/>
        <v>2</v>
      </c>
      <c r="DR100" s="1">
        <f t="shared" si="135"/>
        <v>14.50098</v>
      </c>
      <c r="DS100" s="1">
        <f>IF(DR100="","",IF(A100="","",RANK(DR100,$DR$3:$DR250,1)))</f>
        <v>25</v>
      </c>
      <c r="DT100" s="1">
        <f t="shared" si="136"/>
        <v>2</v>
      </c>
      <c r="DW100" s="1">
        <f t="shared" si="137"/>
        <v>13.300980000000001</v>
      </c>
      <c r="DX100" s="1">
        <f>IF(DW100="","",IF(A100="","",RANK(DW100,$DW$3:$DW250,1)))</f>
        <v>26</v>
      </c>
      <c r="DY100" s="1">
        <f t="shared" si="138"/>
        <v>2</v>
      </c>
      <c r="EB100" s="1">
        <f t="shared" si="139"/>
        <v>12.60098</v>
      </c>
      <c r="EC100" s="1">
        <f>IF(EB100="","",IF(A100="","",RANK(EB100,$EB$3:$EB250,1)))</f>
        <v>62</v>
      </c>
      <c r="ED100" s="1">
        <f t="shared" si="140"/>
        <v>2</v>
      </c>
      <c r="EG100" s="1">
        <f t="shared" si="141"/>
        <v>13.10098</v>
      </c>
      <c r="EH100" s="1">
        <f>IF(EG100="","",IF(A100="","",RANK(EG100,$EG$3:$EG250,1)))</f>
        <v>98</v>
      </c>
      <c r="EI100" s="1">
        <f t="shared" si="142"/>
        <v>2</v>
      </c>
    </row>
    <row r="101" spans="1:139" ht="18.75">
      <c r="A101" s="1" t="s">
        <v>88</v>
      </c>
      <c r="B101" s="1">
        <v>20190303</v>
      </c>
      <c r="C101" s="1" t="s">
        <v>92</v>
      </c>
      <c r="D101" s="1">
        <v>3</v>
      </c>
      <c r="E101" s="30">
        <v>56.7</v>
      </c>
      <c r="F101" s="30">
        <v>39.4</v>
      </c>
      <c r="G101" s="30">
        <v>26.1</v>
      </c>
      <c r="H101" s="30">
        <v>13.1</v>
      </c>
      <c r="I101" s="30">
        <v>17.3</v>
      </c>
      <c r="J101" s="30">
        <v>13.3</v>
      </c>
      <c r="K101" s="30">
        <v>13</v>
      </c>
      <c r="L101" s="30">
        <v>13.1</v>
      </c>
      <c r="M101" s="1" t="str">
        <f t="shared" si="85"/>
        <v>2019/03/03</v>
      </c>
      <c r="N101" s="4" t="str">
        <f t="shared" si="86"/>
        <v/>
      </c>
      <c r="O101">
        <v>9.9000000000000195E-4</v>
      </c>
      <c r="P101" s="1" t="str">
        <f t="shared" si="87"/>
        <v/>
      </c>
      <c r="Q101" s="1" t="str">
        <f t="shared" si="88"/>
        <v/>
      </c>
      <c r="R101" s="1">
        <f t="shared" si="89"/>
        <v>3</v>
      </c>
      <c r="U101" s="1">
        <f t="shared" si="90"/>
        <v>56.700990000000004</v>
      </c>
      <c r="V101" s="1">
        <f t="shared" si="91"/>
        <v>99</v>
      </c>
      <c r="W101" s="1">
        <f t="shared" si="92"/>
        <v>3</v>
      </c>
      <c r="Z101" s="1" t="str">
        <f t="shared" si="93"/>
        <v/>
      </c>
      <c r="AA101" s="1" t="str">
        <f t="shared" si="94"/>
        <v/>
      </c>
      <c r="AB101" s="1">
        <f t="shared" si="95"/>
        <v>3</v>
      </c>
      <c r="AE101" s="1">
        <f t="shared" si="96"/>
        <v>39.40099</v>
      </c>
      <c r="AF101" s="1">
        <f t="shared" si="97"/>
        <v>70</v>
      </c>
      <c r="AG101" s="1">
        <f t="shared" si="98"/>
        <v>3</v>
      </c>
      <c r="AJ101" s="1" t="str">
        <f t="shared" si="99"/>
        <v/>
      </c>
      <c r="AK101" s="1" t="str">
        <f t="shared" si="100"/>
        <v/>
      </c>
      <c r="AL101" s="1">
        <f t="shared" si="101"/>
        <v>3</v>
      </c>
      <c r="AO101" s="1">
        <f t="shared" si="102"/>
        <v>26.100990000000003</v>
      </c>
      <c r="AP101" s="1">
        <f t="shared" si="103"/>
        <v>94</v>
      </c>
      <c r="AQ101" s="1">
        <f t="shared" si="104"/>
        <v>3</v>
      </c>
      <c r="AT101" s="1">
        <f t="shared" si="105"/>
        <v>4</v>
      </c>
      <c r="AU101" s="1">
        <f t="shared" si="106"/>
        <v>0.30000000000000071</v>
      </c>
      <c r="AV101" s="1">
        <f t="shared" si="107"/>
        <v>-9.9999999999999645E-2</v>
      </c>
      <c r="AW101" s="1">
        <f t="shared" si="108"/>
        <v>4.2000000000000011</v>
      </c>
      <c r="AX101" s="1">
        <f t="shared" si="109"/>
        <v>0</v>
      </c>
      <c r="BC101" s="1">
        <f t="shared" si="110"/>
        <v>4.3009900000000005</v>
      </c>
      <c r="BD101" s="1">
        <f t="shared" si="111"/>
        <v>16</v>
      </c>
      <c r="BE101" s="1">
        <f t="shared" si="112"/>
        <v>3</v>
      </c>
      <c r="BH101" s="1" t="str">
        <f t="shared" si="113"/>
        <v/>
      </c>
      <c r="BI101" s="1" t="str">
        <f>IF(A101="","",IF(BH101="","",RANK(BH101,$BH$3:$BH251,1)))</f>
        <v/>
      </c>
      <c r="BJ101" s="1">
        <f t="shared" si="114"/>
        <v>3</v>
      </c>
      <c r="BM101" s="1">
        <f t="shared" si="115"/>
        <v>3.2668749999999989</v>
      </c>
      <c r="BN101" s="1">
        <f>IF(A101="","",IF(BM101="","",RANK(BM101,$BM$3:$BM251,1)))</f>
        <v>135</v>
      </c>
      <c r="BO101" s="1">
        <f t="shared" si="116"/>
        <v>3</v>
      </c>
      <c r="BR101" s="1">
        <f t="shared" si="117"/>
        <v>3</v>
      </c>
      <c r="BS101" s="1" t="str">
        <f t="shared" si="118"/>
        <v>ディアボレット　　　　　　　　　　　</v>
      </c>
      <c r="CD101" s="1" t="str">
        <f t="shared" si="119"/>
        <v/>
      </c>
      <c r="CE101" s="1" t="str">
        <f>IF(A101="","",IF(CD101="","",RANK(CD101,$CD$3:$CD251,1)))</f>
        <v/>
      </c>
      <c r="CF101" s="1">
        <f t="shared" si="120"/>
        <v>3</v>
      </c>
      <c r="CI101" s="1" t="str">
        <f t="shared" si="121"/>
        <v/>
      </c>
      <c r="CJ101" s="1" t="str">
        <f>IF(A101="","",IF(CI101="","",RANK(CI101,$CI$3:$CI251,1)))</f>
        <v/>
      </c>
      <c r="CK101" s="1">
        <f t="shared" si="122"/>
        <v>3</v>
      </c>
      <c r="CN101" s="1" t="str">
        <f t="shared" si="123"/>
        <v/>
      </c>
      <c r="CO101" s="1" t="str">
        <f>IF(A101="","",IF(CN101="","",RANK(CN101,$CN$3:$CN251,1)))</f>
        <v/>
      </c>
      <c r="CP101" s="1">
        <f t="shared" si="124"/>
        <v>3</v>
      </c>
      <c r="CS101" s="1" t="str">
        <f t="shared" si="125"/>
        <v/>
      </c>
      <c r="CT101" s="1" t="str">
        <f>IF(A101="","",IF(CS101="","",RANK(CS101,$CS$3:$CS251,1)))</f>
        <v/>
      </c>
      <c r="CU101" s="1">
        <f t="shared" si="126"/>
        <v>3</v>
      </c>
      <c r="CX101" s="1" t="str">
        <f t="shared" si="127"/>
        <v/>
      </c>
      <c r="CY101" s="1" t="str">
        <f>IF(CX101="","",IF(A101="","",RANK(CX101,$CX$3:$CX251,1)))</f>
        <v/>
      </c>
      <c r="CZ101" s="1">
        <f t="shared" si="128"/>
        <v>3</v>
      </c>
      <c r="DC101" s="1" t="str">
        <f t="shared" si="129"/>
        <v/>
      </c>
      <c r="DD101" s="1" t="str">
        <f>IF(DC101="","",IF(A101="","",RANK(DC101,$DC$3:$DC251,1)))</f>
        <v/>
      </c>
      <c r="DE101" s="1">
        <f t="shared" si="130"/>
        <v>3</v>
      </c>
      <c r="DH101" s="1" t="str">
        <f t="shared" si="131"/>
        <v/>
      </c>
      <c r="DI101" s="1" t="str">
        <f>IF(DH101="","",IF(A101="","",RANK(DH101,$DH$3:$DH251,1)))</f>
        <v/>
      </c>
      <c r="DJ101" s="1">
        <f t="shared" si="132"/>
        <v>3</v>
      </c>
      <c r="DM101" s="1" t="str">
        <f t="shared" si="133"/>
        <v/>
      </c>
      <c r="DN101" s="1" t="str">
        <f>IF(DM101="","",IF(A101="","",RANK(DM101,$DM$3:$DM251,1)))</f>
        <v/>
      </c>
      <c r="DO101" s="1">
        <f t="shared" si="134"/>
        <v>3</v>
      </c>
      <c r="DR101" s="1">
        <f t="shared" si="135"/>
        <v>17.300990000000002</v>
      </c>
      <c r="DS101" s="1">
        <f>IF(DR101="","",IF(A101="","",RANK(DR101,$DR$3:$DR251,1)))</f>
        <v>128</v>
      </c>
      <c r="DT101" s="1">
        <f t="shared" si="136"/>
        <v>3</v>
      </c>
      <c r="DW101" s="1">
        <f t="shared" si="137"/>
        <v>13.300990000000001</v>
      </c>
      <c r="DX101" s="1">
        <f>IF(DW101="","",IF(A101="","",RANK(DW101,$DW$3:$DW251,1)))</f>
        <v>27</v>
      </c>
      <c r="DY101" s="1">
        <f t="shared" si="138"/>
        <v>3</v>
      </c>
      <c r="EB101" s="1">
        <f t="shared" si="139"/>
        <v>13.00099</v>
      </c>
      <c r="EC101" s="1">
        <f>IF(EB101="","",IF(A101="","",RANK(EB101,$EB$3:$EB251,1)))</f>
        <v>83</v>
      </c>
      <c r="ED101" s="1">
        <f t="shared" si="140"/>
        <v>3</v>
      </c>
      <c r="EG101" s="1">
        <f t="shared" si="141"/>
        <v>13.100989999999999</v>
      </c>
      <c r="EH101" s="1">
        <f>IF(EG101="","",IF(A101="","",RANK(EG101,$EG$3:$EG251,1)))</f>
        <v>99</v>
      </c>
      <c r="EI101" s="1">
        <f t="shared" si="142"/>
        <v>3</v>
      </c>
    </row>
    <row r="102" spans="1:139" ht="18.75">
      <c r="A102" s="1" t="s">
        <v>88</v>
      </c>
      <c r="B102" s="1">
        <v>20190303</v>
      </c>
      <c r="C102" s="1" t="s">
        <v>92</v>
      </c>
      <c r="D102" s="1">
        <v>3</v>
      </c>
      <c r="E102" s="30">
        <v>56.7</v>
      </c>
      <c r="F102" s="30">
        <v>39.4</v>
      </c>
      <c r="G102" s="30">
        <v>26.1</v>
      </c>
      <c r="H102" s="30">
        <v>13.1</v>
      </c>
      <c r="I102" s="30">
        <v>17.3</v>
      </c>
      <c r="J102" s="30">
        <v>13.3</v>
      </c>
      <c r="K102" s="30">
        <v>13</v>
      </c>
      <c r="L102" s="30">
        <v>13.1</v>
      </c>
      <c r="M102" s="1" t="str">
        <f t="shared" si="85"/>
        <v>2019/03/03</v>
      </c>
      <c r="N102" s="4" t="str">
        <f t="shared" si="86"/>
        <v/>
      </c>
      <c r="O102">
        <v>1.000000000000002E-3</v>
      </c>
      <c r="P102" s="1" t="str">
        <f t="shared" si="87"/>
        <v/>
      </c>
      <c r="Q102" s="1" t="str">
        <f t="shared" si="88"/>
        <v/>
      </c>
      <c r="R102" s="1">
        <f t="shared" si="89"/>
        <v>3</v>
      </c>
      <c r="U102" s="1">
        <f t="shared" si="90"/>
        <v>56.701000000000001</v>
      </c>
      <c r="V102" s="1">
        <f t="shared" si="91"/>
        <v>100</v>
      </c>
      <c r="W102" s="1">
        <f t="shared" si="92"/>
        <v>3</v>
      </c>
      <c r="Z102" s="1" t="str">
        <f t="shared" si="93"/>
        <v/>
      </c>
      <c r="AA102" s="1" t="str">
        <f t="shared" si="94"/>
        <v/>
      </c>
      <c r="AB102" s="1">
        <f t="shared" si="95"/>
        <v>3</v>
      </c>
      <c r="AE102" s="1">
        <f t="shared" si="96"/>
        <v>39.400999999999996</v>
      </c>
      <c r="AF102" s="1">
        <f t="shared" si="97"/>
        <v>71</v>
      </c>
      <c r="AG102" s="1">
        <f t="shared" si="98"/>
        <v>3</v>
      </c>
      <c r="AJ102" s="1" t="str">
        <f t="shared" si="99"/>
        <v/>
      </c>
      <c r="AK102" s="1" t="str">
        <f t="shared" si="100"/>
        <v/>
      </c>
      <c r="AL102" s="1">
        <f t="shared" si="101"/>
        <v>3</v>
      </c>
      <c r="AO102" s="1">
        <f t="shared" si="102"/>
        <v>26.101000000000003</v>
      </c>
      <c r="AP102" s="1">
        <f t="shared" si="103"/>
        <v>95</v>
      </c>
      <c r="AQ102" s="1">
        <f t="shared" si="104"/>
        <v>3</v>
      </c>
      <c r="AT102" s="1">
        <f t="shared" si="105"/>
        <v>4</v>
      </c>
      <c r="AU102" s="1">
        <f t="shared" si="106"/>
        <v>0.30000000000000071</v>
      </c>
      <c r="AV102" s="1">
        <f t="shared" si="107"/>
        <v>-9.9999999999999645E-2</v>
      </c>
      <c r="AW102" s="1">
        <f t="shared" si="108"/>
        <v>4.2000000000000011</v>
      </c>
      <c r="AX102" s="1">
        <f t="shared" si="109"/>
        <v>0</v>
      </c>
      <c r="BC102" s="1">
        <f t="shared" si="110"/>
        <v>4.301000000000001</v>
      </c>
      <c r="BD102" s="1">
        <f t="shared" si="111"/>
        <v>15</v>
      </c>
      <c r="BE102" s="1">
        <f t="shared" si="112"/>
        <v>3</v>
      </c>
      <c r="BH102" s="1" t="str">
        <f t="shared" si="113"/>
        <v/>
      </c>
      <c r="BI102" s="1" t="str">
        <f>IF(A102="","",IF(BH102="","",RANK(BH102,$BH$3:$BH252,1)))</f>
        <v/>
      </c>
      <c r="BJ102" s="1">
        <f t="shared" si="114"/>
        <v>3</v>
      </c>
      <c r="BM102" s="1">
        <f t="shared" si="115"/>
        <v>3.2668749999999989</v>
      </c>
      <c r="BN102" s="1">
        <f>IF(A102="","",IF(BM102="","",RANK(BM102,$BM$3:$BM252,1)))</f>
        <v>135</v>
      </c>
      <c r="BO102" s="1">
        <f t="shared" si="116"/>
        <v>3</v>
      </c>
      <c r="BR102" s="1">
        <f t="shared" si="117"/>
        <v>3</v>
      </c>
      <c r="BS102" s="1" t="str">
        <f t="shared" si="118"/>
        <v>ディアボレット　　　　　　　　　　　</v>
      </c>
      <c r="CD102" s="1" t="str">
        <f t="shared" si="119"/>
        <v/>
      </c>
      <c r="CE102" s="1" t="str">
        <f>IF(A102="","",IF(CD102="","",RANK(CD102,$CD$3:$CD252,1)))</f>
        <v/>
      </c>
      <c r="CF102" s="1">
        <f t="shared" si="120"/>
        <v>3</v>
      </c>
      <c r="CI102" s="1" t="str">
        <f t="shared" si="121"/>
        <v/>
      </c>
      <c r="CJ102" s="1" t="str">
        <f>IF(A102="","",IF(CI102="","",RANK(CI102,$CI$3:$CI252,1)))</f>
        <v/>
      </c>
      <c r="CK102" s="1">
        <f t="shared" si="122"/>
        <v>3</v>
      </c>
      <c r="CN102" s="1" t="str">
        <f t="shared" si="123"/>
        <v/>
      </c>
      <c r="CO102" s="1" t="str">
        <f>IF(A102="","",IF(CN102="","",RANK(CN102,$CN$3:$CN252,1)))</f>
        <v/>
      </c>
      <c r="CP102" s="1">
        <f t="shared" si="124"/>
        <v>3</v>
      </c>
      <c r="CS102" s="1" t="str">
        <f t="shared" si="125"/>
        <v/>
      </c>
      <c r="CT102" s="1" t="str">
        <f>IF(A102="","",IF(CS102="","",RANK(CS102,$CS$3:$CS252,1)))</f>
        <v/>
      </c>
      <c r="CU102" s="1">
        <f t="shared" si="126"/>
        <v>3</v>
      </c>
      <c r="CX102" s="1" t="str">
        <f t="shared" si="127"/>
        <v/>
      </c>
      <c r="CY102" s="1" t="str">
        <f>IF(CX102="","",IF(A102="","",RANK(CX102,$CX$3:$CX252,1)))</f>
        <v/>
      </c>
      <c r="CZ102" s="1">
        <f t="shared" si="128"/>
        <v>3</v>
      </c>
      <c r="DC102" s="1" t="str">
        <f t="shared" si="129"/>
        <v/>
      </c>
      <c r="DD102" s="1" t="str">
        <f>IF(DC102="","",IF(A102="","",RANK(DC102,$DC$3:$DC252,1)))</f>
        <v/>
      </c>
      <c r="DE102" s="1">
        <f t="shared" si="130"/>
        <v>3</v>
      </c>
      <c r="DH102" s="1" t="str">
        <f t="shared" si="131"/>
        <v/>
      </c>
      <c r="DI102" s="1" t="str">
        <f>IF(DH102="","",IF(A102="","",RANK(DH102,$DH$3:$DH252,1)))</f>
        <v/>
      </c>
      <c r="DJ102" s="1">
        <f t="shared" si="132"/>
        <v>3</v>
      </c>
      <c r="DM102" s="1" t="str">
        <f t="shared" si="133"/>
        <v/>
      </c>
      <c r="DN102" s="1" t="str">
        <f>IF(DM102="","",IF(A102="","",RANK(DM102,$DM$3:$DM252,1)))</f>
        <v/>
      </c>
      <c r="DO102" s="1">
        <f t="shared" si="134"/>
        <v>3</v>
      </c>
      <c r="DR102" s="1">
        <f t="shared" si="135"/>
        <v>17.301000000000002</v>
      </c>
      <c r="DS102" s="1">
        <f>IF(DR102="","",IF(A102="","",RANK(DR102,$DR$3:$DR252,1)))</f>
        <v>129</v>
      </c>
      <c r="DT102" s="1">
        <f t="shared" si="136"/>
        <v>3</v>
      </c>
      <c r="DW102" s="1">
        <f t="shared" si="137"/>
        <v>13.301</v>
      </c>
      <c r="DX102" s="1">
        <f>IF(DW102="","",IF(A102="","",RANK(DW102,$DW$3:$DW252,1)))</f>
        <v>28</v>
      </c>
      <c r="DY102" s="1">
        <f t="shared" si="138"/>
        <v>3</v>
      </c>
      <c r="EB102" s="1">
        <f t="shared" si="139"/>
        <v>13.000999999999999</v>
      </c>
      <c r="EC102" s="1">
        <f>IF(EB102="","",IF(A102="","",RANK(EB102,$EB$3:$EB252,1)))</f>
        <v>84</v>
      </c>
      <c r="ED102" s="1">
        <f t="shared" si="140"/>
        <v>3</v>
      </c>
      <c r="EG102" s="1">
        <f t="shared" si="141"/>
        <v>13.100999999999999</v>
      </c>
      <c r="EH102" s="1">
        <f>IF(EG102="","",IF(A102="","",RANK(EG102,$EG$3:$EG252,1)))</f>
        <v>100</v>
      </c>
      <c r="EI102" s="1">
        <f t="shared" si="142"/>
        <v>3</v>
      </c>
    </row>
    <row r="103" spans="1:139" ht="18.75">
      <c r="A103" s="1" t="s">
        <v>88</v>
      </c>
      <c r="B103" s="1">
        <v>20190306</v>
      </c>
      <c r="C103" s="1" t="s">
        <v>92</v>
      </c>
      <c r="D103" s="1">
        <v>3</v>
      </c>
      <c r="E103" s="30">
        <v>52.8</v>
      </c>
      <c r="F103" s="30">
        <v>38.5</v>
      </c>
      <c r="G103" s="30">
        <v>25.5</v>
      </c>
      <c r="H103" s="30">
        <v>13.1</v>
      </c>
      <c r="I103" s="30">
        <v>14.3</v>
      </c>
      <c r="J103" s="30">
        <v>13</v>
      </c>
      <c r="K103" s="30">
        <v>12.4</v>
      </c>
      <c r="L103" s="30">
        <v>13.1</v>
      </c>
      <c r="M103" s="1" t="str">
        <f t="shared" si="85"/>
        <v>2019/03/06</v>
      </c>
      <c r="N103" s="4" t="str">
        <f t="shared" si="86"/>
        <v/>
      </c>
      <c r="O103">
        <v>1.010000000000002E-3</v>
      </c>
      <c r="P103" s="1" t="str">
        <f t="shared" si="87"/>
        <v/>
      </c>
      <c r="Q103" s="1" t="str">
        <f t="shared" si="88"/>
        <v/>
      </c>
      <c r="R103" s="1">
        <f t="shared" si="89"/>
        <v>3</v>
      </c>
      <c r="U103" s="1">
        <f t="shared" si="90"/>
        <v>52.801009999999998</v>
      </c>
      <c r="V103" s="1">
        <f t="shared" si="91"/>
        <v>21</v>
      </c>
      <c r="W103" s="1">
        <f t="shared" si="92"/>
        <v>3</v>
      </c>
      <c r="Z103" s="1" t="str">
        <f t="shared" si="93"/>
        <v/>
      </c>
      <c r="AA103" s="1" t="str">
        <f t="shared" si="94"/>
        <v/>
      </c>
      <c r="AB103" s="1">
        <f t="shared" si="95"/>
        <v>3</v>
      </c>
      <c r="AE103" s="1">
        <f t="shared" si="96"/>
        <v>38.501010000000001</v>
      </c>
      <c r="AF103" s="1">
        <f t="shared" si="97"/>
        <v>42</v>
      </c>
      <c r="AG103" s="1">
        <f t="shared" si="98"/>
        <v>3</v>
      </c>
      <c r="AJ103" s="1" t="str">
        <f t="shared" si="99"/>
        <v/>
      </c>
      <c r="AK103" s="1" t="str">
        <f t="shared" si="100"/>
        <v/>
      </c>
      <c r="AL103" s="1">
        <f t="shared" si="101"/>
        <v>3</v>
      </c>
      <c r="AO103" s="1">
        <f t="shared" si="102"/>
        <v>25.501010000000001</v>
      </c>
      <c r="AP103" s="1">
        <f t="shared" si="103"/>
        <v>72</v>
      </c>
      <c r="AQ103" s="1">
        <f t="shared" si="104"/>
        <v>3</v>
      </c>
      <c r="AT103" s="1">
        <f t="shared" si="105"/>
        <v>1.3000000000000007</v>
      </c>
      <c r="AU103" s="1">
        <f t="shared" si="106"/>
        <v>0.59999999999999964</v>
      </c>
      <c r="AV103" s="1">
        <f t="shared" si="107"/>
        <v>-0.69999999999999929</v>
      </c>
      <c r="AW103" s="1">
        <f t="shared" si="108"/>
        <v>1.2000000000000011</v>
      </c>
      <c r="AX103" s="1">
        <f t="shared" si="109"/>
        <v>0</v>
      </c>
      <c r="BC103" s="1">
        <f t="shared" si="110"/>
        <v>1.9010100000000003</v>
      </c>
      <c r="BD103" s="1">
        <f t="shared" si="111"/>
        <v>110</v>
      </c>
      <c r="BE103" s="1">
        <f t="shared" si="112"/>
        <v>3</v>
      </c>
      <c r="BH103" s="1" t="str">
        <f t="shared" si="113"/>
        <v/>
      </c>
      <c r="BI103" s="1" t="str">
        <f>IF(A103="","",IF(BH103="","",RANK(BH103,$BH$3:$BH253,1)))</f>
        <v/>
      </c>
      <c r="BJ103" s="1">
        <f t="shared" si="114"/>
        <v>3</v>
      </c>
      <c r="BM103" s="1">
        <f t="shared" si="115"/>
        <v>0.47500000000000031</v>
      </c>
      <c r="BN103" s="1">
        <f>IF(A103="","",IF(BM103="","",RANK(BM103,$BM$3:$BM253,1)))</f>
        <v>20</v>
      </c>
      <c r="BO103" s="1">
        <f t="shared" si="116"/>
        <v>3</v>
      </c>
      <c r="BR103" s="1">
        <f t="shared" si="117"/>
        <v>3</v>
      </c>
      <c r="BS103" s="1" t="str">
        <f t="shared" si="118"/>
        <v>ディアボレット　　　　　　　　　　　</v>
      </c>
      <c r="CD103" s="1" t="str">
        <f t="shared" si="119"/>
        <v/>
      </c>
      <c r="CE103" s="1" t="str">
        <f>IF(A103="","",IF(CD103="","",RANK(CD103,$CD$3:$CD253,1)))</f>
        <v/>
      </c>
      <c r="CF103" s="1">
        <f t="shared" si="120"/>
        <v>3</v>
      </c>
      <c r="CI103" s="1" t="str">
        <f t="shared" si="121"/>
        <v/>
      </c>
      <c r="CJ103" s="1" t="str">
        <f>IF(A103="","",IF(CI103="","",RANK(CI103,$CI$3:$CI253,1)))</f>
        <v/>
      </c>
      <c r="CK103" s="1">
        <f t="shared" si="122"/>
        <v>3</v>
      </c>
      <c r="CN103" s="1" t="str">
        <f t="shared" si="123"/>
        <v/>
      </c>
      <c r="CO103" s="1" t="str">
        <f>IF(A103="","",IF(CN103="","",RANK(CN103,$CN$3:$CN253,1)))</f>
        <v/>
      </c>
      <c r="CP103" s="1">
        <f t="shared" si="124"/>
        <v>3</v>
      </c>
      <c r="CS103" s="1" t="str">
        <f t="shared" si="125"/>
        <v/>
      </c>
      <c r="CT103" s="1" t="str">
        <f>IF(A103="","",IF(CS103="","",RANK(CS103,$CS$3:$CS253,1)))</f>
        <v/>
      </c>
      <c r="CU103" s="1">
        <f t="shared" si="126"/>
        <v>3</v>
      </c>
      <c r="CX103" s="1" t="str">
        <f t="shared" si="127"/>
        <v/>
      </c>
      <c r="CY103" s="1" t="str">
        <f>IF(CX103="","",IF(A103="","",RANK(CX103,$CX$3:$CX253,1)))</f>
        <v/>
      </c>
      <c r="CZ103" s="1">
        <f t="shared" si="128"/>
        <v>3</v>
      </c>
      <c r="DC103" s="1" t="str">
        <f t="shared" si="129"/>
        <v/>
      </c>
      <c r="DD103" s="1" t="str">
        <f>IF(DC103="","",IF(A103="","",RANK(DC103,$DC$3:$DC253,1)))</f>
        <v/>
      </c>
      <c r="DE103" s="1">
        <f t="shared" si="130"/>
        <v>3</v>
      </c>
      <c r="DH103" s="1" t="str">
        <f t="shared" si="131"/>
        <v/>
      </c>
      <c r="DI103" s="1" t="str">
        <f>IF(DH103="","",IF(A103="","",RANK(DH103,$DH$3:$DH253,1)))</f>
        <v/>
      </c>
      <c r="DJ103" s="1">
        <f t="shared" si="132"/>
        <v>3</v>
      </c>
      <c r="DM103" s="1" t="str">
        <f t="shared" si="133"/>
        <v/>
      </c>
      <c r="DN103" s="1" t="str">
        <f>IF(DM103="","",IF(A103="","",RANK(DM103,$DM$3:$DM253,1)))</f>
        <v/>
      </c>
      <c r="DO103" s="1">
        <f t="shared" si="134"/>
        <v>3</v>
      </c>
      <c r="DR103" s="1">
        <f t="shared" si="135"/>
        <v>14.301010000000002</v>
      </c>
      <c r="DS103" s="1">
        <f>IF(DR103="","",IF(A103="","",RANK(DR103,$DR$3:$DR253,1)))</f>
        <v>18</v>
      </c>
      <c r="DT103" s="1">
        <f t="shared" si="136"/>
        <v>3</v>
      </c>
      <c r="DW103" s="1">
        <f t="shared" si="137"/>
        <v>13.001010000000001</v>
      </c>
      <c r="DX103" s="1">
        <f>IF(DW103="","",IF(A103="","",RANK(DW103,$DW$3:$DW253,1)))</f>
        <v>14</v>
      </c>
      <c r="DY103" s="1">
        <f t="shared" si="138"/>
        <v>3</v>
      </c>
      <c r="EB103" s="1">
        <f t="shared" si="139"/>
        <v>12.401010000000001</v>
      </c>
      <c r="EC103" s="1">
        <f>IF(EB103="","",IF(A103="","",RANK(EB103,$EB$3:$EB253,1)))</f>
        <v>43</v>
      </c>
      <c r="ED103" s="1">
        <f t="shared" si="140"/>
        <v>3</v>
      </c>
      <c r="EG103" s="1">
        <f t="shared" si="141"/>
        <v>13.10101</v>
      </c>
      <c r="EH103" s="1">
        <f>IF(EG103="","",IF(A103="","",RANK(EG103,$EG$3:$EG253,1)))</f>
        <v>101</v>
      </c>
      <c r="EI103" s="1">
        <f t="shared" si="142"/>
        <v>3</v>
      </c>
    </row>
    <row r="104" spans="1:139" ht="18.75">
      <c r="A104" s="1" t="s">
        <v>88</v>
      </c>
      <c r="B104" s="1">
        <v>20190421</v>
      </c>
      <c r="C104" s="1" t="s">
        <v>91</v>
      </c>
      <c r="D104" s="1">
        <v>2</v>
      </c>
      <c r="E104" s="30">
        <v>56.6</v>
      </c>
      <c r="F104" s="30">
        <v>39.9</v>
      </c>
      <c r="G104" s="30">
        <v>26</v>
      </c>
      <c r="H104" s="30">
        <v>13.1</v>
      </c>
      <c r="I104" s="30">
        <v>16.7</v>
      </c>
      <c r="J104" s="30">
        <v>13.9</v>
      </c>
      <c r="K104" s="30">
        <v>12.9</v>
      </c>
      <c r="L104" s="30">
        <v>13.1</v>
      </c>
      <c r="M104" s="1" t="str">
        <f t="shared" si="85"/>
        <v>2019/04/21</v>
      </c>
      <c r="N104" s="4" t="str">
        <f t="shared" si="86"/>
        <v/>
      </c>
      <c r="O104">
        <v>1.020000000000002E-3</v>
      </c>
      <c r="P104" s="1" t="str">
        <f t="shared" si="87"/>
        <v/>
      </c>
      <c r="Q104" s="1" t="str">
        <f t="shared" si="88"/>
        <v/>
      </c>
      <c r="R104" s="1">
        <f t="shared" si="89"/>
        <v>2</v>
      </c>
      <c r="U104" s="1">
        <f t="shared" si="90"/>
        <v>56.601019999999998</v>
      </c>
      <c r="V104" s="1">
        <f t="shared" si="91"/>
        <v>97</v>
      </c>
      <c r="W104" s="1">
        <f t="shared" si="92"/>
        <v>2</v>
      </c>
      <c r="Z104" s="1" t="str">
        <f t="shared" si="93"/>
        <v/>
      </c>
      <c r="AA104" s="1" t="str">
        <f t="shared" si="94"/>
        <v/>
      </c>
      <c r="AB104" s="1">
        <f t="shared" si="95"/>
        <v>2</v>
      </c>
      <c r="AE104" s="1">
        <f t="shared" si="96"/>
        <v>39.901019999999995</v>
      </c>
      <c r="AF104" s="1">
        <f t="shared" si="97"/>
        <v>79</v>
      </c>
      <c r="AG104" s="1">
        <f t="shared" si="98"/>
        <v>2</v>
      </c>
      <c r="AJ104" s="1" t="str">
        <f t="shared" si="99"/>
        <v/>
      </c>
      <c r="AK104" s="1" t="str">
        <f t="shared" si="100"/>
        <v/>
      </c>
      <c r="AL104" s="1">
        <f t="shared" si="101"/>
        <v>2</v>
      </c>
      <c r="AO104" s="1">
        <f t="shared" si="102"/>
        <v>26.00102</v>
      </c>
      <c r="AP104" s="1">
        <f t="shared" si="103"/>
        <v>89</v>
      </c>
      <c r="AQ104" s="1">
        <f t="shared" si="104"/>
        <v>2</v>
      </c>
      <c r="AT104" s="1">
        <f t="shared" si="105"/>
        <v>2.7999999999999989</v>
      </c>
      <c r="AU104" s="1">
        <f t="shared" si="106"/>
        <v>1</v>
      </c>
      <c r="AV104" s="1">
        <f t="shared" si="107"/>
        <v>-0.19999999999999929</v>
      </c>
      <c r="AW104" s="1">
        <f t="shared" si="108"/>
        <v>3.5999999999999996</v>
      </c>
      <c r="AX104" s="1">
        <f t="shared" si="109"/>
        <v>0</v>
      </c>
      <c r="BC104" s="1">
        <f t="shared" si="110"/>
        <v>3.801019999999999</v>
      </c>
      <c r="BD104" s="1">
        <f t="shared" si="111"/>
        <v>26</v>
      </c>
      <c r="BE104" s="1">
        <f t="shared" si="112"/>
        <v>2</v>
      </c>
      <c r="BH104" s="1" t="str">
        <f t="shared" si="113"/>
        <v/>
      </c>
      <c r="BI104" s="1" t="str">
        <f>IF(A104="","",IF(BH104="","",RANK(BH104,$BH$3:$BH254,1)))</f>
        <v/>
      </c>
      <c r="BJ104" s="1">
        <f t="shared" si="114"/>
        <v>2</v>
      </c>
      <c r="BM104" s="1">
        <f t="shared" si="115"/>
        <v>2.3075000000000045</v>
      </c>
      <c r="BN104" s="1">
        <f>IF(A104="","",IF(BM104="","",RANK(BM104,$BM$3:$BM254,1)))</f>
        <v>117</v>
      </c>
      <c r="BO104" s="1">
        <f t="shared" si="116"/>
        <v>2</v>
      </c>
      <c r="BR104" s="1">
        <f t="shared" si="117"/>
        <v>2</v>
      </c>
      <c r="BS104" s="1" t="str">
        <f t="shared" si="118"/>
        <v>フェルトベルク　　　　　　　　　　　</v>
      </c>
      <c r="CD104" s="1" t="str">
        <f t="shared" si="119"/>
        <v/>
      </c>
      <c r="CE104" s="1" t="str">
        <f>IF(A104="","",IF(CD104="","",RANK(CD104,$CD$3:$CD254,1)))</f>
        <v/>
      </c>
      <c r="CF104" s="1">
        <f t="shared" si="120"/>
        <v>2</v>
      </c>
      <c r="CI104" s="1" t="str">
        <f t="shared" si="121"/>
        <v/>
      </c>
      <c r="CJ104" s="1" t="str">
        <f>IF(A104="","",IF(CI104="","",RANK(CI104,$CI$3:$CI254,1)))</f>
        <v/>
      </c>
      <c r="CK104" s="1">
        <f t="shared" si="122"/>
        <v>2</v>
      </c>
      <c r="CN104" s="1" t="str">
        <f t="shared" si="123"/>
        <v/>
      </c>
      <c r="CO104" s="1" t="str">
        <f>IF(A104="","",IF(CN104="","",RANK(CN104,$CN$3:$CN254,1)))</f>
        <v/>
      </c>
      <c r="CP104" s="1">
        <f t="shared" si="124"/>
        <v>2</v>
      </c>
      <c r="CS104" s="1" t="str">
        <f t="shared" si="125"/>
        <v/>
      </c>
      <c r="CT104" s="1" t="str">
        <f>IF(A104="","",IF(CS104="","",RANK(CS104,$CS$3:$CS254,1)))</f>
        <v/>
      </c>
      <c r="CU104" s="1">
        <f t="shared" si="126"/>
        <v>2</v>
      </c>
      <c r="CX104" s="1" t="str">
        <f t="shared" si="127"/>
        <v/>
      </c>
      <c r="CY104" s="1" t="str">
        <f>IF(CX104="","",IF(A104="","",RANK(CX104,$CX$3:$CX254,1)))</f>
        <v/>
      </c>
      <c r="CZ104" s="1">
        <f t="shared" si="128"/>
        <v>2</v>
      </c>
      <c r="DC104" s="1" t="str">
        <f t="shared" si="129"/>
        <v/>
      </c>
      <c r="DD104" s="1" t="str">
        <f>IF(DC104="","",IF(A104="","",RANK(DC104,$DC$3:$DC254,1)))</f>
        <v/>
      </c>
      <c r="DE104" s="1">
        <f t="shared" si="130"/>
        <v>2</v>
      </c>
      <c r="DH104" s="1" t="str">
        <f t="shared" si="131"/>
        <v/>
      </c>
      <c r="DI104" s="1" t="str">
        <f>IF(DH104="","",IF(A104="","",RANK(DH104,$DH$3:$DH254,1)))</f>
        <v/>
      </c>
      <c r="DJ104" s="1">
        <f t="shared" si="132"/>
        <v>2</v>
      </c>
      <c r="DM104" s="1" t="str">
        <f t="shared" si="133"/>
        <v/>
      </c>
      <c r="DN104" s="1" t="str">
        <f>IF(DM104="","",IF(A104="","",RANK(DM104,$DM$3:$DM254,1)))</f>
        <v/>
      </c>
      <c r="DO104" s="1">
        <f t="shared" si="134"/>
        <v>2</v>
      </c>
      <c r="DR104" s="1">
        <f t="shared" si="135"/>
        <v>16.70102</v>
      </c>
      <c r="DS104" s="1">
        <f>IF(DR104="","",IF(A104="","",RANK(DR104,$DR$3:$DR254,1)))</f>
        <v>121</v>
      </c>
      <c r="DT104" s="1">
        <f t="shared" si="136"/>
        <v>2</v>
      </c>
      <c r="DW104" s="1">
        <f t="shared" si="137"/>
        <v>13.901020000000001</v>
      </c>
      <c r="DX104" s="1">
        <f>IF(DW104="","",IF(A104="","",RANK(DW104,$DW$3:$DW254,1)))</f>
        <v>75</v>
      </c>
      <c r="DY104" s="1">
        <f t="shared" si="138"/>
        <v>2</v>
      </c>
      <c r="EB104" s="1">
        <f t="shared" si="139"/>
        <v>12.901020000000001</v>
      </c>
      <c r="EC104" s="1">
        <f>IF(EB104="","",IF(A104="","",RANK(EB104,$EB$3:$EB254,1)))</f>
        <v>78</v>
      </c>
      <c r="ED104" s="1">
        <f t="shared" si="140"/>
        <v>2</v>
      </c>
      <c r="EG104" s="1">
        <f t="shared" si="141"/>
        <v>13.10102</v>
      </c>
      <c r="EH104" s="1">
        <f>IF(EG104="","",IF(A104="","",RANK(EG104,$EG$3:$EG254,1)))</f>
        <v>102</v>
      </c>
      <c r="EI104" s="1">
        <f t="shared" si="142"/>
        <v>2</v>
      </c>
    </row>
    <row r="105" spans="1:139" ht="18.75">
      <c r="A105" s="1" t="s">
        <v>88</v>
      </c>
      <c r="B105" s="1">
        <v>20190502</v>
      </c>
      <c r="C105" s="1" t="s">
        <v>92</v>
      </c>
      <c r="D105" s="1">
        <v>3</v>
      </c>
      <c r="E105" s="30">
        <v>55.1</v>
      </c>
      <c r="F105" s="30">
        <v>39.6</v>
      </c>
      <c r="G105" s="30">
        <v>26</v>
      </c>
      <c r="H105" s="30">
        <v>13.1</v>
      </c>
      <c r="I105" s="30">
        <v>15.5</v>
      </c>
      <c r="J105" s="30">
        <v>13.6</v>
      </c>
      <c r="K105" s="30">
        <v>12.9</v>
      </c>
      <c r="L105" s="30">
        <v>13.1</v>
      </c>
      <c r="M105" s="1" t="str">
        <f t="shared" si="85"/>
        <v>2019/05/02</v>
      </c>
      <c r="N105" s="4" t="str">
        <f t="shared" si="86"/>
        <v/>
      </c>
      <c r="O105">
        <v>1.0300000000000021E-3</v>
      </c>
      <c r="P105" s="1" t="str">
        <f t="shared" si="87"/>
        <v/>
      </c>
      <c r="Q105" s="1" t="str">
        <f t="shared" si="88"/>
        <v/>
      </c>
      <c r="R105" s="1">
        <f t="shared" si="89"/>
        <v>3</v>
      </c>
      <c r="U105" s="1">
        <f t="shared" si="90"/>
        <v>55.101030000000002</v>
      </c>
      <c r="V105" s="1">
        <f t="shared" si="91"/>
        <v>76</v>
      </c>
      <c r="W105" s="1">
        <f t="shared" si="92"/>
        <v>3</v>
      </c>
      <c r="Z105" s="1" t="str">
        <f t="shared" si="93"/>
        <v/>
      </c>
      <c r="AA105" s="1" t="str">
        <f t="shared" si="94"/>
        <v/>
      </c>
      <c r="AB105" s="1">
        <f t="shared" si="95"/>
        <v>3</v>
      </c>
      <c r="AE105" s="1">
        <f t="shared" si="96"/>
        <v>39.601030000000002</v>
      </c>
      <c r="AF105" s="1">
        <f t="shared" si="97"/>
        <v>75</v>
      </c>
      <c r="AG105" s="1">
        <f t="shared" si="98"/>
        <v>3</v>
      </c>
      <c r="AJ105" s="1" t="str">
        <f t="shared" si="99"/>
        <v/>
      </c>
      <c r="AK105" s="1" t="str">
        <f t="shared" si="100"/>
        <v/>
      </c>
      <c r="AL105" s="1">
        <f t="shared" si="101"/>
        <v>3</v>
      </c>
      <c r="AO105" s="1">
        <f t="shared" si="102"/>
        <v>26.00103</v>
      </c>
      <c r="AP105" s="1">
        <f t="shared" si="103"/>
        <v>90</v>
      </c>
      <c r="AQ105" s="1">
        <f t="shared" si="104"/>
        <v>3</v>
      </c>
      <c r="AT105" s="1">
        <f t="shared" si="105"/>
        <v>1.9000000000000004</v>
      </c>
      <c r="AU105" s="1">
        <f t="shared" si="106"/>
        <v>0.69999999999999929</v>
      </c>
      <c r="AV105" s="1">
        <f t="shared" si="107"/>
        <v>-0.19999999999999929</v>
      </c>
      <c r="AW105" s="1">
        <f t="shared" si="108"/>
        <v>2.4000000000000004</v>
      </c>
      <c r="AX105" s="1">
        <f t="shared" si="109"/>
        <v>0</v>
      </c>
      <c r="BC105" s="1">
        <f t="shared" si="110"/>
        <v>2.6010299999999997</v>
      </c>
      <c r="BD105" s="1">
        <f t="shared" si="111"/>
        <v>63</v>
      </c>
      <c r="BE105" s="1">
        <f t="shared" si="112"/>
        <v>3</v>
      </c>
      <c r="BH105" s="1" t="str">
        <f t="shared" si="113"/>
        <v/>
      </c>
      <c r="BI105" s="1" t="str">
        <f>IF(A105="","",IF(BH105="","",RANK(BH105,$BH$3:$BH255,1)))</f>
        <v/>
      </c>
      <c r="BJ105" s="1">
        <f t="shared" si="114"/>
        <v>3</v>
      </c>
      <c r="BM105" s="1">
        <f t="shared" si="115"/>
        <v>1.056875</v>
      </c>
      <c r="BN105" s="1">
        <f>IF(A105="","",IF(BM105="","",RANK(BM105,$BM$3:$BM255,1)))</f>
        <v>65</v>
      </c>
      <c r="BO105" s="1">
        <f t="shared" si="116"/>
        <v>3</v>
      </c>
      <c r="BR105" s="1">
        <f t="shared" si="117"/>
        <v>3</v>
      </c>
      <c r="BS105" s="1" t="str">
        <f t="shared" si="118"/>
        <v>ディアボレット　　　　　　　　　　　</v>
      </c>
      <c r="CD105" s="1" t="str">
        <f t="shared" si="119"/>
        <v/>
      </c>
      <c r="CE105" s="1" t="str">
        <f>IF(A105="","",IF(CD105="","",RANK(CD105,$CD$3:$CD255,1)))</f>
        <v/>
      </c>
      <c r="CF105" s="1">
        <f t="shared" si="120"/>
        <v>3</v>
      </c>
      <c r="CI105" s="1" t="str">
        <f t="shared" si="121"/>
        <v/>
      </c>
      <c r="CJ105" s="1" t="str">
        <f>IF(A105="","",IF(CI105="","",RANK(CI105,$CI$3:$CI255,1)))</f>
        <v/>
      </c>
      <c r="CK105" s="1">
        <f t="shared" si="122"/>
        <v>3</v>
      </c>
      <c r="CN105" s="1" t="str">
        <f t="shared" si="123"/>
        <v/>
      </c>
      <c r="CO105" s="1" t="str">
        <f>IF(A105="","",IF(CN105="","",RANK(CN105,$CN$3:$CN255,1)))</f>
        <v/>
      </c>
      <c r="CP105" s="1">
        <f t="shared" si="124"/>
        <v>3</v>
      </c>
      <c r="CS105" s="1" t="str">
        <f t="shared" si="125"/>
        <v/>
      </c>
      <c r="CT105" s="1" t="str">
        <f>IF(A105="","",IF(CS105="","",RANK(CS105,$CS$3:$CS255,1)))</f>
        <v/>
      </c>
      <c r="CU105" s="1">
        <f t="shared" si="126"/>
        <v>3</v>
      </c>
      <c r="CX105" s="1" t="str">
        <f t="shared" si="127"/>
        <v/>
      </c>
      <c r="CY105" s="1" t="str">
        <f>IF(CX105="","",IF(A105="","",RANK(CX105,$CX$3:$CX255,1)))</f>
        <v/>
      </c>
      <c r="CZ105" s="1">
        <f t="shared" si="128"/>
        <v>3</v>
      </c>
      <c r="DC105" s="1" t="str">
        <f t="shared" si="129"/>
        <v/>
      </c>
      <c r="DD105" s="1" t="str">
        <f>IF(DC105="","",IF(A105="","",RANK(DC105,$DC$3:$DC255,1)))</f>
        <v/>
      </c>
      <c r="DE105" s="1">
        <f t="shared" si="130"/>
        <v>3</v>
      </c>
      <c r="DH105" s="1" t="str">
        <f t="shared" si="131"/>
        <v/>
      </c>
      <c r="DI105" s="1" t="str">
        <f>IF(DH105="","",IF(A105="","",RANK(DH105,$DH$3:$DH255,1)))</f>
        <v/>
      </c>
      <c r="DJ105" s="1">
        <f t="shared" si="132"/>
        <v>3</v>
      </c>
      <c r="DM105" s="1" t="str">
        <f t="shared" si="133"/>
        <v/>
      </c>
      <c r="DN105" s="1" t="str">
        <f>IF(DM105="","",IF(A105="","",RANK(DM105,$DM$3:$DM255,1)))</f>
        <v/>
      </c>
      <c r="DO105" s="1">
        <f t="shared" si="134"/>
        <v>3</v>
      </c>
      <c r="DR105" s="1">
        <f t="shared" si="135"/>
        <v>15.50103</v>
      </c>
      <c r="DS105" s="1">
        <f>IF(DR105="","",IF(A105="","",RANK(DR105,$DR$3:$DR255,1)))</f>
        <v>73</v>
      </c>
      <c r="DT105" s="1">
        <f t="shared" si="136"/>
        <v>3</v>
      </c>
      <c r="DW105" s="1">
        <f t="shared" si="137"/>
        <v>13.60103</v>
      </c>
      <c r="DX105" s="1">
        <f>IF(DW105="","",IF(A105="","",RANK(DW105,$DW$3:$DW255,1)))</f>
        <v>50</v>
      </c>
      <c r="DY105" s="1">
        <f t="shared" si="138"/>
        <v>3</v>
      </c>
      <c r="EB105" s="1">
        <f t="shared" si="139"/>
        <v>12.90103</v>
      </c>
      <c r="EC105" s="1">
        <f>IF(EB105="","",IF(A105="","",RANK(EB105,$EB$3:$EB255,1)))</f>
        <v>79</v>
      </c>
      <c r="ED105" s="1">
        <f t="shared" si="140"/>
        <v>3</v>
      </c>
      <c r="EG105" s="1">
        <f t="shared" si="141"/>
        <v>13.10103</v>
      </c>
      <c r="EH105" s="1">
        <f>IF(EG105="","",IF(A105="","",RANK(EG105,$EG$3:$EG255,1)))</f>
        <v>103</v>
      </c>
      <c r="EI105" s="1">
        <f t="shared" si="142"/>
        <v>3</v>
      </c>
    </row>
    <row r="106" spans="1:139" ht="18.75">
      <c r="A106" s="1" t="s">
        <v>88</v>
      </c>
      <c r="B106" s="1">
        <v>20190602</v>
      </c>
      <c r="C106" s="1" t="s">
        <v>90</v>
      </c>
      <c r="D106" s="1">
        <v>1</v>
      </c>
      <c r="E106" s="30">
        <v>61.9</v>
      </c>
      <c r="F106" s="30">
        <v>42.9</v>
      </c>
      <c r="G106" s="30">
        <v>26.4</v>
      </c>
      <c r="H106" s="30">
        <v>13.1</v>
      </c>
      <c r="I106" s="30">
        <v>19</v>
      </c>
      <c r="J106" s="30">
        <v>16.5</v>
      </c>
      <c r="K106" s="30">
        <v>13.3</v>
      </c>
      <c r="L106" s="30">
        <v>13.1</v>
      </c>
      <c r="M106" s="1" t="str">
        <f t="shared" si="85"/>
        <v>2019/06/02</v>
      </c>
      <c r="N106" s="4" t="str">
        <f t="shared" si="86"/>
        <v/>
      </c>
      <c r="O106">
        <v>1.0400000000000021E-3</v>
      </c>
      <c r="P106" s="1" t="str">
        <f t="shared" si="87"/>
        <v/>
      </c>
      <c r="Q106" s="1" t="str">
        <f t="shared" si="88"/>
        <v/>
      </c>
      <c r="R106" s="1">
        <f t="shared" si="89"/>
        <v>1</v>
      </c>
      <c r="U106" s="1">
        <f t="shared" si="90"/>
        <v>61.901040000000002</v>
      </c>
      <c r="V106" s="1">
        <f t="shared" si="91"/>
        <v>138</v>
      </c>
      <c r="W106" s="1">
        <f t="shared" si="92"/>
        <v>1</v>
      </c>
      <c r="Z106" s="1" t="str">
        <f t="shared" si="93"/>
        <v/>
      </c>
      <c r="AA106" s="1" t="str">
        <f t="shared" si="94"/>
        <v/>
      </c>
      <c r="AB106" s="1">
        <f t="shared" si="95"/>
        <v>1</v>
      </c>
      <c r="AE106" s="1">
        <f t="shared" si="96"/>
        <v>42.901040000000002</v>
      </c>
      <c r="AF106" s="1">
        <f t="shared" si="97"/>
        <v>127</v>
      </c>
      <c r="AG106" s="1">
        <f t="shared" si="98"/>
        <v>1</v>
      </c>
      <c r="AJ106" s="1" t="str">
        <f t="shared" si="99"/>
        <v/>
      </c>
      <c r="AK106" s="1" t="str">
        <f t="shared" si="100"/>
        <v/>
      </c>
      <c r="AL106" s="1">
        <f t="shared" si="101"/>
        <v>1</v>
      </c>
      <c r="AO106" s="1">
        <f t="shared" si="102"/>
        <v>26.401039999999998</v>
      </c>
      <c r="AP106" s="1">
        <f t="shared" si="103"/>
        <v>104</v>
      </c>
      <c r="AQ106" s="1">
        <f t="shared" si="104"/>
        <v>1</v>
      </c>
      <c r="AT106" s="1">
        <f t="shared" si="105"/>
        <v>2.5</v>
      </c>
      <c r="AU106" s="1">
        <f t="shared" si="106"/>
        <v>3.1999999999999993</v>
      </c>
      <c r="AV106" s="1">
        <f t="shared" si="107"/>
        <v>0.20000000000000107</v>
      </c>
      <c r="AW106" s="1">
        <f t="shared" si="108"/>
        <v>5.9</v>
      </c>
      <c r="AX106" s="1">
        <f t="shared" si="109"/>
        <v>1.9677066666666667</v>
      </c>
      <c r="BC106" s="1">
        <f t="shared" si="110"/>
        <v>5.701039999999999</v>
      </c>
      <c r="BD106" s="1">
        <f t="shared" si="111"/>
        <v>6</v>
      </c>
      <c r="BE106" s="1">
        <f t="shared" si="112"/>
        <v>1</v>
      </c>
      <c r="BH106" s="1" t="str">
        <f t="shared" si="113"/>
        <v/>
      </c>
      <c r="BI106" s="1" t="str">
        <f>IF(A106="","",IF(BH106="","",RANK(BH106,$BH$3:$BH256,1)))</f>
        <v/>
      </c>
      <c r="BJ106" s="1">
        <f t="shared" si="114"/>
        <v>1</v>
      </c>
      <c r="BM106" s="1">
        <f t="shared" si="115"/>
        <v>5.9618750000000205</v>
      </c>
      <c r="BN106" s="1">
        <f>IF(A106="","",IF(BM106="","",RANK(BM106,$BM$3:$BM256,1)))</f>
        <v>147</v>
      </c>
      <c r="BO106" s="1">
        <f t="shared" si="116"/>
        <v>1</v>
      </c>
      <c r="BR106" s="1">
        <f t="shared" si="117"/>
        <v>1</v>
      </c>
      <c r="BS106" s="1" t="str">
        <f t="shared" si="118"/>
        <v>コウエイダリア　　　　　　　　　　　</v>
      </c>
      <c r="CD106" s="1" t="str">
        <f t="shared" si="119"/>
        <v/>
      </c>
      <c r="CE106" s="1" t="str">
        <f>IF(A106="","",IF(CD106="","",RANK(CD106,$CD$3:$CD256,1)))</f>
        <v/>
      </c>
      <c r="CF106" s="1">
        <f t="shared" si="120"/>
        <v>1</v>
      </c>
      <c r="CI106" s="1" t="str">
        <f t="shared" si="121"/>
        <v/>
      </c>
      <c r="CJ106" s="1" t="str">
        <f>IF(A106="","",IF(CI106="","",RANK(CI106,$CI$3:$CI256,1)))</f>
        <v/>
      </c>
      <c r="CK106" s="1">
        <f t="shared" si="122"/>
        <v>1</v>
      </c>
      <c r="CN106" s="1" t="str">
        <f t="shared" si="123"/>
        <v/>
      </c>
      <c r="CO106" s="1" t="str">
        <f>IF(A106="","",IF(CN106="","",RANK(CN106,$CN$3:$CN256,1)))</f>
        <v/>
      </c>
      <c r="CP106" s="1">
        <f t="shared" si="124"/>
        <v>1</v>
      </c>
      <c r="CS106" s="1" t="str">
        <f t="shared" si="125"/>
        <v/>
      </c>
      <c r="CT106" s="1" t="str">
        <f>IF(A106="","",IF(CS106="","",RANK(CS106,$CS$3:$CS256,1)))</f>
        <v/>
      </c>
      <c r="CU106" s="1">
        <f t="shared" si="126"/>
        <v>1</v>
      </c>
      <c r="CX106" s="1" t="str">
        <f t="shared" si="127"/>
        <v/>
      </c>
      <c r="CY106" s="1" t="str">
        <f>IF(CX106="","",IF(A106="","",RANK(CX106,$CX$3:$CX256,1)))</f>
        <v/>
      </c>
      <c r="CZ106" s="1">
        <f t="shared" si="128"/>
        <v>1</v>
      </c>
      <c r="DC106" s="1" t="str">
        <f t="shared" si="129"/>
        <v/>
      </c>
      <c r="DD106" s="1" t="str">
        <f>IF(DC106="","",IF(A106="","",RANK(DC106,$DC$3:$DC256,1)))</f>
        <v/>
      </c>
      <c r="DE106" s="1">
        <f t="shared" si="130"/>
        <v>1</v>
      </c>
      <c r="DH106" s="1" t="str">
        <f t="shared" si="131"/>
        <v/>
      </c>
      <c r="DI106" s="1" t="str">
        <f>IF(DH106="","",IF(A106="","",RANK(DH106,$DH$3:$DH256,1)))</f>
        <v/>
      </c>
      <c r="DJ106" s="1">
        <f t="shared" si="132"/>
        <v>1</v>
      </c>
      <c r="DM106" s="1" t="str">
        <f t="shared" si="133"/>
        <v/>
      </c>
      <c r="DN106" s="1" t="str">
        <f>IF(DM106="","",IF(A106="","",RANK(DM106,$DM$3:$DM256,1)))</f>
        <v/>
      </c>
      <c r="DO106" s="1">
        <f t="shared" si="134"/>
        <v>1</v>
      </c>
      <c r="DR106" s="1">
        <f t="shared" si="135"/>
        <v>19.00104</v>
      </c>
      <c r="DS106" s="1">
        <f>IF(DR106="","",IF(A106="","",RANK(DR106,$DR$3:$DR256,1)))</f>
        <v>147</v>
      </c>
      <c r="DT106" s="1">
        <f t="shared" si="136"/>
        <v>1</v>
      </c>
      <c r="DW106" s="1">
        <f t="shared" si="137"/>
        <v>16.50104</v>
      </c>
      <c r="DX106" s="1">
        <f>IF(DW106="","",IF(A106="","",RANK(DW106,$DW$3:$DW256,1)))</f>
        <v>141</v>
      </c>
      <c r="DY106" s="1">
        <f t="shared" si="138"/>
        <v>1</v>
      </c>
      <c r="EB106" s="1">
        <f t="shared" si="139"/>
        <v>13.30104</v>
      </c>
      <c r="EC106" s="1">
        <f>IF(EB106="","",IF(A106="","",RANK(EB106,$EB$3:$EB256,1)))</f>
        <v>97</v>
      </c>
      <c r="ED106" s="1">
        <f t="shared" si="140"/>
        <v>1</v>
      </c>
      <c r="EG106" s="1">
        <f t="shared" si="141"/>
        <v>13.101039999999999</v>
      </c>
      <c r="EH106" s="1">
        <f>IF(EG106="","",IF(A106="","",RANK(EG106,$EG$3:$EG256,1)))</f>
        <v>104</v>
      </c>
      <c r="EI106" s="1">
        <f t="shared" si="142"/>
        <v>1</v>
      </c>
    </row>
    <row r="107" spans="1:139" ht="18.75">
      <c r="A107" s="1" t="s">
        <v>88</v>
      </c>
      <c r="B107" s="1">
        <v>20190602</v>
      </c>
      <c r="C107" s="1" t="s">
        <v>90</v>
      </c>
      <c r="D107" s="1">
        <v>1</v>
      </c>
      <c r="E107" s="30">
        <v>61.9</v>
      </c>
      <c r="F107" s="30">
        <v>42.9</v>
      </c>
      <c r="G107" s="30">
        <v>26.4</v>
      </c>
      <c r="H107" s="30">
        <v>13.1</v>
      </c>
      <c r="I107" s="30">
        <v>19</v>
      </c>
      <c r="J107" s="30">
        <v>16.5</v>
      </c>
      <c r="K107" s="30">
        <v>13.3</v>
      </c>
      <c r="L107" s="30">
        <v>13.1</v>
      </c>
      <c r="M107" s="1" t="str">
        <f t="shared" si="85"/>
        <v>2019/06/02</v>
      </c>
      <c r="N107" s="4" t="str">
        <f t="shared" si="86"/>
        <v/>
      </c>
      <c r="O107">
        <v>1.0500000000000021E-3</v>
      </c>
      <c r="P107" s="1" t="str">
        <f t="shared" si="87"/>
        <v/>
      </c>
      <c r="Q107" s="1" t="str">
        <f t="shared" si="88"/>
        <v/>
      </c>
      <c r="R107" s="1">
        <f t="shared" si="89"/>
        <v>1</v>
      </c>
      <c r="U107" s="1">
        <f t="shared" si="90"/>
        <v>61.901049999999998</v>
      </c>
      <c r="V107" s="1">
        <f t="shared" si="91"/>
        <v>139</v>
      </c>
      <c r="W107" s="1">
        <f t="shared" si="92"/>
        <v>1</v>
      </c>
      <c r="Z107" s="1" t="str">
        <f t="shared" si="93"/>
        <v/>
      </c>
      <c r="AA107" s="1" t="str">
        <f t="shared" si="94"/>
        <v/>
      </c>
      <c r="AB107" s="1">
        <f t="shared" si="95"/>
        <v>1</v>
      </c>
      <c r="AE107" s="1">
        <f t="shared" si="96"/>
        <v>42.901049999999998</v>
      </c>
      <c r="AF107" s="1">
        <f t="shared" si="97"/>
        <v>128</v>
      </c>
      <c r="AG107" s="1">
        <f t="shared" si="98"/>
        <v>1</v>
      </c>
      <c r="AJ107" s="1" t="str">
        <f t="shared" si="99"/>
        <v/>
      </c>
      <c r="AK107" s="1" t="str">
        <f t="shared" si="100"/>
        <v/>
      </c>
      <c r="AL107" s="1">
        <f t="shared" si="101"/>
        <v>1</v>
      </c>
      <c r="AO107" s="1">
        <f t="shared" si="102"/>
        <v>26.401049999999998</v>
      </c>
      <c r="AP107" s="1">
        <f t="shared" si="103"/>
        <v>105</v>
      </c>
      <c r="AQ107" s="1">
        <f t="shared" si="104"/>
        <v>1</v>
      </c>
      <c r="AT107" s="1">
        <f t="shared" si="105"/>
        <v>2.5</v>
      </c>
      <c r="AU107" s="1">
        <f t="shared" si="106"/>
        <v>3.1999999999999993</v>
      </c>
      <c r="AV107" s="1">
        <f t="shared" si="107"/>
        <v>0.20000000000000107</v>
      </c>
      <c r="AW107" s="1">
        <f t="shared" si="108"/>
        <v>5.9</v>
      </c>
      <c r="AX107" s="1">
        <f t="shared" si="109"/>
        <v>1.9677166666666668</v>
      </c>
      <c r="BC107" s="1">
        <f t="shared" si="110"/>
        <v>5.7010499999999995</v>
      </c>
      <c r="BD107" s="1">
        <f t="shared" si="111"/>
        <v>5</v>
      </c>
      <c r="BE107" s="1">
        <f t="shared" si="112"/>
        <v>1</v>
      </c>
      <c r="BH107" s="1" t="str">
        <f t="shared" si="113"/>
        <v/>
      </c>
      <c r="BI107" s="1" t="str">
        <f>IF(A107="","",IF(BH107="","",RANK(BH107,$BH$3:$BH257,1)))</f>
        <v/>
      </c>
      <c r="BJ107" s="1">
        <f t="shared" si="114"/>
        <v>1</v>
      </c>
      <c r="BM107" s="1">
        <f t="shared" si="115"/>
        <v>5.9618750000000205</v>
      </c>
      <c r="BN107" s="1">
        <f>IF(A107="","",IF(BM107="","",RANK(BM107,$BM$3:$BM257,1)))</f>
        <v>147</v>
      </c>
      <c r="BO107" s="1">
        <f t="shared" si="116"/>
        <v>1</v>
      </c>
      <c r="BR107" s="1">
        <f t="shared" si="117"/>
        <v>1</v>
      </c>
      <c r="BS107" s="1" t="str">
        <f t="shared" si="118"/>
        <v>コウエイダリア　　　　　　　　　　　</v>
      </c>
      <c r="CD107" s="1" t="str">
        <f t="shared" si="119"/>
        <v/>
      </c>
      <c r="CE107" s="1" t="str">
        <f>IF(A107="","",IF(CD107="","",RANK(CD107,$CD$3:$CD257,1)))</f>
        <v/>
      </c>
      <c r="CF107" s="1">
        <f t="shared" si="120"/>
        <v>1</v>
      </c>
      <c r="CI107" s="1" t="str">
        <f t="shared" si="121"/>
        <v/>
      </c>
      <c r="CJ107" s="1" t="str">
        <f>IF(A107="","",IF(CI107="","",RANK(CI107,$CI$3:$CI257,1)))</f>
        <v/>
      </c>
      <c r="CK107" s="1">
        <f t="shared" si="122"/>
        <v>1</v>
      </c>
      <c r="CN107" s="1" t="str">
        <f t="shared" si="123"/>
        <v/>
      </c>
      <c r="CO107" s="1" t="str">
        <f>IF(A107="","",IF(CN107="","",RANK(CN107,$CN$3:$CN257,1)))</f>
        <v/>
      </c>
      <c r="CP107" s="1">
        <f t="shared" si="124"/>
        <v>1</v>
      </c>
      <c r="CS107" s="1" t="str">
        <f t="shared" si="125"/>
        <v/>
      </c>
      <c r="CT107" s="1" t="str">
        <f>IF(A107="","",IF(CS107="","",RANK(CS107,$CS$3:$CS257,1)))</f>
        <v/>
      </c>
      <c r="CU107" s="1">
        <f t="shared" si="126"/>
        <v>1</v>
      </c>
      <c r="CX107" s="1" t="str">
        <f t="shared" si="127"/>
        <v/>
      </c>
      <c r="CY107" s="1" t="str">
        <f>IF(CX107="","",IF(A107="","",RANK(CX107,$CX$3:$CX257,1)))</f>
        <v/>
      </c>
      <c r="CZ107" s="1">
        <f t="shared" si="128"/>
        <v>1</v>
      </c>
      <c r="DC107" s="1" t="str">
        <f t="shared" si="129"/>
        <v/>
      </c>
      <c r="DD107" s="1" t="str">
        <f>IF(DC107="","",IF(A107="","",RANK(DC107,$DC$3:$DC257,1)))</f>
        <v/>
      </c>
      <c r="DE107" s="1">
        <f t="shared" si="130"/>
        <v>1</v>
      </c>
      <c r="DH107" s="1" t="str">
        <f t="shared" si="131"/>
        <v/>
      </c>
      <c r="DI107" s="1" t="str">
        <f>IF(DH107="","",IF(A107="","",RANK(DH107,$DH$3:$DH257,1)))</f>
        <v/>
      </c>
      <c r="DJ107" s="1">
        <f t="shared" si="132"/>
        <v>1</v>
      </c>
      <c r="DM107" s="1" t="str">
        <f t="shared" si="133"/>
        <v/>
      </c>
      <c r="DN107" s="1" t="str">
        <f>IF(DM107="","",IF(A107="","",RANK(DM107,$DM$3:$DM257,1)))</f>
        <v/>
      </c>
      <c r="DO107" s="1">
        <f t="shared" si="134"/>
        <v>1</v>
      </c>
      <c r="DR107" s="1">
        <f t="shared" si="135"/>
        <v>19.001049999999999</v>
      </c>
      <c r="DS107" s="1">
        <f>IF(DR107="","",IF(A107="","",RANK(DR107,$DR$3:$DR257,1)))</f>
        <v>148</v>
      </c>
      <c r="DT107" s="1">
        <f t="shared" si="136"/>
        <v>1</v>
      </c>
      <c r="DW107" s="1">
        <f t="shared" si="137"/>
        <v>16.501049999999999</v>
      </c>
      <c r="DX107" s="1">
        <f>IF(DW107="","",IF(A107="","",RANK(DW107,$DW$3:$DW257,1)))</f>
        <v>142</v>
      </c>
      <c r="DY107" s="1">
        <f t="shared" si="138"/>
        <v>1</v>
      </c>
      <c r="EB107" s="1">
        <f t="shared" si="139"/>
        <v>13.30105</v>
      </c>
      <c r="EC107" s="1">
        <f>IF(EB107="","",IF(A107="","",RANK(EB107,$EB$3:$EB257,1)))</f>
        <v>98</v>
      </c>
      <c r="ED107" s="1">
        <f t="shared" si="140"/>
        <v>1</v>
      </c>
      <c r="EG107" s="1">
        <f t="shared" si="141"/>
        <v>13.101049999999999</v>
      </c>
      <c r="EH107" s="1">
        <f>IF(EG107="","",IF(A107="","",RANK(EG107,$EG$3:$EG257,1)))</f>
        <v>105</v>
      </c>
      <c r="EI107" s="1">
        <f t="shared" si="142"/>
        <v>1</v>
      </c>
    </row>
    <row r="108" spans="1:139" ht="18.75">
      <c r="A108" s="1" t="s">
        <v>88</v>
      </c>
      <c r="B108" s="1">
        <v>20190217</v>
      </c>
      <c r="C108" s="1" t="s">
        <v>98</v>
      </c>
      <c r="D108" s="1">
        <v>9</v>
      </c>
      <c r="E108" s="30">
        <v>54.5</v>
      </c>
      <c r="F108" s="30">
        <v>38.799999999999997</v>
      </c>
      <c r="G108" s="30">
        <v>25.5</v>
      </c>
      <c r="H108" s="30">
        <v>13.2</v>
      </c>
      <c r="I108" s="30">
        <v>15.7</v>
      </c>
      <c r="J108" s="30">
        <v>13.3</v>
      </c>
      <c r="K108" s="30">
        <v>12.3</v>
      </c>
      <c r="L108" s="30">
        <v>13.2</v>
      </c>
      <c r="M108" s="1" t="str">
        <f t="shared" si="85"/>
        <v>2019/02/17</v>
      </c>
      <c r="N108" s="4" t="str">
        <f t="shared" si="86"/>
        <v/>
      </c>
      <c r="O108">
        <v>1.0600000000000021E-3</v>
      </c>
      <c r="P108" s="1" t="str">
        <f t="shared" si="87"/>
        <v/>
      </c>
      <c r="Q108" s="1" t="str">
        <f t="shared" si="88"/>
        <v/>
      </c>
      <c r="R108" s="1">
        <f t="shared" si="89"/>
        <v>9</v>
      </c>
      <c r="U108" s="1">
        <f t="shared" si="90"/>
        <v>54.501060000000003</v>
      </c>
      <c r="V108" s="1">
        <f t="shared" si="91"/>
        <v>61</v>
      </c>
      <c r="W108" s="1">
        <f t="shared" si="92"/>
        <v>9</v>
      </c>
      <c r="Z108" s="1" t="str">
        <f t="shared" si="93"/>
        <v/>
      </c>
      <c r="AA108" s="1" t="str">
        <f t="shared" si="94"/>
        <v/>
      </c>
      <c r="AB108" s="1">
        <f t="shared" si="95"/>
        <v>9</v>
      </c>
      <c r="AE108" s="1">
        <f t="shared" si="96"/>
        <v>38.80106</v>
      </c>
      <c r="AF108" s="1">
        <f t="shared" si="97"/>
        <v>55</v>
      </c>
      <c r="AG108" s="1">
        <f t="shared" si="98"/>
        <v>9</v>
      </c>
      <c r="AJ108" s="1" t="str">
        <f t="shared" si="99"/>
        <v/>
      </c>
      <c r="AK108" s="1" t="str">
        <f t="shared" si="100"/>
        <v/>
      </c>
      <c r="AL108" s="1">
        <f t="shared" si="101"/>
        <v>9</v>
      </c>
      <c r="AO108" s="1">
        <f t="shared" si="102"/>
        <v>25.501059999999999</v>
      </c>
      <c r="AP108" s="1">
        <f t="shared" si="103"/>
        <v>73</v>
      </c>
      <c r="AQ108" s="1">
        <f t="shared" si="104"/>
        <v>9</v>
      </c>
      <c r="AT108" s="1">
        <f t="shared" si="105"/>
        <v>2.3999999999999986</v>
      </c>
      <c r="AU108" s="1">
        <f t="shared" si="106"/>
        <v>1</v>
      </c>
      <c r="AV108" s="1">
        <f t="shared" si="107"/>
        <v>-0.89999999999999858</v>
      </c>
      <c r="AW108" s="1">
        <f t="shared" si="108"/>
        <v>2.5</v>
      </c>
      <c r="AX108" s="1">
        <f t="shared" si="109"/>
        <v>0</v>
      </c>
      <c r="BC108" s="1">
        <f t="shared" si="110"/>
        <v>3.4010599999999984</v>
      </c>
      <c r="BD108" s="1">
        <f t="shared" si="111"/>
        <v>38</v>
      </c>
      <c r="BE108" s="1">
        <f t="shared" si="112"/>
        <v>9</v>
      </c>
      <c r="BH108" s="1" t="str">
        <f t="shared" si="113"/>
        <v/>
      </c>
      <c r="BI108" s="1" t="str">
        <f>IF(A108="","",IF(BH108="","",RANK(BH108,$BH$3:$BH258,1)))</f>
        <v/>
      </c>
      <c r="BJ108" s="1">
        <f t="shared" si="114"/>
        <v>9</v>
      </c>
      <c r="BM108" s="1">
        <f t="shared" si="115"/>
        <v>1.5868749999999991</v>
      </c>
      <c r="BN108" s="1">
        <f>IF(A108="","",IF(BM108="","",RANK(BM108,$BM$3:$BM258,1)))</f>
        <v>96</v>
      </c>
      <c r="BO108" s="1">
        <f t="shared" si="116"/>
        <v>9</v>
      </c>
      <c r="BR108" s="1">
        <f t="shared" si="117"/>
        <v>9</v>
      </c>
      <c r="BS108" s="1" t="str">
        <f t="shared" si="118"/>
        <v>メイショウイサナ　　　　　　　　　　</v>
      </c>
      <c r="CD108" s="1" t="str">
        <f t="shared" si="119"/>
        <v/>
      </c>
      <c r="CE108" s="1" t="str">
        <f>IF(A108="","",IF(CD108="","",RANK(CD108,$CD$3:$CD258,1)))</f>
        <v/>
      </c>
      <c r="CF108" s="1">
        <f t="shared" si="120"/>
        <v>9</v>
      </c>
      <c r="CI108" s="1" t="str">
        <f t="shared" si="121"/>
        <v/>
      </c>
      <c r="CJ108" s="1" t="str">
        <f>IF(A108="","",IF(CI108="","",RANK(CI108,$CI$3:$CI258,1)))</f>
        <v/>
      </c>
      <c r="CK108" s="1">
        <f t="shared" si="122"/>
        <v>9</v>
      </c>
      <c r="CN108" s="1" t="str">
        <f t="shared" si="123"/>
        <v/>
      </c>
      <c r="CO108" s="1" t="str">
        <f>IF(A108="","",IF(CN108="","",RANK(CN108,$CN$3:$CN258,1)))</f>
        <v/>
      </c>
      <c r="CP108" s="1">
        <f t="shared" si="124"/>
        <v>9</v>
      </c>
      <c r="CS108" s="1" t="str">
        <f t="shared" si="125"/>
        <v/>
      </c>
      <c r="CT108" s="1" t="str">
        <f>IF(A108="","",IF(CS108="","",RANK(CS108,$CS$3:$CS258,1)))</f>
        <v/>
      </c>
      <c r="CU108" s="1">
        <f t="shared" si="126"/>
        <v>9</v>
      </c>
      <c r="CX108" s="1" t="str">
        <f t="shared" si="127"/>
        <v/>
      </c>
      <c r="CY108" s="1" t="str">
        <f>IF(CX108="","",IF(A108="","",RANK(CX108,$CX$3:$CX258,1)))</f>
        <v/>
      </c>
      <c r="CZ108" s="1">
        <f t="shared" si="128"/>
        <v>9</v>
      </c>
      <c r="DC108" s="1" t="str">
        <f t="shared" si="129"/>
        <v/>
      </c>
      <c r="DD108" s="1" t="str">
        <f>IF(DC108="","",IF(A108="","",RANK(DC108,$DC$3:$DC258,1)))</f>
        <v/>
      </c>
      <c r="DE108" s="1">
        <f t="shared" si="130"/>
        <v>9</v>
      </c>
      <c r="DH108" s="1" t="str">
        <f t="shared" si="131"/>
        <v/>
      </c>
      <c r="DI108" s="1" t="str">
        <f>IF(DH108="","",IF(A108="","",RANK(DH108,$DH$3:$DH258,1)))</f>
        <v/>
      </c>
      <c r="DJ108" s="1">
        <f t="shared" si="132"/>
        <v>9</v>
      </c>
      <c r="DM108" s="1" t="str">
        <f t="shared" si="133"/>
        <v/>
      </c>
      <c r="DN108" s="1" t="str">
        <f>IF(DM108="","",IF(A108="","",RANK(DM108,$DM$3:$DM258,1)))</f>
        <v/>
      </c>
      <c r="DO108" s="1">
        <f t="shared" si="134"/>
        <v>9</v>
      </c>
      <c r="DR108" s="1">
        <f t="shared" si="135"/>
        <v>15.70106</v>
      </c>
      <c r="DS108" s="1">
        <f>IF(DR108="","",IF(A108="","",RANK(DR108,$DR$3:$DR258,1)))</f>
        <v>84</v>
      </c>
      <c r="DT108" s="1">
        <f t="shared" si="136"/>
        <v>9</v>
      </c>
      <c r="DW108" s="1">
        <f t="shared" si="137"/>
        <v>13.301060000000001</v>
      </c>
      <c r="DX108" s="1">
        <f>IF(DW108="","",IF(A108="","",RANK(DW108,$DW$3:$DW258,1)))</f>
        <v>29</v>
      </c>
      <c r="DY108" s="1">
        <f t="shared" si="138"/>
        <v>9</v>
      </c>
      <c r="EB108" s="1">
        <f t="shared" si="139"/>
        <v>12.301060000000001</v>
      </c>
      <c r="EC108" s="1">
        <f>IF(EB108="","",IF(A108="","",RANK(EB108,$EB$3:$EB258,1)))</f>
        <v>29</v>
      </c>
      <c r="ED108" s="1">
        <f t="shared" si="140"/>
        <v>9</v>
      </c>
      <c r="EG108" s="1">
        <f t="shared" si="141"/>
        <v>13.20106</v>
      </c>
      <c r="EH108" s="1">
        <f>IF(EG108="","",IF(A108="","",RANK(EG108,$EG$3:$EG258,1)))</f>
        <v>106</v>
      </c>
      <c r="EI108" s="1">
        <f t="shared" si="142"/>
        <v>9</v>
      </c>
    </row>
    <row r="109" spans="1:139" ht="18.75">
      <c r="A109" s="1" t="s">
        <v>88</v>
      </c>
      <c r="B109" s="1">
        <v>20190519</v>
      </c>
      <c r="C109" s="1" t="s">
        <v>95</v>
      </c>
      <c r="D109" s="1">
        <v>6</v>
      </c>
      <c r="E109" s="30">
        <v>54.5</v>
      </c>
      <c r="F109" s="30">
        <v>39.6</v>
      </c>
      <c r="G109" s="30">
        <v>26</v>
      </c>
      <c r="H109" s="30">
        <v>13.2</v>
      </c>
      <c r="I109" s="30">
        <v>14.9</v>
      </c>
      <c r="J109" s="30">
        <v>13.6</v>
      </c>
      <c r="K109" s="30">
        <v>12.8</v>
      </c>
      <c r="L109" s="30">
        <v>13.2</v>
      </c>
      <c r="M109" s="1" t="str">
        <f t="shared" si="85"/>
        <v>2019/05/19</v>
      </c>
      <c r="N109" s="4" t="str">
        <f t="shared" si="86"/>
        <v/>
      </c>
      <c r="O109">
        <v>1.0700000000000022E-3</v>
      </c>
      <c r="P109" s="1" t="str">
        <f t="shared" si="87"/>
        <v/>
      </c>
      <c r="Q109" s="1" t="str">
        <f t="shared" si="88"/>
        <v/>
      </c>
      <c r="R109" s="1">
        <f t="shared" si="89"/>
        <v>6</v>
      </c>
      <c r="U109" s="1">
        <f t="shared" si="90"/>
        <v>54.501069999999999</v>
      </c>
      <c r="V109" s="1">
        <f t="shared" si="91"/>
        <v>62</v>
      </c>
      <c r="W109" s="1">
        <f t="shared" si="92"/>
        <v>6</v>
      </c>
      <c r="Z109" s="1" t="str">
        <f t="shared" si="93"/>
        <v/>
      </c>
      <c r="AA109" s="1" t="str">
        <f t="shared" si="94"/>
        <v/>
      </c>
      <c r="AB109" s="1">
        <f t="shared" si="95"/>
        <v>6</v>
      </c>
      <c r="AE109" s="1">
        <f t="shared" si="96"/>
        <v>39.60107</v>
      </c>
      <c r="AF109" s="1">
        <f t="shared" si="97"/>
        <v>76</v>
      </c>
      <c r="AG109" s="1">
        <f t="shared" si="98"/>
        <v>6</v>
      </c>
      <c r="AJ109" s="1" t="str">
        <f t="shared" si="99"/>
        <v/>
      </c>
      <c r="AK109" s="1" t="str">
        <f t="shared" si="100"/>
        <v/>
      </c>
      <c r="AL109" s="1">
        <f t="shared" si="101"/>
        <v>6</v>
      </c>
      <c r="AO109" s="1">
        <f t="shared" si="102"/>
        <v>26.001069999999999</v>
      </c>
      <c r="AP109" s="1">
        <f t="shared" si="103"/>
        <v>91</v>
      </c>
      <c r="AQ109" s="1">
        <f t="shared" si="104"/>
        <v>6</v>
      </c>
      <c r="AT109" s="1">
        <f t="shared" si="105"/>
        <v>1.3000000000000007</v>
      </c>
      <c r="AU109" s="1">
        <f t="shared" si="106"/>
        <v>0.79999999999999893</v>
      </c>
      <c r="AV109" s="1">
        <f t="shared" si="107"/>
        <v>-0.39999999999999858</v>
      </c>
      <c r="AW109" s="1">
        <f t="shared" si="108"/>
        <v>1.7000000000000011</v>
      </c>
      <c r="AX109" s="1">
        <f t="shared" si="109"/>
        <v>0</v>
      </c>
      <c r="BC109" s="1">
        <f t="shared" si="110"/>
        <v>2.1010699999999995</v>
      </c>
      <c r="BD109" s="1">
        <f t="shared" si="111"/>
        <v>96</v>
      </c>
      <c r="BE109" s="1">
        <f t="shared" si="112"/>
        <v>6</v>
      </c>
      <c r="BH109" s="1" t="str">
        <f t="shared" si="113"/>
        <v/>
      </c>
      <c r="BI109" s="1" t="str">
        <f>IF(A109="","",IF(BH109="","",RANK(BH109,$BH$3:$BH259,1)))</f>
        <v/>
      </c>
      <c r="BJ109" s="1">
        <f t="shared" si="114"/>
        <v>6</v>
      </c>
      <c r="BM109" s="1">
        <f t="shared" si="115"/>
        <v>0.62187500000000007</v>
      </c>
      <c r="BN109" s="1">
        <f>IF(A109="","",IF(BM109="","",RANK(BM109,$BM$3:$BM259,1)))</f>
        <v>31</v>
      </c>
      <c r="BO109" s="1">
        <f t="shared" si="116"/>
        <v>6</v>
      </c>
      <c r="BR109" s="1">
        <f t="shared" si="117"/>
        <v>6</v>
      </c>
      <c r="BS109" s="1" t="str">
        <f t="shared" si="118"/>
        <v>ミカエルシチー　　　　　　　　　　　</v>
      </c>
      <c r="CD109" s="1" t="str">
        <f t="shared" si="119"/>
        <v/>
      </c>
      <c r="CE109" s="1" t="str">
        <f>IF(A109="","",IF(CD109="","",RANK(CD109,$CD$3:$CD259,1)))</f>
        <v/>
      </c>
      <c r="CF109" s="1">
        <f t="shared" si="120"/>
        <v>6</v>
      </c>
      <c r="CI109" s="1" t="str">
        <f t="shared" si="121"/>
        <v/>
      </c>
      <c r="CJ109" s="1" t="str">
        <f>IF(A109="","",IF(CI109="","",RANK(CI109,$CI$3:$CI259,1)))</f>
        <v/>
      </c>
      <c r="CK109" s="1">
        <f t="shared" si="122"/>
        <v>6</v>
      </c>
      <c r="CN109" s="1" t="str">
        <f t="shared" si="123"/>
        <v/>
      </c>
      <c r="CO109" s="1" t="str">
        <f>IF(A109="","",IF(CN109="","",RANK(CN109,$CN$3:$CN259,1)))</f>
        <v/>
      </c>
      <c r="CP109" s="1">
        <f t="shared" si="124"/>
        <v>6</v>
      </c>
      <c r="CS109" s="1" t="str">
        <f t="shared" si="125"/>
        <v/>
      </c>
      <c r="CT109" s="1" t="str">
        <f>IF(A109="","",IF(CS109="","",RANK(CS109,$CS$3:$CS259,1)))</f>
        <v/>
      </c>
      <c r="CU109" s="1">
        <f t="shared" si="126"/>
        <v>6</v>
      </c>
      <c r="CX109" s="1" t="str">
        <f t="shared" si="127"/>
        <v/>
      </c>
      <c r="CY109" s="1" t="str">
        <f>IF(CX109="","",IF(A109="","",RANK(CX109,$CX$3:$CX259,1)))</f>
        <v/>
      </c>
      <c r="CZ109" s="1">
        <f t="shared" si="128"/>
        <v>6</v>
      </c>
      <c r="DC109" s="1" t="str">
        <f t="shared" si="129"/>
        <v/>
      </c>
      <c r="DD109" s="1" t="str">
        <f>IF(DC109="","",IF(A109="","",RANK(DC109,$DC$3:$DC259,1)))</f>
        <v/>
      </c>
      <c r="DE109" s="1">
        <f t="shared" si="130"/>
        <v>6</v>
      </c>
      <c r="DH109" s="1" t="str">
        <f t="shared" si="131"/>
        <v/>
      </c>
      <c r="DI109" s="1" t="str">
        <f>IF(DH109="","",IF(A109="","",RANK(DH109,$DH$3:$DH259,1)))</f>
        <v/>
      </c>
      <c r="DJ109" s="1">
        <f t="shared" si="132"/>
        <v>6</v>
      </c>
      <c r="DM109" s="1" t="str">
        <f t="shared" si="133"/>
        <v/>
      </c>
      <c r="DN109" s="1" t="str">
        <f>IF(DM109="","",IF(A109="","",RANK(DM109,$DM$3:$DM259,1)))</f>
        <v/>
      </c>
      <c r="DO109" s="1">
        <f t="shared" si="134"/>
        <v>6</v>
      </c>
      <c r="DR109" s="1">
        <f t="shared" si="135"/>
        <v>14.901070000000001</v>
      </c>
      <c r="DS109" s="1">
        <f>IF(DR109="","",IF(A109="","",RANK(DR109,$DR$3:$DR259,1)))</f>
        <v>45</v>
      </c>
      <c r="DT109" s="1">
        <f t="shared" si="136"/>
        <v>6</v>
      </c>
      <c r="DW109" s="1">
        <f t="shared" si="137"/>
        <v>13.60107</v>
      </c>
      <c r="DX109" s="1">
        <f>IF(DW109="","",IF(A109="","",RANK(DW109,$DW$3:$DW259,1)))</f>
        <v>51</v>
      </c>
      <c r="DY109" s="1">
        <f t="shared" si="138"/>
        <v>6</v>
      </c>
      <c r="EB109" s="1">
        <f t="shared" si="139"/>
        <v>12.801070000000001</v>
      </c>
      <c r="EC109" s="1">
        <f>IF(EB109="","",IF(A109="","",RANK(EB109,$EB$3:$EB259,1)))</f>
        <v>75</v>
      </c>
      <c r="ED109" s="1">
        <f t="shared" si="140"/>
        <v>6</v>
      </c>
      <c r="EG109" s="1">
        <f t="shared" si="141"/>
        <v>13.20107</v>
      </c>
      <c r="EH109" s="1">
        <f>IF(EG109="","",IF(A109="","",RANK(EG109,$EG$3:$EG259,1)))</f>
        <v>107</v>
      </c>
      <c r="EI109" s="1">
        <f t="shared" si="142"/>
        <v>6</v>
      </c>
    </row>
    <row r="110" spans="1:139" ht="18.75">
      <c r="A110" s="1" t="s">
        <v>88</v>
      </c>
      <c r="B110" s="1">
        <v>20190707</v>
      </c>
      <c r="C110" s="1" t="s">
        <v>90</v>
      </c>
      <c r="D110" s="1">
        <v>1</v>
      </c>
      <c r="E110" s="30">
        <v>62.5</v>
      </c>
      <c r="F110" s="30">
        <v>43.6</v>
      </c>
      <c r="G110" s="30">
        <v>27</v>
      </c>
      <c r="H110" s="30">
        <v>13.2</v>
      </c>
      <c r="I110" s="30">
        <v>18.899999999999999</v>
      </c>
      <c r="J110" s="30">
        <v>16.600000000000001</v>
      </c>
      <c r="K110" s="30">
        <v>13.8</v>
      </c>
      <c r="L110" s="30">
        <v>13.2</v>
      </c>
      <c r="M110" s="1" t="str">
        <f t="shared" si="85"/>
        <v>2019/07/07</v>
      </c>
      <c r="N110" s="4" t="str">
        <f t="shared" si="86"/>
        <v/>
      </c>
      <c r="O110">
        <v>1.0800000000000022E-3</v>
      </c>
      <c r="P110" s="1" t="str">
        <f t="shared" si="87"/>
        <v/>
      </c>
      <c r="Q110" s="1" t="str">
        <f t="shared" si="88"/>
        <v/>
      </c>
      <c r="R110" s="1">
        <f t="shared" si="89"/>
        <v>1</v>
      </c>
      <c r="U110" s="1">
        <f t="shared" si="90"/>
        <v>62.501080000000002</v>
      </c>
      <c r="V110" s="1">
        <f t="shared" si="91"/>
        <v>143</v>
      </c>
      <c r="W110" s="1">
        <f t="shared" si="92"/>
        <v>1</v>
      </c>
      <c r="Z110" s="1" t="str">
        <f t="shared" si="93"/>
        <v/>
      </c>
      <c r="AA110" s="1" t="str">
        <f t="shared" si="94"/>
        <v/>
      </c>
      <c r="AB110" s="1">
        <f t="shared" si="95"/>
        <v>1</v>
      </c>
      <c r="AE110" s="1">
        <f t="shared" si="96"/>
        <v>43.601080000000003</v>
      </c>
      <c r="AF110" s="1">
        <f t="shared" si="97"/>
        <v>135</v>
      </c>
      <c r="AG110" s="1">
        <f t="shared" si="98"/>
        <v>1</v>
      </c>
      <c r="AJ110" s="1" t="str">
        <f t="shared" si="99"/>
        <v/>
      </c>
      <c r="AK110" s="1" t="str">
        <f t="shared" si="100"/>
        <v/>
      </c>
      <c r="AL110" s="1">
        <f t="shared" si="101"/>
        <v>1</v>
      </c>
      <c r="AO110" s="1">
        <f t="shared" si="102"/>
        <v>27.001080000000002</v>
      </c>
      <c r="AP110" s="1">
        <f t="shared" si="103"/>
        <v>113</v>
      </c>
      <c r="AQ110" s="1">
        <f t="shared" si="104"/>
        <v>1</v>
      </c>
      <c r="AT110" s="1">
        <f t="shared" si="105"/>
        <v>2.2999999999999972</v>
      </c>
      <c r="AU110" s="1">
        <f t="shared" si="106"/>
        <v>2.8000000000000007</v>
      </c>
      <c r="AV110" s="1">
        <f t="shared" si="107"/>
        <v>0.60000000000000142</v>
      </c>
      <c r="AW110" s="1">
        <f t="shared" si="108"/>
        <v>5.6999999999999993</v>
      </c>
      <c r="AX110" s="1">
        <f t="shared" si="109"/>
        <v>1.9010799999999997</v>
      </c>
      <c r="BC110" s="1">
        <f t="shared" si="110"/>
        <v>5.1010799999999978</v>
      </c>
      <c r="BD110" s="1">
        <f t="shared" si="111"/>
        <v>7</v>
      </c>
      <c r="BE110" s="1">
        <f t="shared" si="112"/>
        <v>1</v>
      </c>
      <c r="BH110" s="1" t="str">
        <f t="shared" si="113"/>
        <v/>
      </c>
      <c r="BI110" s="1" t="str">
        <f>IF(A110="","",IF(BH110="","",RANK(BH110,$BH$3:$BH260,1)))</f>
        <v/>
      </c>
      <c r="BJ110" s="1">
        <f t="shared" si="114"/>
        <v>1</v>
      </c>
      <c r="BM110" s="1">
        <f t="shared" si="115"/>
        <v>5.2218750000000114</v>
      </c>
      <c r="BN110" s="1">
        <f>IF(A110="","",IF(BM110="","",RANK(BM110,$BM$3:$BM260,1)))</f>
        <v>145</v>
      </c>
      <c r="BO110" s="1">
        <f t="shared" si="116"/>
        <v>1</v>
      </c>
      <c r="BR110" s="1">
        <f t="shared" si="117"/>
        <v>1</v>
      </c>
      <c r="BS110" s="1" t="str">
        <f t="shared" si="118"/>
        <v>コウエイダリア　　　　　　　　　　　</v>
      </c>
      <c r="CD110" s="1" t="str">
        <f t="shared" si="119"/>
        <v/>
      </c>
      <c r="CE110" s="1" t="str">
        <f>IF(A110="","",IF(CD110="","",RANK(CD110,$CD$3:$CD260,1)))</f>
        <v/>
      </c>
      <c r="CF110" s="1">
        <f t="shared" si="120"/>
        <v>1</v>
      </c>
      <c r="CI110" s="1" t="str">
        <f t="shared" si="121"/>
        <v/>
      </c>
      <c r="CJ110" s="1" t="str">
        <f>IF(A110="","",IF(CI110="","",RANK(CI110,$CI$3:$CI260,1)))</f>
        <v/>
      </c>
      <c r="CK110" s="1">
        <f t="shared" si="122"/>
        <v>1</v>
      </c>
      <c r="CN110" s="1" t="str">
        <f t="shared" si="123"/>
        <v/>
      </c>
      <c r="CO110" s="1" t="str">
        <f>IF(A110="","",IF(CN110="","",RANK(CN110,$CN$3:$CN260,1)))</f>
        <v/>
      </c>
      <c r="CP110" s="1">
        <f t="shared" si="124"/>
        <v>1</v>
      </c>
      <c r="CS110" s="1" t="str">
        <f t="shared" si="125"/>
        <v/>
      </c>
      <c r="CT110" s="1" t="str">
        <f>IF(A110="","",IF(CS110="","",RANK(CS110,$CS$3:$CS260,1)))</f>
        <v/>
      </c>
      <c r="CU110" s="1">
        <f t="shared" si="126"/>
        <v>1</v>
      </c>
      <c r="CX110" s="1" t="str">
        <f t="shared" si="127"/>
        <v/>
      </c>
      <c r="CY110" s="1" t="str">
        <f>IF(CX110="","",IF(A110="","",RANK(CX110,$CX$3:$CX260,1)))</f>
        <v/>
      </c>
      <c r="CZ110" s="1">
        <f t="shared" si="128"/>
        <v>1</v>
      </c>
      <c r="DC110" s="1" t="str">
        <f t="shared" si="129"/>
        <v/>
      </c>
      <c r="DD110" s="1" t="str">
        <f>IF(DC110="","",IF(A110="","",RANK(DC110,$DC$3:$DC260,1)))</f>
        <v/>
      </c>
      <c r="DE110" s="1">
        <f t="shared" si="130"/>
        <v>1</v>
      </c>
      <c r="DH110" s="1" t="str">
        <f t="shared" si="131"/>
        <v/>
      </c>
      <c r="DI110" s="1" t="str">
        <f>IF(DH110="","",IF(A110="","",RANK(DH110,$DH$3:$DH260,1)))</f>
        <v/>
      </c>
      <c r="DJ110" s="1">
        <f t="shared" si="132"/>
        <v>1</v>
      </c>
      <c r="DM110" s="1" t="str">
        <f t="shared" si="133"/>
        <v/>
      </c>
      <c r="DN110" s="1" t="str">
        <f>IF(DM110="","",IF(A110="","",RANK(DM110,$DM$3:$DM260,1)))</f>
        <v/>
      </c>
      <c r="DO110" s="1">
        <f t="shared" si="134"/>
        <v>1</v>
      </c>
      <c r="DR110" s="1">
        <f t="shared" si="135"/>
        <v>18.90108</v>
      </c>
      <c r="DS110" s="1">
        <f>IF(DR110="","",IF(A110="","",RANK(DR110,$DR$3:$DR260,1)))</f>
        <v>146</v>
      </c>
      <c r="DT110" s="1">
        <f t="shared" si="136"/>
        <v>1</v>
      </c>
      <c r="DW110" s="1">
        <f t="shared" si="137"/>
        <v>16.601080000000003</v>
      </c>
      <c r="DX110" s="1">
        <f>IF(DW110="","",IF(A110="","",RANK(DW110,$DW$3:$DW260,1)))</f>
        <v>144</v>
      </c>
      <c r="DY110" s="1">
        <f t="shared" si="138"/>
        <v>1</v>
      </c>
      <c r="EB110" s="1">
        <f t="shared" si="139"/>
        <v>13.801080000000001</v>
      </c>
      <c r="EC110" s="1">
        <f>IF(EB110="","",IF(A110="","",RANK(EB110,$EB$3:$EB260,1)))</f>
        <v>119</v>
      </c>
      <c r="ED110" s="1">
        <f t="shared" si="140"/>
        <v>1</v>
      </c>
      <c r="EG110" s="1">
        <f t="shared" si="141"/>
        <v>13.201079999999999</v>
      </c>
      <c r="EH110" s="1">
        <f>IF(EG110="","",IF(A110="","",RANK(EG110,$EG$3:$EG260,1)))</f>
        <v>108</v>
      </c>
      <c r="EI110" s="1">
        <f t="shared" si="142"/>
        <v>1</v>
      </c>
    </row>
    <row r="111" spans="1:139" ht="18.75">
      <c r="A111" s="1" t="s">
        <v>88</v>
      </c>
      <c r="B111" s="1">
        <v>20190707</v>
      </c>
      <c r="C111" s="1" t="s">
        <v>94</v>
      </c>
      <c r="D111" s="1">
        <v>5</v>
      </c>
      <c r="E111" s="30">
        <v>59.5</v>
      </c>
      <c r="F111" s="30">
        <v>43</v>
      </c>
      <c r="G111" s="30">
        <v>27.9</v>
      </c>
      <c r="H111" s="30">
        <v>13.2</v>
      </c>
      <c r="I111" s="30">
        <v>16.5</v>
      </c>
      <c r="J111" s="30">
        <v>15.1</v>
      </c>
      <c r="K111" s="30">
        <v>14.7</v>
      </c>
      <c r="L111" s="30">
        <v>13.2</v>
      </c>
      <c r="M111" s="1" t="str">
        <f t="shared" si="85"/>
        <v>2019/07/07</v>
      </c>
      <c r="N111" s="4" t="str">
        <f t="shared" si="86"/>
        <v/>
      </c>
      <c r="O111">
        <v>1.0900000000000022E-3</v>
      </c>
      <c r="P111" s="1" t="str">
        <f t="shared" si="87"/>
        <v/>
      </c>
      <c r="Q111" s="1" t="str">
        <f t="shared" si="88"/>
        <v/>
      </c>
      <c r="R111" s="1">
        <f t="shared" si="89"/>
        <v>5</v>
      </c>
      <c r="U111" s="1">
        <f t="shared" si="90"/>
        <v>59.501089999999998</v>
      </c>
      <c r="V111" s="1">
        <f t="shared" si="91"/>
        <v>126</v>
      </c>
      <c r="W111" s="1">
        <f t="shared" si="92"/>
        <v>5</v>
      </c>
      <c r="Z111" s="1" t="str">
        <f t="shared" si="93"/>
        <v/>
      </c>
      <c r="AA111" s="1" t="str">
        <f t="shared" si="94"/>
        <v/>
      </c>
      <c r="AB111" s="1">
        <f t="shared" si="95"/>
        <v>5</v>
      </c>
      <c r="AE111" s="1">
        <f t="shared" si="96"/>
        <v>43.001089999999998</v>
      </c>
      <c r="AF111" s="1">
        <f t="shared" si="97"/>
        <v>129</v>
      </c>
      <c r="AG111" s="1">
        <f t="shared" si="98"/>
        <v>5</v>
      </c>
      <c r="AJ111" s="1" t="str">
        <f t="shared" si="99"/>
        <v/>
      </c>
      <c r="AK111" s="1" t="str">
        <f t="shared" si="100"/>
        <v/>
      </c>
      <c r="AL111" s="1">
        <f t="shared" si="101"/>
        <v>5</v>
      </c>
      <c r="AO111" s="1">
        <f t="shared" si="102"/>
        <v>27.90109</v>
      </c>
      <c r="AP111" s="1">
        <f t="shared" si="103"/>
        <v>128</v>
      </c>
      <c r="AQ111" s="1">
        <f t="shared" si="104"/>
        <v>5</v>
      </c>
      <c r="AT111" s="1">
        <f t="shared" si="105"/>
        <v>1.4000000000000004</v>
      </c>
      <c r="AU111" s="1">
        <f t="shared" si="106"/>
        <v>0.40000000000000036</v>
      </c>
      <c r="AV111" s="1">
        <f t="shared" si="107"/>
        <v>1.5</v>
      </c>
      <c r="AW111" s="1">
        <f t="shared" si="108"/>
        <v>3.3000000000000007</v>
      </c>
      <c r="AX111" s="1">
        <f t="shared" si="109"/>
        <v>1.1010900000000003</v>
      </c>
      <c r="BC111" s="1">
        <f t="shared" si="110"/>
        <v>1.8010900000000007</v>
      </c>
      <c r="BD111" s="1">
        <f t="shared" si="111"/>
        <v>115</v>
      </c>
      <c r="BE111" s="1">
        <f t="shared" si="112"/>
        <v>5</v>
      </c>
      <c r="BH111" s="1" t="str">
        <f t="shared" si="113"/>
        <v/>
      </c>
      <c r="BI111" s="1" t="str">
        <f>IF(A111="","",IF(BH111="","",RANK(BH111,$BH$3:$BH261,1)))</f>
        <v/>
      </c>
      <c r="BJ111" s="1">
        <f t="shared" si="114"/>
        <v>5</v>
      </c>
      <c r="BM111" s="1">
        <f t="shared" si="115"/>
        <v>1.3818750000000004</v>
      </c>
      <c r="BN111" s="1">
        <f>IF(A111="","",IF(BM111="","",RANK(BM111,$BM$3:$BM261,1)))</f>
        <v>91</v>
      </c>
      <c r="BO111" s="1">
        <f t="shared" si="116"/>
        <v>5</v>
      </c>
      <c r="BR111" s="1">
        <f t="shared" si="117"/>
        <v>5</v>
      </c>
      <c r="BS111" s="1" t="str">
        <f t="shared" si="118"/>
        <v>シグナライズ　　　　　　　　　　　　</v>
      </c>
      <c r="CD111" s="1" t="str">
        <f t="shared" si="119"/>
        <v/>
      </c>
      <c r="CE111" s="1" t="str">
        <f>IF(A111="","",IF(CD111="","",RANK(CD111,$CD$3:$CD261,1)))</f>
        <v/>
      </c>
      <c r="CF111" s="1">
        <f t="shared" si="120"/>
        <v>5</v>
      </c>
      <c r="CI111" s="1" t="str">
        <f t="shared" si="121"/>
        <v/>
      </c>
      <c r="CJ111" s="1" t="str">
        <f>IF(A111="","",IF(CI111="","",RANK(CI111,$CI$3:$CI261,1)))</f>
        <v/>
      </c>
      <c r="CK111" s="1">
        <f t="shared" si="122"/>
        <v>5</v>
      </c>
      <c r="CN111" s="1" t="str">
        <f t="shared" si="123"/>
        <v/>
      </c>
      <c r="CO111" s="1" t="str">
        <f>IF(A111="","",IF(CN111="","",RANK(CN111,$CN$3:$CN261,1)))</f>
        <v/>
      </c>
      <c r="CP111" s="1">
        <f t="shared" si="124"/>
        <v>5</v>
      </c>
      <c r="CS111" s="1" t="str">
        <f t="shared" si="125"/>
        <v/>
      </c>
      <c r="CT111" s="1" t="str">
        <f>IF(A111="","",IF(CS111="","",RANK(CS111,$CS$3:$CS261,1)))</f>
        <v/>
      </c>
      <c r="CU111" s="1">
        <f t="shared" si="126"/>
        <v>5</v>
      </c>
      <c r="CX111" s="1" t="str">
        <f t="shared" si="127"/>
        <v/>
      </c>
      <c r="CY111" s="1" t="str">
        <f>IF(CX111="","",IF(A111="","",RANK(CX111,$CX$3:$CX261,1)))</f>
        <v/>
      </c>
      <c r="CZ111" s="1">
        <f t="shared" si="128"/>
        <v>5</v>
      </c>
      <c r="DC111" s="1" t="str">
        <f t="shared" si="129"/>
        <v/>
      </c>
      <c r="DD111" s="1" t="str">
        <f>IF(DC111="","",IF(A111="","",RANK(DC111,$DC$3:$DC261,1)))</f>
        <v/>
      </c>
      <c r="DE111" s="1">
        <f t="shared" si="130"/>
        <v>5</v>
      </c>
      <c r="DH111" s="1" t="str">
        <f t="shared" si="131"/>
        <v/>
      </c>
      <c r="DI111" s="1" t="str">
        <f>IF(DH111="","",IF(A111="","",RANK(DH111,$DH$3:$DH261,1)))</f>
        <v/>
      </c>
      <c r="DJ111" s="1">
        <f t="shared" si="132"/>
        <v>5</v>
      </c>
      <c r="DM111" s="1" t="str">
        <f t="shared" si="133"/>
        <v/>
      </c>
      <c r="DN111" s="1" t="str">
        <f>IF(DM111="","",IF(A111="","",RANK(DM111,$DM$3:$DM261,1)))</f>
        <v/>
      </c>
      <c r="DO111" s="1">
        <f t="shared" si="134"/>
        <v>5</v>
      </c>
      <c r="DR111" s="1">
        <f t="shared" si="135"/>
        <v>16.501090000000001</v>
      </c>
      <c r="DS111" s="1">
        <f>IF(DR111="","",IF(A111="","",RANK(DR111,$DR$3:$DR261,1)))</f>
        <v>114</v>
      </c>
      <c r="DT111" s="1">
        <f t="shared" si="136"/>
        <v>5</v>
      </c>
      <c r="DW111" s="1">
        <f t="shared" si="137"/>
        <v>15.101089999999999</v>
      </c>
      <c r="DX111" s="1">
        <f>IF(DW111="","",IF(A111="","",RANK(DW111,$DW$3:$DW261,1)))</f>
        <v>121</v>
      </c>
      <c r="DY111" s="1">
        <f t="shared" si="138"/>
        <v>5</v>
      </c>
      <c r="EB111" s="1">
        <f t="shared" si="139"/>
        <v>14.701089999999999</v>
      </c>
      <c r="EC111" s="1">
        <f>IF(EB111="","",IF(A111="","",RANK(EB111,$EB$3:$EB261,1)))</f>
        <v>139</v>
      </c>
      <c r="ED111" s="1">
        <f t="shared" si="140"/>
        <v>5</v>
      </c>
      <c r="EG111" s="1">
        <f t="shared" si="141"/>
        <v>13.201089999999999</v>
      </c>
      <c r="EH111" s="1">
        <f>IF(EG111="","",IF(A111="","",RANK(EG111,$EG$3:$EG261,1)))</f>
        <v>109</v>
      </c>
      <c r="EI111" s="1">
        <f t="shared" si="142"/>
        <v>5</v>
      </c>
    </row>
    <row r="112" spans="1:139" ht="18.75">
      <c r="A112" s="1" t="s">
        <v>88</v>
      </c>
      <c r="B112" s="1">
        <v>20190313</v>
      </c>
      <c r="C112" s="1" t="s">
        <v>96</v>
      </c>
      <c r="D112" s="1">
        <v>7</v>
      </c>
      <c r="E112" s="30">
        <v>51.1</v>
      </c>
      <c r="F112" s="30">
        <v>37.5</v>
      </c>
      <c r="G112" s="30">
        <v>25.5</v>
      </c>
      <c r="H112" s="30">
        <v>13.3</v>
      </c>
      <c r="I112" s="30">
        <v>13.6</v>
      </c>
      <c r="J112" s="30">
        <v>12</v>
      </c>
      <c r="K112" s="30">
        <v>12.2</v>
      </c>
      <c r="L112" s="30">
        <v>13.3</v>
      </c>
      <c r="M112" s="1" t="str">
        <f t="shared" si="85"/>
        <v>2019/03/13</v>
      </c>
      <c r="N112" s="4" t="str">
        <f t="shared" si="86"/>
        <v/>
      </c>
      <c r="O112">
        <v>1.1000000000000022E-3</v>
      </c>
      <c r="P112" s="1" t="str">
        <f t="shared" si="87"/>
        <v/>
      </c>
      <c r="Q112" s="1" t="str">
        <f t="shared" si="88"/>
        <v/>
      </c>
      <c r="R112" s="1">
        <f t="shared" si="89"/>
        <v>7</v>
      </c>
      <c r="U112" s="1">
        <f t="shared" si="90"/>
        <v>51.101100000000002</v>
      </c>
      <c r="V112" s="1">
        <f t="shared" si="91"/>
        <v>2</v>
      </c>
      <c r="W112" s="1">
        <f t="shared" si="92"/>
        <v>7</v>
      </c>
      <c r="Z112" s="1" t="str">
        <f t="shared" si="93"/>
        <v/>
      </c>
      <c r="AA112" s="1" t="str">
        <f t="shared" si="94"/>
        <v/>
      </c>
      <c r="AB112" s="1">
        <f t="shared" si="95"/>
        <v>7</v>
      </c>
      <c r="AE112" s="1">
        <f t="shared" si="96"/>
        <v>37.501100000000001</v>
      </c>
      <c r="AF112" s="1">
        <f t="shared" si="97"/>
        <v>7</v>
      </c>
      <c r="AG112" s="1">
        <f t="shared" si="98"/>
        <v>7</v>
      </c>
      <c r="AJ112" s="1" t="str">
        <f t="shared" si="99"/>
        <v/>
      </c>
      <c r="AK112" s="1" t="str">
        <f t="shared" si="100"/>
        <v/>
      </c>
      <c r="AL112" s="1">
        <f t="shared" si="101"/>
        <v>7</v>
      </c>
      <c r="AO112" s="1">
        <f t="shared" si="102"/>
        <v>25.501100000000001</v>
      </c>
      <c r="AP112" s="1">
        <f t="shared" si="103"/>
        <v>74</v>
      </c>
      <c r="AQ112" s="1">
        <f t="shared" si="104"/>
        <v>7</v>
      </c>
      <c r="AT112" s="1">
        <f t="shared" si="105"/>
        <v>1.5999999999999996</v>
      </c>
      <c r="AU112" s="1">
        <f t="shared" si="106"/>
        <v>-0.19999999999999929</v>
      </c>
      <c r="AV112" s="1">
        <f t="shared" si="107"/>
        <v>-1.1000000000000014</v>
      </c>
      <c r="AW112" s="1">
        <f t="shared" si="108"/>
        <v>0.29999999999999893</v>
      </c>
      <c r="AX112" s="1">
        <f t="shared" si="109"/>
        <v>0</v>
      </c>
      <c r="BC112" s="1">
        <f t="shared" si="110"/>
        <v>0</v>
      </c>
      <c r="BD112" s="1">
        <f t="shared" si="111"/>
        <v>149</v>
      </c>
      <c r="BE112" s="1">
        <f t="shared" si="112"/>
        <v>7</v>
      </c>
      <c r="BH112" s="1" t="str">
        <f t="shared" si="113"/>
        <v/>
      </c>
      <c r="BI112" s="1" t="str">
        <f>IF(A112="","",IF(BH112="","",RANK(BH112,$BH$3:$BH262,1)))</f>
        <v/>
      </c>
      <c r="BJ112" s="1">
        <f t="shared" si="114"/>
        <v>7</v>
      </c>
      <c r="BM112" s="1">
        <f t="shared" si="115"/>
        <v>0.47187500000000021</v>
      </c>
      <c r="BN112" s="1">
        <f>IF(A112="","",IF(BM112="","",RANK(BM112,$BM$3:$BM262,1)))</f>
        <v>19</v>
      </c>
      <c r="BO112" s="1">
        <f t="shared" si="116"/>
        <v>7</v>
      </c>
      <c r="BR112" s="1">
        <f t="shared" si="117"/>
        <v>7</v>
      </c>
      <c r="BS112" s="1" t="str">
        <f t="shared" si="118"/>
        <v>サヤカチャン　　　　　　　　　　　　</v>
      </c>
      <c r="CD112" s="1" t="str">
        <f t="shared" si="119"/>
        <v/>
      </c>
      <c r="CE112" s="1" t="str">
        <f>IF(A112="","",IF(CD112="","",RANK(CD112,$CD$3:$CD262,1)))</f>
        <v/>
      </c>
      <c r="CF112" s="1">
        <f t="shared" si="120"/>
        <v>7</v>
      </c>
      <c r="CI112" s="1" t="str">
        <f t="shared" si="121"/>
        <v/>
      </c>
      <c r="CJ112" s="1" t="str">
        <f>IF(A112="","",IF(CI112="","",RANK(CI112,$CI$3:$CI262,1)))</f>
        <v/>
      </c>
      <c r="CK112" s="1">
        <f t="shared" si="122"/>
        <v>7</v>
      </c>
      <c r="CN112" s="1" t="str">
        <f t="shared" si="123"/>
        <v/>
      </c>
      <c r="CO112" s="1" t="str">
        <f>IF(A112="","",IF(CN112="","",RANK(CN112,$CN$3:$CN262,1)))</f>
        <v/>
      </c>
      <c r="CP112" s="1">
        <f t="shared" si="124"/>
        <v>7</v>
      </c>
      <c r="CS112" s="1" t="str">
        <f t="shared" si="125"/>
        <v/>
      </c>
      <c r="CT112" s="1" t="str">
        <f>IF(A112="","",IF(CS112="","",RANK(CS112,$CS$3:$CS262,1)))</f>
        <v/>
      </c>
      <c r="CU112" s="1">
        <f t="shared" si="126"/>
        <v>7</v>
      </c>
      <c r="CX112" s="1" t="str">
        <f t="shared" si="127"/>
        <v/>
      </c>
      <c r="CY112" s="1" t="str">
        <f>IF(CX112="","",IF(A112="","",RANK(CX112,$CX$3:$CX262,1)))</f>
        <v/>
      </c>
      <c r="CZ112" s="1">
        <f t="shared" si="128"/>
        <v>7</v>
      </c>
      <c r="DC112" s="1" t="str">
        <f t="shared" si="129"/>
        <v/>
      </c>
      <c r="DD112" s="1" t="str">
        <f>IF(DC112="","",IF(A112="","",RANK(DC112,$DC$3:$DC262,1)))</f>
        <v/>
      </c>
      <c r="DE112" s="1">
        <f t="shared" si="130"/>
        <v>7</v>
      </c>
      <c r="DH112" s="1" t="str">
        <f t="shared" si="131"/>
        <v/>
      </c>
      <c r="DI112" s="1" t="str">
        <f>IF(DH112="","",IF(A112="","",RANK(DH112,$DH$3:$DH262,1)))</f>
        <v/>
      </c>
      <c r="DJ112" s="1">
        <f t="shared" si="132"/>
        <v>7</v>
      </c>
      <c r="DM112" s="1" t="str">
        <f t="shared" si="133"/>
        <v/>
      </c>
      <c r="DN112" s="1" t="str">
        <f>IF(DM112="","",IF(A112="","",RANK(DM112,$DM$3:$DM262,1)))</f>
        <v/>
      </c>
      <c r="DO112" s="1">
        <f t="shared" si="134"/>
        <v>7</v>
      </c>
      <c r="DR112" s="1">
        <f t="shared" si="135"/>
        <v>13.601099999999999</v>
      </c>
      <c r="DS112" s="1">
        <f>IF(DR112="","",IF(A112="","",RANK(DR112,$DR$3:$DR262,1)))</f>
        <v>3</v>
      </c>
      <c r="DT112" s="1">
        <f t="shared" si="136"/>
        <v>7</v>
      </c>
      <c r="DW112" s="1">
        <f t="shared" si="137"/>
        <v>12.001099999999999</v>
      </c>
      <c r="DX112" s="1">
        <f>IF(DW112="","",IF(A112="","",RANK(DW112,$DW$3:$DW262,1)))</f>
        <v>1</v>
      </c>
      <c r="DY112" s="1">
        <f t="shared" si="138"/>
        <v>7</v>
      </c>
      <c r="EB112" s="1">
        <f t="shared" si="139"/>
        <v>12.201099999999999</v>
      </c>
      <c r="EC112" s="1">
        <f>IF(EB112="","",IF(A112="","",RANK(EB112,$EB$3:$EB262,1)))</f>
        <v>20</v>
      </c>
      <c r="ED112" s="1">
        <f t="shared" si="140"/>
        <v>7</v>
      </c>
      <c r="EG112" s="1">
        <f t="shared" si="141"/>
        <v>13.3011</v>
      </c>
      <c r="EH112" s="1">
        <f>IF(EG112="","",IF(A112="","",RANK(EG112,$EG$3:$EG262,1)))</f>
        <v>110</v>
      </c>
      <c r="EI112" s="1">
        <f t="shared" si="142"/>
        <v>7</v>
      </c>
    </row>
    <row r="113" spans="1:139" ht="18.75">
      <c r="A113" s="1" t="s">
        <v>88</v>
      </c>
      <c r="B113" s="1">
        <v>20190410</v>
      </c>
      <c r="C113" s="1" t="s">
        <v>97</v>
      </c>
      <c r="D113" s="1">
        <v>8</v>
      </c>
      <c r="E113" s="30">
        <v>55.1</v>
      </c>
      <c r="F113" s="30">
        <v>40.299999999999997</v>
      </c>
      <c r="G113" s="30">
        <v>26.2</v>
      </c>
      <c r="H113" s="30">
        <v>13.3</v>
      </c>
      <c r="I113" s="30">
        <v>14.8</v>
      </c>
      <c r="J113" s="30">
        <v>14.1</v>
      </c>
      <c r="K113" s="30">
        <v>12.9</v>
      </c>
      <c r="L113" s="30">
        <v>13.3</v>
      </c>
      <c r="M113" s="1" t="str">
        <f t="shared" si="85"/>
        <v>2019/04/10</v>
      </c>
      <c r="N113" s="4" t="str">
        <f t="shared" si="86"/>
        <v/>
      </c>
      <c r="O113">
        <v>1.1100000000000023E-3</v>
      </c>
      <c r="P113" s="1" t="str">
        <f t="shared" si="87"/>
        <v/>
      </c>
      <c r="Q113" s="1" t="str">
        <f t="shared" si="88"/>
        <v/>
      </c>
      <c r="R113" s="1">
        <f t="shared" si="89"/>
        <v>8</v>
      </c>
      <c r="U113" s="1">
        <f t="shared" si="90"/>
        <v>55.101109999999998</v>
      </c>
      <c r="V113" s="1">
        <f t="shared" si="91"/>
        <v>77</v>
      </c>
      <c r="W113" s="1">
        <f t="shared" si="92"/>
        <v>8</v>
      </c>
      <c r="Z113" s="1" t="str">
        <f t="shared" si="93"/>
        <v/>
      </c>
      <c r="AA113" s="1" t="str">
        <f t="shared" si="94"/>
        <v/>
      </c>
      <c r="AB113" s="1">
        <f t="shared" si="95"/>
        <v>8</v>
      </c>
      <c r="AE113" s="1">
        <f t="shared" si="96"/>
        <v>40.301109999999994</v>
      </c>
      <c r="AF113" s="1">
        <f t="shared" si="97"/>
        <v>89</v>
      </c>
      <c r="AG113" s="1">
        <f t="shared" si="98"/>
        <v>8</v>
      </c>
      <c r="AJ113" s="1" t="str">
        <f t="shared" si="99"/>
        <v/>
      </c>
      <c r="AK113" s="1" t="str">
        <f t="shared" si="100"/>
        <v/>
      </c>
      <c r="AL113" s="1">
        <f t="shared" si="101"/>
        <v>8</v>
      </c>
      <c r="AO113" s="1">
        <f t="shared" si="102"/>
        <v>26.20111</v>
      </c>
      <c r="AP113" s="1">
        <f t="shared" si="103"/>
        <v>101</v>
      </c>
      <c r="AQ113" s="1">
        <f t="shared" si="104"/>
        <v>8</v>
      </c>
      <c r="AT113" s="1">
        <f t="shared" si="105"/>
        <v>0.70000000000000107</v>
      </c>
      <c r="AU113" s="1">
        <f t="shared" si="106"/>
        <v>1.1999999999999993</v>
      </c>
      <c r="AV113" s="1">
        <f t="shared" si="107"/>
        <v>-0.40000000000000036</v>
      </c>
      <c r="AW113" s="1">
        <f t="shared" si="108"/>
        <v>1.5</v>
      </c>
      <c r="AX113" s="1">
        <f t="shared" si="109"/>
        <v>0</v>
      </c>
      <c r="BC113" s="1">
        <f t="shared" si="110"/>
        <v>1.9011100000000003</v>
      </c>
      <c r="BD113" s="1">
        <f t="shared" si="111"/>
        <v>109</v>
      </c>
      <c r="BE113" s="1">
        <f t="shared" si="112"/>
        <v>8</v>
      </c>
      <c r="BH113" s="1" t="str">
        <f t="shared" si="113"/>
        <v/>
      </c>
      <c r="BI113" s="1" t="str">
        <f>IF(A113="","",IF(BH113="","",RANK(BH113,$BH$3:$BH263,1)))</f>
        <v/>
      </c>
      <c r="BJ113" s="1">
        <f t="shared" si="114"/>
        <v>8</v>
      </c>
      <c r="BM113" s="1">
        <f t="shared" si="115"/>
        <v>0.53687499999999999</v>
      </c>
      <c r="BN113" s="1">
        <f>IF(A113="","",IF(BM113="","",RANK(BM113,$BM$3:$BM263,1)))</f>
        <v>23</v>
      </c>
      <c r="BO113" s="1">
        <f t="shared" si="116"/>
        <v>8</v>
      </c>
      <c r="BR113" s="1">
        <f t="shared" si="117"/>
        <v>8</v>
      </c>
      <c r="BS113" s="1" t="str">
        <f t="shared" si="118"/>
        <v>タマモメイトウ　　　　　　　　　　　</v>
      </c>
      <c r="CD113" s="1" t="str">
        <f t="shared" si="119"/>
        <v/>
      </c>
      <c r="CE113" s="1" t="str">
        <f>IF(A113="","",IF(CD113="","",RANK(CD113,$CD$3:$CD263,1)))</f>
        <v/>
      </c>
      <c r="CF113" s="1">
        <f t="shared" si="120"/>
        <v>8</v>
      </c>
      <c r="CI113" s="1" t="str">
        <f t="shared" si="121"/>
        <v/>
      </c>
      <c r="CJ113" s="1" t="str">
        <f>IF(A113="","",IF(CI113="","",RANK(CI113,$CI$3:$CI263,1)))</f>
        <v/>
      </c>
      <c r="CK113" s="1">
        <f t="shared" si="122"/>
        <v>8</v>
      </c>
      <c r="CN113" s="1" t="str">
        <f t="shared" si="123"/>
        <v/>
      </c>
      <c r="CO113" s="1" t="str">
        <f>IF(A113="","",IF(CN113="","",RANK(CN113,$CN$3:$CN263,1)))</f>
        <v/>
      </c>
      <c r="CP113" s="1">
        <f t="shared" si="124"/>
        <v>8</v>
      </c>
      <c r="CS113" s="1" t="str">
        <f t="shared" si="125"/>
        <v/>
      </c>
      <c r="CT113" s="1" t="str">
        <f>IF(A113="","",IF(CS113="","",RANK(CS113,$CS$3:$CS263,1)))</f>
        <v/>
      </c>
      <c r="CU113" s="1">
        <f t="shared" si="126"/>
        <v>8</v>
      </c>
      <c r="CX113" s="1" t="str">
        <f t="shared" si="127"/>
        <v/>
      </c>
      <c r="CY113" s="1" t="str">
        <f>IF(CX113="","",IF(A113="","",RANK(CX113,$CX$3:$CX263,1)))</f>
        <v/>
      </c>
      <c r="CZ113" s="1">
        <f t="shared" si="128"/>
        <v>8</v>
      </c>
      <c r="DC113" s="1" t="str">
        <f t="shared" si="129"/>
        <v/>
      </c>
      <c r="DD113" s="1" t="str">
        <f>IF(DC113="","",IF(A113="","",RANK(DC113,$DC$3:$DC263,1)))</f>
        <v/>
      </c>
      <c r="DE113" s="1">
        <f t="shared" si="130"/>
        <v>8</v>
      </c>
      <c r="DH113" s="1" t="str">
        <f t="shared" si="131"/>
        <v/>
      </c>
      <c r="DI113" s="1" t="str">
        <f>IF(DH113="","",IF(A113="","",RANK(DH113,$DH$3:$DH263,1)))</f>
        <v/>
      </c>
      <c r="DJ113" s="1">
        <f t="shared" si="132"/>
        <v>8</v>
      </c>
      <c r="DM113" s="1" t="str">
        <f t="shared" si="133"/>
        <v/>
      </c>
      <c r="DN113" s="1" t="str">
        <f>IF(DM113="","",IF(A113="","",RANK(DM113,$DM$3:$DM263,1)))</f>
        <v/>
      </c>
      <c r="DO113" s="1">
        <f t="shared" si="134"/>
        <v>8</v>
      </c>
      <c r="DR113" s="1">
        <f t="shared" si="135"/>
        <v>14.801110000000001</v>
      </c>
      <c r="DS113" s="1">
        <f>IF(DR113="","",IF(A113="","",RANK(DR113,$DR$3:$DR263,1)))</f>
        <v>40</v>
      </c>
      <c r="DT113" s="1">
        <f t="shared" si="136"/>
        <v>8</v>
      </c>
      <c r="DW113" s="1">
        <f t="shared" si="137"/>
        <v>14.10111</v>
      </c>
      <c r="DX113" s="1">
        <f>IF(DW113="","",IF(A113="","",RANK(DW113,$DW$3:$DW263,1)))</f>
        <v>84</v>
      </c>
      <c r="DY113" s="1">
        <f t="shared" si="138"/>
        <v>8</v>
      </c>
      <c r="EB113" s="1">
        <f t="shared" si="139"/>
        <v>12.901110000000001</v>
      </c>
      <c r="EC113" s="1">
        <f>IF(EB113="","",IF(A113="","",RANK(EB113,$EB$3:$EB263,1)))</f>
        <v>80</v>
      </c>
      <c r="ED113" s="1">
        <f t="shared" si="140"/>
        <v>8</v>
      </c>
      <c r="EG113" s="1">
        <f t="shared" si="141"/>
        <v>13.301110000000001</v>
      </c>
      <c r="EH113" s="1">
        <f>IF(EG113="","",IF(A113="","",RANK(EG113,$EG$3:$EG263,1)))</f>
        <v>111</v>
      </c>
      <c r="EI113" s="1">
        <f t="shared" si="142"/>
        <v>8</v>
      </c>
    </row>
    <row r="114" spans="1:139" ht="18.75">
      <c r="A114" s="1" t="s">
        <v>88</v>
      </c>
      <c r="B114" s="1">
        <v>20190303</v>
      </c>
      <c r="C114" s="1" t="s">
        <v>91</v>
      </c>
      <c r="D114" s="1">
        <v>2</v>
      </c>
      <c r="E114" s="30">
        <v>58.2</v>
      </c>
      <c r="F114" s="30">
        <v>42</v>
      </c>
      <c r="G114" s="30">
        <v>27.4</v>
      </c>
      <c r="H114" s="30">
        <v>13.4</v>
      </c>
      <c r="I114" s="30">
        <v>16.2</v>
      </c>
      <c r="J114" s="30">
        <v>14.6</v>
      </c>
      <c r="K114" s="30">
        <v>14</v>
      </c>
      <c r="L114" s="30">
        <v>13.4</v>
      </c>
      <c r="M114" s="1" t="str">
        <f t="shared" si="85"/>
        <v>2019/03/03</v>
      </c>
      <c r="N114" s="4" t="str">
        <f t="shared" si="86"/>
        <v/>
      </c>
      <c r="O114">
        <v>1.1200000000000023E-3</v>
      </c>
      <c r="P114" s="1" t="str">
        <f t="shared" si="87"/>
        <v/>
      </c>
      <c r="Q114" s="1" t="str">
        <f t="shared" si="88"/>
        <v/>
      </c>
      <c r="R114" s="1">
        <f t="shared" si="89"/>
        <v>2</v>
      </c>
      <c r="U114" s="1">
        <f t="shared" si="90"/>
        <v>58.201120000000003</v>
      </c>
      <c r="V114" s="1">
        <f t="shared" si="91"/>
        <v>114</v>
      </c>
      <c r="W114" s="1">
        <f t="shared" si="92"/>
        <v>2</v>
      </c>
      <c r="Z114" s="1" t="str">
        <f t="shared" si="93"/>
        <v/>
      </c>
      <c r="AA114" s="1" t="str">
        <f t="shared" si="94"/>
        <v/>
      </c>
      <c r="AB114" s="1">
        <f t="shared" si="95"/>
        <v>2</v>
      </c>
      <c r="AE114" s="1">
        <f t="shared" si="96"/>
        <v>42.00112</v>
      </c>
      <c r="AF114" s="1">
        <f t="shared" si="97"/>
        <v>114</v>
      </c>
      <c r="AG114" s="1">
        <f t="shared" si="98"/>
        <v>2</v>
      </c>
      <c r="AJ114" s="1" t="str">
        <f t="shared" si="99"/>
        <v/>
      </c>
      <c r="AK114" s="1" t="str">
        <f t="shared" si="100"/>
        <v/>
      </c>
      <c r="AL114" s="1">
        <f t="shared" si="101"/>
        <v>2</v>
      </c>
      <c r="AO114" s="1">
        <f t="shared" si="102"/>
        <v>27.401119999999999</v>
      </c>
      <c r="AP114" s="1">
        <f t="shared" si="103"/>
        <v>121</v>
      </c>
      <c r="AQ114" s="1">
        <f t="shared" si="104"/>
        <v>2</v>
      </c>
      <c r="AT114" s="1">
        <f t="shared" si="105"/>
        <v>1.5999999999999996</v>
      </c>
      <c r="AU114" s="1">
        <f t="shared" si="106"/>
        <v>0.59999999999999964</v>
      </c>
      <c r="AV114" s="1">
        <f t="shared" si="107"/>
        <v>0.59999999999999964</v>
      </c>
      <c r="AW114" s="1">
        <f t="shared" si="108"/>
        <v>2.7999999999999989</v>
      </c>
      <c r="AX114" s="1">
        <f t="shared" si="109"/>
        <v>0.93445333333333302</v>
      </c>
      <c r="BC114" s="1">
        <f t="shared" si="110"/>
        <v>2.2011199999999991</v>
      </c>
      <c r="BD114" s="1">
        <f t="shared" si="111"/>
        <v>93</v>
      </c>
      <c r="BE114" s="1">
        <f t="shared" si="112"/>
        <v>2</v>
      </c>
      <c r="BH114" s="1" t="str">
        <f t="shared" si="113"/>
        <v/>
      </c>
      <c r="BI114" s="1" t="str">
        <f>IF(A114="","",IF(BH114="","",RANK(BH114,$BH$3:$BH264,1)))</f>
        <v/>
      </c>
      <c r="BJ114" s="1">
        <f t="shared" si="114"/>
        <v>2</v>
      </c>
      <c r="BM114" s="1">
        <f t="shared" si="115"/>
        <v>1.087499999999999</v>
      </c>
      <c r="BN114" s="1">
        <f>IF(A114="","",IF(BM114="","",RANK(BM114,$BM$3:$BM264,1)))</f>
        <v>67</v>
      </c>
      <c r="BO114" s="1">
        <f t="shared" si="116"/>
        <v>2</v>
      </c>
      <c r="BR114" s="1">
        <f t="shared" si="117"/>
        <v>2</v>
      </c>
      <c r="BS114" s="1" t="str">
        <f t="shared" si="118"/>
        <v>フェルトベルク　　　　　　　　　　　</v>
      </c>
      <c r="CD114" s="1" t="str">
        <f t="shared" si="119"/>
        <v/>
      </c>
      <c r="CE114" s="1" t="str">
        <f>IF(A114="","",IF(CD114="","",RANK(CD114,$CD$3:$CD264,1)))</f>
        <v/>
      </c>
      <c r="CF114" s="1">
        <f t="shared" si="120"/>
        <v>2</v>
      </c>
      <c r="CI114" s="1" t="str">
        <f t="shared" si="121"/>
        <v/>
      </c>
      <c r="CJ114" s="1" t="str">
        <f>IF(A114="","",IF(CI114="","",RANK(CI114,$CI$3:$CI264,1)))</f>
        <v/>
      </c>
      <c r="CK114" s="1">
        <f t="shared" si="122"/>
        <v>2</v>
      </c>
      <c r="CN114" s="1" t="str">
        <f t="shared" si="123"/>
        <v/>
      </c>
      <c r="CO114" s="1" t="str">
        <f>IF(A114="","",IF(CN114="","",RANK(CN114,$CN$3:$CN264,1)))</f>
        <v/>
      </c>
      <c r="CP114" s="1">
        <f t="shared" si="124"/>
        <v>2</v>
      </c>
      <c r="CS114" s="1" t="str">
        <f t="shared" si="125"/>
        <v/>
      </c>
      <c r="CT114" s="1" t="str">
        <f>IF(A114="","",IF(CS114="","",RANK(CS114,$CS$3:$CS264,1)))</f>
        <v/>
      </c>
      <c r="CU114" s="1">
        <f t="shared" si="126"/>
        <v>2</v>
      </c>
      <c r="CX114" s="1" t="str">
        <f t="shared" si="127"/>
        <v/>
      </c>
      <c r="CY114" s="1" t="str">
        <f>IF(CX114="","",IF(A114="","",RANK(CX114,$CX$3:$CX264,1)))</f>
        <v/>
      </c>
      <c r="CZ114" s="1">
        <f t="shared" si="128"/>
        <v>2</v>
      </c>
      <c r="DC114" s="1" t="str">
        <f t="shared" si="129"/>
        <v/>
      </c>
      <c r="DD114" s="1" t="str">
        <f>IF(DC114="","",IF(A114="","",RANK(DC114,$DC$3:$DC264,1)))</f>
        <v/>
      </c>
      <c r="DE114" s="1">
        <f t="shared" si="130"/>
        <v>2</v>
      </c>
      <c r="DH114" s="1" t="str">
        <f t="shared" si="131"/>
        <v/>
      </c>
      <c r="DI114" s="1" t="str">
        <f>IF(DH114="","",IF(A114="","",RANK(DH114,$DH$3:$DH264,1)))</f>
        <v/>
      </c>
      <c r="DJ114" s="1">
        <f t="shared" si="132"/>
        <v>2</v>
      </c>
      <c r="DM114" s="1" t="str">
        <f t="shared" si="133"/>
        <v/>
      </c>
      <c r="DN114" s="1" t="str">
        <f>IF(DM114="","",IF(A114="","",RANK(DM114,$DM$3:$DM264,1)))</f>
        <v/>
      </c>
      <c r="DO114" s="1">
        <f t="shared" si="134"/>
        <v>2</v>
      </c>
      <c r="DR114" s="1">
        <f t="shared" si="135"/>
        <v>16.20112</v>
      </c>
      <c r="DS114" s="1">
        <f>IF(DR114="","",IF(A114="","",RANK(DR114,$DR$3:$DR264,1)))</f>
        <v>103</v>
      </c>
      <c r="DT114" s="1">
        <f t="shared" si="136"/>
        <v>2</v>
      </c>
      <c r="DW114" s="1">
        <f t="shared" si="137"/>
        <v>14.60112</v>
      </c>
      <c r="DX114" s="1">
        <f>IF(DW114="","",IF(A114="","",RANK(DW114,$DW$3:$DW264,1)))</f>
        <v>106</v>
      </c>
      <c r="DY114" s="1">
        <f t="shared" si="138"/>
        <v>2</v>
      </c>
      <c r="EB114" s="1">
        <f t="shared" si="139"/>
        <v>14.00112</v>
      </c>
      <c r="EC114" s="1">
        <f>IF(EB114="","",IF(A114="","",RANK(EB114,$EB$3:$EB264,1)))</f>
        <v>122</v>
      </c>
      <c r="ED114" s="1">
        <f t="shared" si="140"/>
        <v>2</v>
      </c>
      <c r="EG114" s="1">
        <f t="shared" si="141"/>
        <v>13.401120000000001</v>
      </c>
      <c r="EH114" s="1">
        <f>IF(EG114="","",IF(A114="","",RANK(EG114,$EG$3:$EG264,1)))</f>
        <v>112</v>
      </c>
      <c r="EI114" s="1">
        <f t="shared" si="142"/>
        <v>2</v>
      </c>
    </row>
    <row r="115" spans="1:139" ht="18.75">
      <c r="A115" s="1" t="s">
        <v>88</v>
      </c>
      <c r="B115" s="1">
        <v>20190303</v>
      </c>
      <c r="C115" s="1" t="s">
        <v>91</v>
      </c>
      <c r="D115" s="1">
        <v>2</v>
      </c>
      <c r="E115" s="30">
        <v>58.2</v>
      </c>
      <c r="F115" s="30">
        <v>42</v>
      </c>
      <c r="G115" s="30">
        <v>27.4</v>
      </c>
      <c r="H115" s="30">
        <v>13.4</v>
      </c>
      <c r="I115" s="30">
        <v>16.2</v>
      </c>
      <c r="J115" s="30">
        <v>14.6</v>
      </c>
      <c r="K115" s="30">
        <v>14</v>
      </c>
      <c r="L115" s="30">
        <v>13.4</v>
      </c>
      <c r="M115" s="1" t="str">
        <f t="shared" si="85"/>
        <v>2019/03/03</v>
      </c>
      <c r="N115" s="4" t="str">
        <f t="shared" si="86"/>
        <v/>
      </c>
      <c r="O115">
        <v>1.1300000000000023E-3</v>
      </c>
      <c r="P115" s="1" t="str">
        <f t="shared" si="87"/>
        <v/>
      </c>
      <c r="Q115" s="1" t="str">
        <f t="shared" si="88"/>
        <v/>
      </c>
      <c r="R115" s="1">
        <f t="shared" si="89"/>
        <v>2</v>
      </c>
      <c r="U115" s="1">
        <f t="shared" si="90"/>
        <v>58.201130000000006</v>
      </c>
      <c r="V115" s="1">
        <f t="shared" si="91"/>
        <v>115</v>
      </c>
      <c r="W115" s="1">
        <f t="shared" si="92"/>
        <v>2</v>
      </c>
      <c r="Z115" s="1" t="str">
        <f t="shared" si="93"/>
        <v/>
      </c>
      <c r="AA115" s="1" t="str">
        <f t="shared" si="94"/>
        <v/>
      </c>
      <c r="AB115" s="1">
        <f t="shared" si="95"/>
        <v>2</v>
      </c>
      <c r="AE115" s="1">
        <f t="shared" si="96"/>
        <v>42.001130000000003</v>
      </c>
      <c r="AF115" s="1">
        <f t="shared" si="97"/>
        <v>115</v>
      </c>
      <c r="AG115" s="1">
        <f t="shared" si="98"/>
        <v>2</v>
      </c>
      <c r="AJ115" s="1" t="str">
        <f t="shared" si="99"/>
        <v/>
      </c>
      <c r="AK115" s="1" t="str">
        <f t="shared" si="100"/>
        <v/>
      </c>
      <c r="AL115" s="1">
        <f t="shared" si="101"/>
        <v>2</v>
      </c>
      <c r="AO115" s="1">
        <f t="shared" si="102"/>
        <v>27.401129999999998</v>
      </c>
      <c r="AP115" s="1">
        <f t="shared" si="103"/>
        <v>122</v>
      </c>
      <c r="AQ115" s="1">
        <f t="shared" si="104"/>
        <v>2</v>
      </c>
      <c r="AT115" s="1">
        <f t="shared" si="105"/>
        <v>1.5999999999999996</v>
      </c>
      <c r="AU115" s="1">
        <f t="shared" si="106"/>
        <v>0.59999999999999964</v>
      </c>
      <c r="AV115" s="1">
        <f t="shared" si="107"/>
        <v>0.59999999999999964</v>
      </c>
      <c r="AW115" s="1">
        <f t="shared" si="108"/>
        <v>2.7999999999999989</v>
      </c>
      <c r="AX115" s="1">
        <f t="shared" si="109"/>
        <v>0.93446333333333298</v>
      </c>
      <c r="BC115" s="1">
        <f t="shared" si="110"/>
        <v>2.2011299999999991</v>
      </c>
      <c r="BD115" s="1">
        <f t="shared" si="111"/>
        <v>92</v>
      </c>
      <c r="BE115" s="1">
        <f t="shared" si="112"/>
        <v>2</v>
      </c>
      <c r="BH115" s="1" t="str">
        <f t="shared" si="113"/>
        <v/>
      </c>
      <c r="BI115" s="1" t="str">
        <f>IF(A115="","",IF(BH115="","",RANK(BH115,$BH$3:$BH265,1)))</f>
        <v/>
      </c>
      <c r="BJ115" s="1">
        <f t="shared" si="114"/>
        <v>2</v>
      </c>
      <c r="BM115" s="1">
        <f t="shared" si="115"/>
        <v>1.087499999999999</v>
      </c>
      <c r="BN115" s="1">
        <f>IF(A115="","",IF(BM115="","",RANK(BM115,$BM$3:$BM265,1)))</f>
        <v>67</v>
      </c>
      <c r="BO115" s="1">
        <f t="shared" si="116"/>
        <v>2</v>
      </c>
      <c r="BR115" s="1">
        <f t="shared" si="117"/>
        <v>2</v>
      </c>
      <c r="BS115" s="1" t="str">
        <f t="shared" si="118"/>
        <v>フェルトベルク　　　　　　　　　　　</v>
      </c>
      <c r="CD115" s="1" t="str">
        <f t="shared" si="119"/>
        <v/>
      </c>
      <c r="CE115" s="1" t="str">
        <f>IF(A115="","",IF(CD115="","",RANK(CD115,$CD$3:$CD265,1)))</f>
        <v/>
      </c>
      <c r="CF115" s="1">
        <f t="shared" si="120"/>
        <v>2</v>
      </c>
      <c r="CI115" s="1" t="str">
        <f t="shared" si="121"/>
        <v/>
      </c>
      <c r="CJ115" s="1" t="str">
        <f>IF(A115="","",IF(CI115="","",RANK(CI115,$CI$3:$CI265,1)))</f>
        <v/>
      </c>
      <c r="CK115" s="1">
        <f t="shared" si="122"/>
        <v>2</v>
      </c>
      <c r="CN115" s="1" t="str">
        <f t="shared" si="123"/>
        <v/>
      </c>
      <c r="CO115" s="1" t="str">
        <f>IF(A115="","",IF(CN115="","",RANK(CN115,$CN$3:$CN265,1)))</f>
        <v/>
      </c>
      <c r="CP115" s="1">
        <f t="shared" si="124"/>
        <v>2</v>
      </c>
      <c r="CS115" s="1" t="str">
        <f t="shared" si="125"/>
        <v/>
      </c>
      <c r="CT115" s="1" t="str">
        <f>IF(A115="","",IF(CS115="","",RANK(CS115,$CS$3:$CS265,1)))</f>
        <v/>
      </c>
      <c r="CU115" s="1">
        <f t="shared" si="126"/>
        <v>2</v>
      </c>
      <c r="CX115" s="1" t="str">
        <f t="shared" si="127"/>
        <v/>
      </c>
      <c r="CY115" s="1" t="str">
        <f>IF(CX115="","",IF(A115="","",RANK(CX115,$CX$3:$CX265,1)))</f>
        <v/>
      </c>
      <c r="CZ115" s="1">
        <f t="shared" si="128"/>
        <v>2</v>
      </c>
      <c r="DC115" s="1" t="str">
        <f t="shared" si="129"/>
        <v/>
      </c>
      <c r="DD115" s="1" t="str">
        <f>IF(DC115="","",IF(A115="","",RANK(DC115,$DC$3:$DC265,1)))</f>
        <v/>
      </c>
      <c r="DE115" s="1">
        <f t="shared" si="130"/>
        <v>2</v>
      </c>
      <c r="DH115" s="1" t="str">
        <f t="shared" si="131"/>
        <v/>
      </c>
      <c r="DI115" s="1" t="str">
        <f>IF(DH115="","",IF(A115="","",RANK(DH115,$DH$3:$DH265,1)))</f>
        <v/>
      </c>
      <c r="DJ115" s="1">
        <f t="shared" si="132"/>
        <v>2</v>
      </c>
      <c r="DM115" s="1" t="str">
        <f t="shared" si="133"/>
        <v/>
      </c>
      <c r="DN115" s="1" t="str">
        <f>IF(DM115="","",IF(A115="","",RANK(DM115,$DM$3:$DM265,1)))</f>
        <v/>
      </c>
      <c r="DO115" s="1">
        <f t="shared" si="134"/>
        <v>2</v>
      </c>
      <c r="DR115" s="1">
        <f t="shared" si="135"/>
        <v>16.201129999999999</v>
      </c>
      <c r="DS115" s="1">
        <f>IF(DR115="","",IF(A115="","",RANK(DR115,$DR$3:$DR265,1)))</f>
        <v>104</v>
      </c>
      <c r="DT115" s="1">
        <f t="shared" si="136"/>
        <v>2</v>
      </c>
      <c r="DW115" s="1">
        <f t="shared" si="137"/>
        <v>14.601129999999999</v>
      </c>
      <c r="DX115" s="1">
        <f>IF(DW115="","",IF(A115="","",RANK(DW115,$DW$3:$DW265,1)))</f>
        <v>107</v>
      </c>
      <c r="DY115" s="1">
        <f t="shared" si="138"/>
        <v>2</v>
      </c>
      <c r="EB115" s="1">
        <f t="shared" si="139"/>
        <v>14.00113</v>
      </c>
      <c r="EC115" s="1">
        <f>IF(EB115="","",IF(A115="","",RANK(EB115,$EB$3:$EB265,1)))</f>
        <v>123</v>
      </c>
      <c r="ED115" s="1">
        <f t="shared" si="140"/>
        <v>2</v>
      </c>
      <c r="EG115" s="1">
        <f t="shared" si="141"/>
        <v>13.40113</v>
      </c>
      <c r="EH115" s="1">
        <f>IF(EG115="","",IF(A115="","",RANK(EG115,$EG$3:$EG265,1)))</f>
        <v>113</v>
      </c>
      <c r="EI115" s="1">
        <f t="shared" si="142"/>
        <v>2</v>
      </c>
    </row>
    <row r="116" spans="1:139" ht="18.75">
      <c r="A116" s="1" t="s">
        <v>88</v>
      </c>
      <c r="B116" s="1">
        <v>20190609</v>
      </c>
      <c r="C116" s="1" t="s">
        <v>96</v>
      </c>
      <c r="D116" s="1">
        <v>7</v>
      </c>
      <c r="E116" s="30">
        <v>51.8</v>
      </c>
      <c r="F116" s="30">
        <v>37.6</v>
      </c>
      <c r="G116" s="30">
        <v>25.3</v>
      </c>
      <c r="H116" s="30">
        <v>13.4</v>
      </c>
      <c r="I116" s="30">
        <v>14.2</v>
      </c>
      <c r="J116" s="30">
        <v>12.3</v>
      </c>
      <c r="K116" s="30">
        <v>11.9</v>
      </c>
      <c r="L116" s="30">
        <v>13.4</v>
      </c>
      <c r="M116" s="1" t="str">
        <f t="shared" si="85"/>
        <v>2019/06/09</v>
      </c>
      <c r="N116" s="4" t="str">
        <f t="shared" si="86"/>
        <v/>
      </c>
      <c r="O116">
        <v>1.1400000000000023E-3</v>
      </c>
      <c r="P116" s="1" t="str">
        <f t="shared" si="87"/>
        <v/>
      </c>
      <c r="Q116" s="1" t="str">
        <f t="shared" si="88"/>
        <v/>
      </c>
      <c r="R116" s="1">
        <f t="shared" si="89"/>
        <v>7</v>
      </c>
      <c r="U116" s="1">
        <f t="shared" si="90"/>
        <v>51.801139999999997</v>
      </c>
      <c r="V116" s="1">
        <f t="shared" si="91"/>
        <v>9</v>
      </c>
      <c r="W116" s="1">
        <f t="shared" si="92"/>
        <v>7</v>
      </c>
      <c r="Z116" s="1" t="str">
        <f t="shared" si="93"/>
        <v/>
      </c>
      <c r="AA116" s="1" t="str">
        <f t="shared" si="94"/>
        <v/>
      </c>
      <c r="AB116" s="1">
        <f t="shared" si="95"/>
        <v>7</v>
      </c>
      <c r="AE116" s="1">
        <f t="shared" si="96"/>
        <v>37.601140000000001</v>
      </c>
      <c r="AF116" s="1">
        <f t="shared" si="97"/>
        <v>11</v>
      </c>
      <c r="AG116" s="1">
        <f t="shared" si="98"/>
        <v>7</v>
      </c>
      <c r="AJ116" s="1" t="str">
        <f t="shared" si="99"/>
        <v/>
      </c>
      <c r="AK116" s="1" t="str">
        <f t="shared" si="100"/>
        <v/>
      </c>
      <c r="AL116" s="1">
        <f t="shared" si="101"/>
        <v>7</v>
      </c>
      <c r="AO116" s="1">
        <f t="shared" si="102"/>
        <v>25.30114</v>
      </c>
      <c r="AP116" s="1">
        <f t="shared" si="103"/>
        <v>65</v>
      </c>
      <c r="AQ116" s="1">
        <f t="shared" si="104"/>
        <v>7</v>
      </c>
      <c r="AT116" s="1">
        <f t="shared" si="105"/>
        <v>1.8999999999999986</v>
      </c>
      <c r="AU116" s="1">
        <f t="shared" si="106"/>
        <v>0.40000000000000036</v>
      </c>
      <c r="AV116" s="1">
        <f t="shared" si="107"/>
        <v>-1.5</v>
      </c>
      <c r="AW116" s="1">
        <f t="shared" si="108"/>
        <v>0.79999999999999893</v>
      </c>
      <c r="AX116" s="1">
        <f t="shared" si="109"/>
        <v>0</v>
      </c>
      <c r="BC116" s="1">
        <f t="shared" si="110"/>
        <v>2.3011399999999989</v>
      </c>
      <c r="BD116" s="1">
        <f t="shared" si="111"/>
        <v>86</v>
      </c>
      <c r="BE116" s="1">
        <f t="shared" si="112"/>
        <v>7</v>
      </c>
      <c r="BH116" s="1" t="str">
        <f t="shared" si="113"/>
        <v/>
      </c>
      <c r="BI116" s="1" t="str">
        <f>IF(A116="","",IF(BH116="","",RANK(BH116,$BH$3:$BH266,1)))</f>
        <v/>
      </c>
      <c r="BJ116" s="1">
        <f t="shared" si="114"/>
        <v>7</v>
      </c>
      <c r="BM116" s="1">
        <f t="shared" si="115"/>
        <v>0.82249999999999923</v>
      </c>
      <c r="BN116" s="1">
        <f>IF(A116="","",IF(BM116="","",RANK(BM116,$BM$3:$BM266,1)))</f>
        <v>46</v>
      </c>
      <c r="BO116" s="1">
        <f t="shared" si="116"/>
        <v>7</v>
      </c>
      <c r="BR116" s="1">
        <f t="shared" si="117"/>
        <v>7</v>
      </c>
      <c r="BS116" s="1" t="str">
        <f t="shared" si="118"/>
        <v>サヤカチャン　　　　　　　　　　　　</v>
      </c>
      <c r="CD116" s="1" t="str">
        <f t="shared" si="119"/>
        <v/>
      </c>
      <c r="CE116" s="1" t="str">
        <f>IF(A116="","",IF(CD116="","",RANK(CD116,$CD$3:$CD266,1)))</f>
        <v/>
      </c>
      <c r="CF116" s="1">
        <f t="shared" si="120"/>
        <v>7</v>
      </c>
      <c r="CI116" s="1" t="str">
        <f t="shared" si="121"/>
        <v/>
      </c>
      <c r="CJ116" s="1" t="str">
        <f>IF(A116="","",IF(CI116="","",RANK(CI116,$CI$3:$CI266,1)))</f>
        <v/>
      </c>
      <c r="CK116" s="1">
        <f t="shared" si="122"/>
        <v>7</v>
      </c>
      <c r="CN116" s="1" t="str">
        <f t="shared" si="123"/>
        <v/>
      </c>
      <c r="CO116" s="1" t="str">
        <f>IF(A116="","",IF(CN116="","",RANK(CN116,$CN$3:$CN266,1)))</f>
        <v/>
      </c>
      <c r="CP116" s="1">
        <f t="shared" si="124"/>
        <v>7</v>
      </c>
      <c r="CS116" s="1">
        <f t="shared" si="125"/>
        <v>11.9</v>
      </c>
      <c r="CT116" s="1">
        <f>IF(A116="","",IF(CS116="","",RANK(CS116,$CS$3:$CS266,1)))</f>
        <v>1</v>
      </c>
      <c r="CU116" s="1">
        <f t="shared" si="126"/>
        <v>7</v>
      </c>
      <c r="CX116" s="1" t="str">
        <f t="shared" si="127"/>
        <v/>
      </c>
      <c r="CY116" s="1" t="str">
        <f>IF(CX116="","",IF(A116="","",RANK(CX116,$CX$3:$CX266,1)))</f>
        <v/>
      </c>
      <c r="CZ116" s="1">
        <f t="shared" si="128"/>
        <v>7</v>
      </c>
      <c r="DC116" s="1" t="str">
        <f t="shared" si="129"/>
        <v/>
      </c>
      <c r="DD116" s="1" t="str">
        <f>IF(DC116="","",IF(A116="","",RANK(DC116,$DC$3:$DC266,1)))</f>
        <v/>
      </c>
      <c r="DE116" s="1">
        <f t="shared" si="130"/>
        <v>7</v>
      </c>
      <c r="DH116" s="1" t="str">
        <f t="shared" si="131"/>
        <v/>
      </c>
      <c r="DI116" s="1" t="str">
        <f>IF(DH116="","",IF(A116="","",RANK(DH116,$DH$3:$DH266,1)))</f>
        <v/>
      </c>
      <c r="DJ116" s="1">
        <f t="shared" si="132"/>
        <v>7</v>
      </c>
      <c r="DM116" s="1" t="str">
        <f t="shared" si="133"/>
        <v/>
      </c>
      <c r="DN116" s="1" t="str">
        <f>IF(DM116="","",IF(A116="","",RANK(DM116,$DM$3:$DM266,1)))</f>
        <v/>
      </c>
      <c r="DO116" s="1">
        <f t="shared" si="134"/>
        <v>7</v>
      </c>
      <c r="DR116" s="1">
        <f t="shared" si="135"/>
        <v>14.201139999999999</v>
      </c>
      <c r="DS116" s="1">
        <f>IF(DR116="","",IF(A116="","",RANK(DR116,$DR$3:$DR266,1)))</f>
        <v>12</v>
      </c>
      <c r="DT116" s="1">
        <f t="shared" si="136"/>
        <v>7</v>
      </c>
      <c r="DW116" s="1">
        <f t="shared" si="137"/>
        <v>12.30114</v>
      </c>
      <c r="DX116" s="1">
        <f>IF(DW116="","",IF(A116="","",RANK(DW116,$DW$3:$DW266,1)))</f>
        <v>2</v>
      </c>
      <c r="DY116" s="1">
        <f t="shared" si="138"/>
        <v>7</v>
      </c>
      <c r="EB116" s="1">
        <f t="shared" si="139"/>
        <v>11.90114</v>
      </c>
      <c r="EC116" s="1">
        <f>IF(EB116="","",IF(A116="","",RANK(EB116,$EB$3:$EB266,1)))</f>
        <v>2</v>
      </c>
      <c r="ED116" s="1">
        <f t="shared" si="140"/>
        <v>7</v>
      </c>
      <c r="EG116" s="1">
        <f t="shared" si="141"/>
        <v>13.40114</v>
      </c>
      <c r="EH116" s="1">
        <f>IF(EG116="","",IF(A116="","",RANK(EG116,$EG$3:$EG266,1)))</f>
        <v>114</v>
      </c>
      <c r="EI116" s="1">
        <f t="shared" si="142"/>
        <v>7</v>
      </c>
    </row>
    <row r="117" spans="1:139" ht="18.75">
      <c r="A117" s="1" t="s">
        <v>88</v>
      </c>
      <c r="B117" s="1">
        <v>20190609</v>
      </c>
      <c r="C117" s="1" t="s">
        <v>96</v>
      </c>
      <c r="D117" s="1">
        <v>7</v>
      </c>
      <c r="E117" s="30">
        <v>51.8</v>
      </c>
      <c r="F117" s="30">
        <v>37.6</v>
      </c>
      <c r="G117" s="30">
        <v>25.3</v>
      </c>
      <c r="H117" s="30">
        <v>13.4</v>
      </c>
      <c r="I117" s="30">
        <v>14.2</v>
      </c>
      <c r="J117" s="30">
        <v>12.3</v>
      </c>
      <c r="K117" s="30">
        <v>11.9</v>
      </c>
      <c r="L117" s="30">
        <v>13.4</v>
      </c>
      <c r="M117" s="1" t="str">
        <f t="shared" si="85"/>
        <v>2019/06/09</v>
      </c>
      <c r="N117" s="4" t="str">
        <f t="shared" si="86"/>
        <v/>
      </c>
      <c r="O117">
        <v>1.1500000000000024E-3</v>
      </c>
      <c r="P117" s="1" t="str">
        <f t="shared" si="87"/>
        <v/>
      </c>
      <c r="Q117" s="1" t="str">
        <f t="shared" si="88"/>
        <v/>
      </c>
      <c r="R117" s="1">
        <f t="shared" si="89"/>
        <v>7</v>
      </c>
      <c r="U117" s="1">
        <f t="shared" si="90"/>
        <v>51.80115</v>
      </c>
      <c r="V117" s="1">
        <f t="shared" si="91"/>
        <v>10</v>
      </c>
      <c r="W117" s="1">
        <f t="shared" si="92"/>
        <v>7</v>
      </c>
      <c r="Z117" s="1" t="str">
        <f t="shared" si="93"/>
        <v/>
      </c>
      <c r="AA117" s="1" t="str">
        <f t="shared" si="94"/>
        <v/>
      </c>
      <c r="AB117" s="1">
        <f t="shared" si="95"/>
        <v>7</v>
      </c>
      <c r="AE117" s="1">
        <f t="shared" si="96"/>
        <v>37.601150000000004</v>
      </c>
      <c r="AF117" s="1">
        <f t="shared" si="97"/>
        <v>12</v>
      </c>
      <c r="AG117" s="1">
        <f t="shared" si="98"/>
        <v>7</v>
      </c>
      <c r="AJ117" s="1" t="str">
        <f t="shared" si="99"/>
        <v/>
      </c>
      <c r="AK117" s="1" t="str">
        <f t="shared" si="100"/>
        <v/>
      </c>
      <c r="AL117" s="1">
        <f t="shared" si="101"/>
        <v>7</v>
      </c>
      <c r="AO117" s="1">
        <f t="shared" si="102"/>
        <v>25.30115</v>
      </c>
      <c r="AP117" s="1">
        <f t="shared" si="103"/>
        <v>66</v>
      </c>
      <c r="AQ117" s="1">
        <f t="shared" si="104"/>
        <v>7</v>
      </c>
      <c r="AT117" s="1">
        <f t="shared" si="105"/>
        <v>1.8999999999999986</v>
      </c>
      <c r="AU117" s="1">
        <f t="shared" si="106"/>
        <v>0.40000000000000036</v>
      </c>
      <c r="AV117" s="1">
        <f t="shared" si="107"/>
        <v>-1.5</v>
      </c>
      <c r="AW117" s="1">
        <f t="shared" si="108"/>
        <v>0.79999999999999893</v>
      </c>
      <c r="AX117" s="1">
        <f t="shared" si="109"/>
        <v>0</v>
      </c>
      <c r="BC117" s="1">
        <f t="shared" si="110"/>
        <v>2.3011499999999989</v>
      </c>
      <c r="BD117" s="1">
        <f t="shared" si="111"/>
        <v>85</v>
      </c>
      <c r="BE117" s="1">
        <f t="shared" si="112"/>
        <v>7</v>
      </c>
      <c r="BH117" s="1" t="str">
        <f t="shared" si="113"/>
        <v/>
      </c>
      <c r="BI117" s="1" t="str">
        <f>IF(A117="","",IF(BH117="","",RANK(BH117,$BH$3:$BH267,1)))</f>
        <v/>
      </c>
      <c r="BJ117" s="1">
        <f t="shared" si="114"/>
        <v>7</v>
      </c>
      <c r="BM117" s="1">
        <f t="shared" si="115"/>
        <v>0.82249999999999923</v>
      </c>
      <c r="BN117" s="1">
        <f>IF(A117="","",IF(BM117="","",RANK(BM117,$BM$3:$BM267,1)))</f>
        <v>46</v>
      </c>
      <c r="BO117" s="1">
        <f t="shared" si="116"/>
        <v>7</v>
      </c>
      <c r="BR117" s="1">
        <f t="shared" si="117"/>
        <v>7</v>
      </c>
      <c r="BS117" s="1" t="str">
        <f t="shared" si="118"/>
        <v>サヤカチャン　　　　　　　　　　　　</v>
      </c>
      <c r="CD117" s="1" t="str">
        <f t="shared" si="119"/>
        <v/>
      </c>
      <c r="CE117" s="1" t="str">
        <f>IF(A117="","",IF(CD117="","",RANK(CD117,$CD$3:$CD267,1)))</f>
        <v/>
      </c>
      <c r="CF117" s="1">
        <f t="shared" si="120"/>
        <v>7</v>
      </c>
      <c r="CI117" s="1" t="str">
        <f t="shared" si="121"/>
        <v/>
      </c>
      <c r="CJ117" s="1" t="str">
        <f>IF(A117="","",IF(CI117="","",RANK(CI117,$CI$3:$CI267,1)))</f>
        <v/>
      </c>
      <c r="CK117" s="1">
        <f t="shared" si="122"/>
        <v>7</v>
      </c>
      <c r="CN117" s="1" t="str">
        <f t="shared" si="123"/>
        <v/>
      </c>
      <c r="CO117" s="1" t="str">
        <f>IF(A117="","",IF(CN117="","",RANK(CN117,$CN$3:$CN267,1)))</f>
        <v/>
      </c>
      <c r="CP117" s="1">
        <f t="shared" si="124"/>
        <v>7</v>
      </c>
      <c r="CS117" s="1">
        <f t="shared" si="125"/>
        <v>11.9</v>
      </c>
      <c r="CT117" s="1">
        <f>IF(A117="","",IF(CS117="","",RANK(CS117,$CS$3:$CS267,1)))</f>
        <v>1</v>
      </c>
      <c r="CU117" s="1">
        <f t="shared" si="126"/>
        <v>7</v>
      </c>
      <c r="CX117" s="1" t="str">
        <f t="shared" si="127"/>
        <v/>
      </c>
      <c r="CY117" s="1" t="str">
        <f>IF(CX117="","",IF(A117="","",RANK(CX117,$CX$3:$CX267,1)))</f>
        <v/>
      </c>
      <c r="CZ117" s="1">
        <f t="shared" si="128"/>
        <v>7</v>
      </c>
      <c r="DC117" s="1" t="str">
        <f t="shared" si="129"/>
        <v/>
      </c>
      <c r="DD117" s="1" t="str">
        <f>IF(DC117="","",IF(A117="","",RANK(DC117,$DC$3:$DC267,1)))</f>
        <v/>
      </c>
      <c r="DE117" s="1">
        <f t="shared" si="130"/>
        <v>7</v>
      </c>
      <c r="DH117" s="1" t="str">
        <f t="shared" si="131"/>
        <v/>
      </c>
      <c r="DI117" s="1" t="str">
        <f>IF(DH117="","",IF(A117="","",RANK(DH117,$DH$3:$DH267,1)))</f>
        <v/>
      </c>
      <c r="DJ117" s="1">
        <f t="shared" si="132"/>
        <v>7</v>
      </c>
      <c r="DM117" s="1" t="str">
        <f t="shared" si="133"/>
        <v/>
      </c>
      <c r="DN117" s="1" t="str">
        <f>IF(DM117="","",IF(A117="","",RANK(DM117,$DM$3:$DM267,1)))</f>
        <v/>
      </c>
      <c r="DO117" s="1">
        <f t="shared" si="134"/>
        <v>7</v>
      </c>
      <c r="DR117" s="1">
        <f t="shared" si="135"/>
        <v>14.20115</v>
      </c>
      <c r="DS117" s="1">
        <f>IF(DR117="","",IF(A117="","",RANK(DR117,$DR$3:$DR267,1)))</f>
        <v>13</v>
      </c>
      <c r="DT117" s="1">
        <f t="shared" si="136"/>
        <v>7</v>
      </c>
      <c r="DW117" s="1">
        <f t="shared" si="137"/>
        <v>12.301150000000002</v>
      </c>
      <c r="DX117" s="1">
        <f>IF(DW117="","",IF(A117="","",RANK(DW117,$DW$3:$DW267,1)))</f>
        <v>3</v>
      </c>
      <c r="DY117" s="1">
        <f t="shared" si="138"/>
        <v>7</v>
      </c>
      <c r="EB117" s="1">
        <f t="shared" si="139"/>
        <v>11.901150000000001</v>
      </c>
      <c r="EC117" s="1">
        <f>IF(EB117="","",IF(A117="","",RANK(EB117,$EB$3:$EB267,1)))</f>
        <v>3</v>
      </c>
      <c r="ED117" s="1">
        <f t="shared" si="140"/>
        <v>7</v>
      </c>
      <c r="EG117" s="1">
        <f t="shared" si="141"/>
        <v>13.401150000000001</v>
      </c>
      <c r="EH117" s="1">
        <f>IF(EG117="","",IF(A117="","",RANK(EG117,$EG$3:$EG267,1)))</f>
        <v>115</v>
      </c>
      <c r="EI117" s="1">
        <f t="shared" si="142"/>
        <v>7</v>
      </c>
    </row>
    <row r="118" spans="1:139" ht="18.75">
      <c r="A118" s="1" t="s">
        <v>88</v>
      </c>
      <c r="B118" s="1">
        <v>20190526</v>
      </c>
      <c r="C118" s="1" t="s">
        <v>95</v>
      </c>
      <c r="D118" s="1">
        <v>6</v>
      </c>
      <c r="E118" s="30">
        <v>55.6</v>
      </c>
      <c r="F118" s="30">
        <v>40.700000000000003</v>
      </c>
      <c r="G118" s="30">
        <v>26.9</v>
      </c>
      <c r="H118" s="30">
        <v>13.5</v>
      </c>
      <c r="I118" s="30">
        <v>14.9</v>
      </c>
      <c r="J118" s="30">
        <v>13.8</v>
      </c>
      <c r="K118" s="30">
        <v>13.4</v>
      </c>
      <c r="L118" s="30">
        <v>13.5</v>
      </c>
      <c r="M118" s="1" t="str">
        <f t="shared" si="85"/>
        <v>2019/05/26</v>
      </c>
      <c r="N118" s="4" t="str">
        <f t="shared" si="86"/>
        <v/>
      </c>
      <c r="O118">
        <v>1.1600000000000024E-3</v>
      </c>
      <c r="P118" s="1" t="str">
        <f t="shared" si="87"/>
        <v/>
      </c>
      <c r="Q118" s="1" t="str">
        <f t="shared" si="88"/>
        <v/>
      </c>
      <c r="R118" s="1">
        <f t="shared" si="89"/>
        <v>6</v>
      </c>
      <c r="U118" s="1">
        <f t="shared" si="90"/>
        <v>55.60116</v>
      </c>
      <c r="V118" s="1">
        <f t="shared" si="91"/>
        <v>82</v>
      </c>
      <c r="W118" s="1">
        <f t="shared" si="92"/>
        <v>6</v>
      </c>
      <c r="Z118" s="1" t="str">
        <f t="shared" si="93"/>
        <v/>
      </c>
      <c r="AA118" s="1" t="str">
        <f t="shared" si="94"/>
        <v/>
      </c>
      <c r="AB118" s="1">
        <f t="shared" si="95"/>
        <v>6</v>
      </c>
      <c r="AE118" s="1">
        <f t="shared" si="96"/>
        <v>40.701160000000002</v>
      </c>
      <c r="AF118" s="1">
        <f t="shared" si="97"/>
        <v>97</v>
      </c>
      <c r="AG118" s="1">
        <f t="shared" si="98"/>
        <v>6</v>
      </c>
      <c r="AJ118" s="1" t="str">
        <f t="shared" si="99"/>
        <v/>
      </c>
      <c r="AK118" s="1" t="str">
        <f t="shared" si="100"/>
        <v/>
      </c>
      <c r="AL118" s="1">
        <f t="shared" si="101"/>
        <v>6</v>
      </c>
      <c r="AO118" s="1">
        <f t="shared" si="102"/>
        <v>26.901159999999997</v>
      </c>
      <c r="AP118" s="1">
        <f t="shared" si="103"/>
        <v>110</v>
      </c>
      <c r="AQ118" s="1">
        <f t="shared" si="104"/>
        <v>6</v>
      </c>
      <c r="AT118" s="1">
        <f t="shared" si="105"/>
        <v>1.0999999999999996</v>
      </c>
      <c r="AU118" s="1">
        <f t="shared" si="106"/>
        <v>0.40000000000000036</v>
      </c>
      <c r="AV118" s="1">
        <f t="shared" si="107"/>
        <v>-9.9999999999999645E-2</v>
      </c>
      <c r="AW118" s="1">
        <f t="shared" si="108"/>
        <v>1.4000000000000004</v>
      </c>
      <c r="AX118" s="1">
        <f t="shared" si="109"/>
        <v>0</v>
      </c>
      <c r="BC118" s="1">
        <f t="shared" si="110"/>
        <v>1.50116</v>
      </c>
      <c r="BD118" s="1">
        <f t="shared" si="111"/>
        <v>130</v>
      </c>
      <c r="BE118" s="1">
        <f t="shared" si="112"/>
        <v>6</v>
      </c>
      <c r="BH118" s="1" t="str">
        <f t="shared" si="113"/>
        <v/>
      </c>
      <c r="BI118" s="1" t="str">
        <f>IF(A118="","",IF(BH118="","",RANK(BH118,$BH$3:$BH268,1)))</f>
        <v/>
      </c>
      <c r="BJ118" s="1">
        <f t="shared" si="114"/>
        <v>6</v>
      </c>
      <c r="BM118" s="1">
        <f t="shared" si="115"/>
        <v>0.35500000000000009</v>
      </c>
      <c r="BN118" s="1">
        <f>IF(A118="","",IF(BM118="","",RANK(BM118,$BM$3:$BM268,1)))</f>
        <v>12</v>
      </c>
      <c r="BO118" s="1">
        <f t="shared" si="116"/>
        <v>6</v>
      </c>
      <c r="BR118" s="1">
        <f t="shared" si="117"/>
        <v>6</v>
      </c>
      <c r="BS118" s="1" t="str">
        <f t="shared" si="118"/>
        <v>ミカエルシチー　　　　　　　　　　　</v>
      </c>
      <c r="CD118" s="1" t="str">
        <f t="shared" si="119"/>
        <v/>
      </c>
      <c r="CE118" s="1" t="str">
        <f>IF(A118="","",IF(CD118="","",RANK(CD118,$CD$3:$CD268,1)))</f>
        <v/>
      </c>
      <c r="CF118" s="1">
        <f t="shared" si="120"/>
        <v>6</v>
      </c>
      <c r="CI118" s="1" t="str">
        <f t="shared" si="121"/>
        <v/>
      </c>
      <c r="CJ118" s="1" t="str">
        <f>IF(A118="","",IF(CI118="","",RANK(CI118,$CI$3:$CI268,1)))</f>
        <v/>
      </c>
      <c r="CK118" s="1">
        <f t="shared" si="122"/>
        <v>6</v>
      </c>
      <c r="CN118" s="1" t="str">
        <f t="shared" si="123"/>
        <v/>
      </c>
      <c r="CO118" s="1" t="str">
        <f>IF(A118="","",IF(CN118="","",RANK(CN118,$CN$3:$CN268,1)))</f>
        <v/>
      </c>
      <c r="CP118" s="1">
        <f t="shared" si="124"/>
        <v>6</v>
      </c>
      <c r="CS118" s="1" t="str">
        <f t="shared" si="125"/>
        <v/>
      </c>
      <c r="CT118" s="1" t="str">
        <f>IF(A118="","",IF(CS118="","",RANK(CS118,$CS$3:$CS268,1)))</f>
        <v/>
      </c>
      <c r="CU118" s="1">
        <f t="shared" si="126"/>
        <v>6</v>
      </c>
      <c r="CX118" s="1" t="str">
        <f t="shared" si="127"/>
        <v/>
      </c>
      <c r="CY118" s="1" t="str">
        <f>IF(CX118="","",IF(A118="","",RANK(CX118,$CX$3:$CX268,1)))</f>
        <v/>
      </c>
      <c r="CZ118" s="1">
        <f t="shared" si="128"/>
        <v>6</v>
      </c>
      <c r="DC118" s="1" t="str">
        <f t="shared" si="129"/>
        <v/>
      </c>
      <c r="DD118" s="1" t="str">
        <f>IF(DC118="","",IF(A118="","",RANK(DC118,$DC$3:$DC268,1)))</f>
        <v/>
      </c>
      <c r="DE118" s="1">
        <f t="shared" si="130"/>
        <v>6</v>
      </c>
      <c r="DH118" s="1" t="str">
        <f t="shared" si="131"/>
        <v/>
      </c>
      <c r="DI118" s="1" t="str">
        <f>IF(DH118="","",IF(A118="","",RANK(DH118,$DH$3:$DH268,1)))</f>
        <v/>
      </c>
      <c r="DJ118" s="1">
        <f t="shared" si="132"/>
        <v>6</v>
      </c>
      <c r="DM118" s="1" t="str">
        <f t="shared" si="133"/>
        <v/>
      </c>
      <c r="DN118" s="1" t="str">
        <f>IF(DM118="","",IF(A118="","",RANK(DM118,$DM$3:$DM268,1)))</f>
        <v/>
      </c>
      <c r="DO118" s="1">
        <f t="shared" si="134"/>
        <v>6</v>
      </c>
      <c r="DR118" s="1">
        <f t="shared" si="135"/>
        <v>14.901160000000001</v>
      </c>
      <c r="DS118" s="1">
        <f>IF(DR118="","",IF(A118="","",RANK(DR118,$DR$3:$DR268,1)))</f>
        <v>46</v>
      </c>
      <c r="DT118" s="1">
        <f t="shared" si="136"/>
        <v>6</v>
      </c>
      <c r="DW118" s="1">
        <f t="shared" si="137"/>
        <v>13.801160000000001</v>
      </c>
      <c r="DX118" s="1">
        <f>IF(DW118="","",IF(A118="","",RANK(DW118,$DW$3:$DW268,1)))</f>
        <v>66</v>
      </c>
      <c r="DY118" s="1">
        <f t="shared" si="138"/>
        <v>6</v>
      </c>
      <c r="EB118" s="1">
        <f t="shared" si="139"/>
        <v>13.401160000000001</v>
      </c>
      <c r="EC118" s="1">
        <f>IF(EB118="","",IF(A118="","",RANK(EB118,$EB$3:$EB268,1)))</f>
        <v>104</v>
      </c>
      <c r="ED118" s="1">
        <f t="shared" si="140"/>
        <v>6</v>
      </c>
      <c r="EG118" s="1">
        <f t="shared" si="141"/>
        <v>13.50116</v>
      </c>
      <c r="EH118" s="1">
        <f>IF(EG118="","",IF(A118="","",RANK(EG118,$EG$3:$EG268,1)))</f>
        <v>116</v>
      </c>
      <c r="EI118" s="1">
        <f t="shared" si="142"/>
        <v>6</v>
      </c>
    </row>
    <row r="119" spans="1:139" ht="18.75">
      <c r="A119" s="1" t="s">
        <v>88</v>
      </c>
      <c r="B119" s="1">
        <v>20190609</v>
      </c>
      <c r="C119" s="1" t="s">
        <v>95</v>
      </c>
      <c r="D119" s="1">
        <v>6</v>
      </c>
      <c r="E119" s="30">
        <v>56.9</v>
      </c>
      <c r="F119" s="30">
        <v>41.5</v>
      </c>
      <c r="G119" s="30">
        <v>27.2</v>
      </c>
      <c r="H119" s="30">
        <v>13.5</v>
      </c>
      <c r="I119" s="30">
        <v>15.4</v>
      </c>
      <c r="J119" s="30">
        <v>14.3</v>
      </c>
      <c r="K119" s="30">
        <v>13.7</v>
      </c>
      <c r="L119" s="30">
        <v>13.5</v>
      </c>
      <c r="M119" s="1" t="str">
        <f t="shared" si="85"/>
        <v>2019/06/09</v>
      </c>
      <c r="N119" s="4" t="str">
        <f t="shared" si="86"/>
        <v/>
      </c>
      <c r="O119">
        <v>1.1700000000000024E-3</v>
      </c>
      <c r="P119" s="1" t="str">
        <f t="shared" si="87"/>
        <v/>
      </c>
      <c r="Q119" s="1" t="str">
        <f t="shared" si="88"/>
        <v/>
      </c>
      <c r="R119" s="1">
        <f t="shared" si="89"/>
        <v>6</v>
      </c>
      <c r="U119" s="1">
        <f t="shared" si="90"/>
        <v>56.90117</v>
      </c>
      <c r="V119" s="1">
        <f t="shared" si="91"/>
        <v>101</v>
      </c>
      <c r="W119" s="1">
        <f t="shared" si="92"/>
        <v>6</v>
      </c>
      <c r="Z119" s="1" t="str">
        <f t="shared" si="93"/>
        <v/>
      </c>
      <c r="AA119" s="1" t="str">
        <f t="shared" si="94"/>
        <v/>
      </c>
      <c r="AB119" s="1">
        <f t="shared" si="95"/>
        <v>6</v>
      </c>
      <c r="AE119" s="1">
        <f t="shared" si="96"/>
        <v>41.501170000000002</v>
      </c>
      <c r="AF119" s="1">
        <f t="shared" si="97"/>
        <v>109</v>
      </c>
      <c r="AG119" s="1">
        <f t="shared" si="98"/>
        <v>6</v>
      </c>
      <c r="AJ119" s="1" t="str">
        <f t="shared" si="99"/>
        <v/>
      </c>
      <c r="AK119" s="1" t="str">
        <f t="shared" si="100"/>
        <v/>
      </c>
      <c r="AL119" s="1">
        <f t="shared" si="101"/>
        <v>6</v>
      </c>
      <c r="AO119" s="1">
        <f t="shared" si="102"/>
        <v>27.201169999999998</v>
      </c>
      <c r="AP119" s="1">
        <f t="shared" si="103"/>
        <v>118</v>
      </c>
      <c r="AQ119" s="1">
        <f t="shared" si="104"/>
        <v>6</v>
      </c>
      <c r="AT119" s="1">
        <f t="shared" si="105"/>
        <v>1.0999999999999996</v>
      </c>
      <c r="AU119" s="1">
        <f t="shared" si="106"/>
        <v>0.60000000000000142</v>
      </c>
      <c r="AV119" s="1">
        <f t="shared" si="107"/>
        <v>0.19999999999999929</v>
      </c>
      <c r="AW119" s="1">
        <f t="shared" si="108"/>
        <v>1.9000000000000004</v>
      </c>
      <c r="AX119" s="1">
        <f t="shared" si="109"/>
        <v>0.63450333333333342</v>
      </c>
      <c r="BC119" s="1">
        <f t="shared" si="110"/>
        <v>1.701170000000001</v>
      </c>
      <c r="BD119" s="1">
        <f t="shared" si="111"/>
        <v>122</v>
      </c>
      <c r="BE119" s="1">
        <f t="shared" si="112"/>
        <v>6</v>
      </c>
      <c r="BH119" s="1" t="str">
        <f t="shared" si="113"/>
        <v/>
      </c>
      <c r="BI119" s="1" t="str">
        <f>IF(A119="","",IF(BH119="","",RANK(BH119,$BH$3:$BH269,1)))</f>
        <v/>
      </c>
      <c r="BJ119" s="1">
        <f t="shared" si="114"/>
        <v>6</v>
      </c>
      <c r="BM119" s="1">
        <f t="shared" si="115"/>
        <v>0.54687500000000044</v>
      </c>
      <c r="BN119" s="1">
        <f>IF(A119="","",IF(BM119="","",RANK(BM119,$BM$3:$BM269,1)))</f>
        <v>26</v>
      </c>
      <c r="BO119" s="1">
        <f t="shared" si="116"/>
        <v>6</v>
      </c>
      <c r="BR119" s="1">
        <f t="shared" si="117"/>
        <v>6</v>
      </c>
      <c r="BS119" s="1" t="str">
        <f t="shared" si="118"/>
        <v>ミカエルシチー　　　　　　　　　　　</v>
      </c>
      <c r="CD119" s="1" t="str">
        <f t="shared" si="119"/>
        <v/>
      </c>
      <c r="CE119" s="1" t="str">
        <f>IF(A119="","",IF(CD119="","",RANK(CD119,$CD$3:$CD269,1)))</f>
        <v/>
      </c>
      <c r="CF119" s="1">
        <f t="shared" si="120"/>
        <v>6</v>
      </c>
      <c r="CI119" s="1" t="str">
        <f t="shared" si="121"/>
        <v/>
      </c>
      <c r="CJ119" s="1" t="str">
        <f>IF(A119="","",IF(CI119="","",RANK(CI119,$CI$3:$CI269,1)))</f>
        <v/>
      </c>
      <c r="CK119" s="1">
        <f t="shared" si="122"/>
        <v>6</v>
      </c>
      <c r="CN119" s="1" t="str">
        <f t="shared" si="123"/>
        <v/>
      </c>
      <c r="CO119" s="1" t="str">
        <f>IF(A119="","",IF(CN119="","",RANK(CN119,$CN$3:$CN269,1)))</f>
        <v/>
      </c>
      <c r="CP119" s="1">
        <f t="shared" si="124"/>
        <v>6</v>
      </c>
      <c r="CS119" s="1" t="str">
        <f t="shared" si="125"/>
        <v/>
      </c>
      <c r="CT119" s="1" t="str">
        <f>IF(A119="","",IF(CS119="","",RANK(CS119,$CS$3:$CS269,1)))</f>
        <v/>
      </c>
      <c r="CU119" s="1">
        <f t="shared" si="126"/>
        <v>6</v>
      </c>
      <c r="CX119" s="1" t="str">
        <f t="shared" si="127"/>
        <v/>
      </c>
      <c r="CY119" s="1" t="str">
        <f>IF(CX119="","",IF(A119="","",RANK(CX119,$CX$3:$CX269,1)))</f>
        <v/>
      </c>
      <c r="CZ119" s="1">
        <f t="shared" si="128"/>
        <v>6</v>
      </c>
      <c r="DC119" s="1" t="str">
        <f t="shared" si="129"/>
        <v/>
      </c>
      <c r="DD119" s="1" t="str">
        <f>IF(DC119="","",IF(A119="","",RANK(DC119,$DC$3:$DC269,1)))</f>
        <v/>
      </c>
      <c r="DE119" s="1">
        <f t="shared" si="130"/>
        <v>6</v>
      </c>
      <c r="DH119" s="1" t="str">
        <f t="shared" si="131"/>
        <v/>
      </c>
      <c r="DI119" s="1" t="str">
        <f>IF(DH119="","",IF(A119="","",RANK(DH119,$DH$3:$DH269,1)))</f>
        <v/>
      </c>
      <c r="DJ119" s="1">
        <f t="shared" si="132"/>
        <v>6</v>
      </c>
      <c r="DM119" s="1" t="str">
        <f t="shared" si="133"/>
        <v/>
      </c>
      <c r="DN119" s="1" t="str">
        <f>IF(DM119="","",IF(A119="","",RANK(DM119,$DM$3:$DM269,1)))</f>
        <v/>
      </c>
      <c r="DO119" s="1">
        <f t="shared" si="134"/>
        <v>6</v>
      </c>
      <c r="DR119" s="1">
        <f t="shared" si="135"/>
        <v>15.40117</v>
      </c>
      <c r="DS119" s="1">
        <f>IF(DR119="","",IF(A119="","",RANK(DR119,$DR$3:$DR269,1)))</f>
        <v>68</v>
      </c>
      <c r="DT119" s="1">
        <f t="shared" si="136"/>
        <v>6</v>
      </c>
      <c r="DW119" s="1">
        <f t="shared" si="137"/>
        <v>14.301170000000001</v>
      </c>
      <c r="DX119" s="1">
        <f>IF(DW119="","",IF(A119="","",RANK(DW119,$DW$3:$DW269,1)))</f>
        <v>93</v>
      </c>
      <c r="DY119" s="1">
        <f t="shared" si="138"/>
        <v>6</v>
      </c>
      <c r="EB119" s="1">
        <f t="shared" si="139"/>
        <v>13.701169999999999</v>
      </c>
      <c r="EC119" s="1">
        <f>IF(EB119="","",IF(A119="","",RANK(EB119,$EB$3:$EB269,1)))</f>
        <v>117</v>
      </c>
      <c r="ED119" s="1">
        <f t="shared" si="140"/>
        <v>6</v>
      </c>
      <c r="EG119" s="1">
        <f t="shared" si="141"/>
        <v>13.50117</v>
      </c>
      <c r="EH119" s="1">
        <f>IF(EG119="","",IF(A119="","",RANK(EG119,$EG$3:$EG269,1)))</f>
        <v>117</v>
      </c>
      <c r="EI119" s="1">
        <f t="shared" si="142"/>
        <v>6</v>
      </c>
    </row>
    <row r="120" spans="1:139" ht="18.75">
      <c r="A120" s="1" t="s">
        <v>88</v>
      </c>
      <c r="B120" s="1">
        <v>20190609</v>
      </c>
      <c r="C120" s="1" t="s">
        <v>95</v>
      </c>
      <c r="D120" s="1">
        <v>6</v>
      </c>
      <c r="E120" s="30">
        <v>56.9</v>
      </c>
      <c r="F120" s="30">
        <v>41.5</v>
      </c>
      <c r="G120" s="30">
        <v>27.2</v>
      </c>
      <c r="H120" s="30">
        <v>13.5</v>
      </c>
      <c r="I120" s="30">
        <v>15.4</v>
      </c>
      <c r="J120" s="30">
        <v>14.3</v>
      </c>
      <c r="K120" s="30">
        <v>13.7</v>
      </c>
      <c r="L120" s="30">
        <v>13.5</v>
      </c>
      <c r="M120" s="1" t="str">
        <f t="shared" si="85"/>
        <v>2019/06/09</v>
      </c>
      <c r="N120" s="4" t="str">
        <f t="shared" si="86"/>
        <v/>
      </c>
      <c r="O120">
        <v>1.1800000000000024E-3</v>
      </c>
      <c r="P120" s="1" t="str">
        <f t="shared" si="87"/>
        <v/>
      </c>
      <c r="Q120" s="1" t="str">
        <f t="shared" si="88"/>
        <v/>
      </c>
      <c r="R120" s="1">
        <f t="shared" si="89"/>
        <v>6</v>
      </c>
      <c r="U120" s="1">
        <f t="shared" si="90"/>
        <v>56.901179999999997</v>
      </c>
      <c r="V120" s="1">
        <f t="shared" si="91"/>
        <v>102</v>
      </c>
      <c r="W120" s="1">
        <f t="shared" si="92"/>
        <v>6</v>
      </c>
      <c r="Z120" s="1" t="str">
        <f t="shared" si="93"/>
        <v/>
      </c>
      <c r="AA120" s="1" t="str">
        <f t="shared" si="94"/>
        <v/>
      </c>
      <c r="AB120" s="1">
        <f t="shared" si="95"/>
        <v>6</v>
      </c>
      <c r="AE120" s="1">
        <f t="shared" si="96"/>
        <v>41.501179999999998</v>
      </c>
      <c r="AF120" s="1">
        <f t="shared" si="97"/>
        <v>110</v>
      </c>
      <c r="AG120" s="1">
        <f t="shared" si="98"/>
        <v>6</v>
      </c>
      <c r="AJ120" s="1" t="str">
        <f t="shared" si="99"/>
        <v/>
      </c>
      <c r="AK120" s="1" t="str">
        <f t="shared" si="100"/>
        <v/>
      </c>
      <c r="AL120" s="1">
        <f t="shared" si="101"/>
        <v>6</v>
      </c>
      <c r="AO120" s="1">
        <f t="shared" si="102"/>
        <v>27.201180000000001</v>
      </c>
      <c r="AP120" s="1">
        <f t="shared" si="103"/>
        <v>119</v>
      </c>
      <c r="AQ120" s="1">
        <f t="shared" si="104"/>
        <v>6</v>
      </c>
      <c r="AT120" s="1">
        <f t="shared" si="105"/>
        <v>1.0999999999999996</v>
      </c>
      <c r="AU120" s="1">
        <f t="shared" si="106"/>
        <v>0.60000000000000142</v>
      </c>
      <c r="AV120" s="1">
        <f t="shared" si="107"/>
        <v>0.19999999999999929</v>
      </c>
      <c r="AW120" s="1">
        <f t="shared" si="108"/>
        <v>1.9000000000000004</v>
      </c>
      <c r="AX120" s="1">
        <f t="shared" si="109"/>
        <v>0.63451333333333337</v>
      </c>
      <c r="BC120" s="1">
        <f t="shared" si="110"/>
        <v>1.701180000000001</v>
      </c>
      <c r="BD120" s="1">
        <f t="shared" si="111"/>
        <v>121</v>
      </c>
      <c r="BE120" s="1">
        <f t="shared" si="112"/>
        <v>6</v>
      </c>
      <c r="BH120" s="1" t="str">
        <f t="shared" si="113"/>
        <v/>
      </c>
      <c r="BI120" s="1" t="str">
        <f>IF(A120="","",IF(BH120="","",RANK(BH120,$BH$3:$BH270,1)))</f>
        <v/>
      </c>
      <c r="BJ120" s="1">
        <f t="shared" si="114"/>
        <v>6</v>
      </c>
      <c r="BM120" s="1">
        <f t="shared" si="115"/>
        <v>0.54687500000000044</v>
      </c>
      <c r="BN120" s="1">
        <f>IF(A120="","",IF(BM120="","",RANK(BM120,$BM$3:$BM270,1)))</f>
        <v>26</v>
      </c>
      <c r="BO120" s="1">
        <f t="shared" si="116"/>
        <v>6</v>
      </c>
      <c r="BR120" s="1">
        <f t="shared" si="117"/>
        <v>6</v>
      </c>
      <c r="BS120" s="1" t="str">
        <f t="shared" si="118"/>
        <v>ミカエルシチー　　　　　　　　　　　</v>
      </c>
      <c r="CD120" s="1" t="str">
        <f t="shared" si="119"/>
        <v/>
      </c>
      <c r="CE120" s="1" t="str">
        <f>IF(A120="","",IF(CD120="","",RANK(CD120,$CD$3:$CD270,1)))</f>
        <v/>
      </c>
      <c r="CF120" s="1">
        <f t="shared" si="120"/>
        <v>6</v>
      </c>
      <c r="CI120" s="1" t="str">
        <f t="shared" si="121"/>
        <v/>
      </c>
      <c r="CJ120" s="1" t="str">
        <f>IF(A120="","",IF(CI120="","",RANK(CI120,$CI$3:$CI270,1)))</f>
        <v/>
      </c>
      <c r="CK120" s="1">
        <f t="shared" si="122"/>
        <v>6</v>
      </c>
      <c r="CN120" s="1" t="str">
        <f t="shared" si="123"/>
        <v/>
      </c>
      <c r="CO120" s="1" t="str">
        <f>IF(A120="","",IF(CN120="","",RANK(CN120,$CN$3:$CN270,1)))</f>
        <v/>
      </c>
      <c r="CP120" s="1">
        <f t="shared" si="124"/>
        <v>6</v>
      </c>
      <c r="CS120" s="1" t="str">
        <f t="shared" si="125"/>
        <v/>
      </c>
      <c r="CT120" s="1" t="str">
        <f>IF(A120="","",IF(CS120="","",RANK(CS120,$CS$3:$CS270,1)))</f>
        <v/>
      </c>
      <c r="CU120" s="1">
        <f t="shared" si="126"/>
        <v>6</v>
      </c>
      <c r="CX120" s="1" t="str">
        <f t="shared" si="127"/>
        <v/>
      </c>
      <c r="CY120" s="1" t="str">
        <f>IF(CX120="","",IF(A120="","",RANK(CX120,$CX$3:$CX270,1)))</f>
        <v/>
      </c>
      <c r="CZ120" s="1">
        <f t="shared" si="128"/>
        <v>6</v>
      </c>
      <c r="DC120" s="1" t="str">
        <f t="shared" si="129"/>
        <v/>
      </c>
      <c r="DD120" s="1" t="str">
        <f>IF(DC120="","",IF(A120="","",RANK(DC120,$DC$3:$DC270,1)))</f>
        <v/>
      </c>
      <c r="DE120" s="1">
        <f t="shared" si="130"/>
        <v>6</v>
      </c>
      <c r="DH120" s="1" t="str">
        <f t="shared" si="131"/>
        <v/>
      </c>
      <c r="DI120" s="1" t="str">
        <f>IF(DH120="","",IF(A120="","",RANK(DH120,$DH$3:$DH270,1)))</f>
        <v/>
      </c>
      <c r="DJ120" s="1">
        <f t="shared" si="132"/>
        <v>6</v>
      </c>
      <c r="DM120" s="1" t="str">
        <f t="shared" si="133"/>
        <v/>
      </c>
      <c r="DN120" s="1" t="str">
        <f>IF(DM120="","",IF(A120="","",RANK(DM120,$DM$3:$DM270,1)))</f>
        <v/>
      </c>
      <c r="DO120" s="1">
        <f t="shared" si="134"/>
        <v>6</v>
      </c>
      <c r="DR120" s="1">
        <f t="shared" si="135"/>
        <v>15.40118</v>
      </c>
      <c r="DS120" s="1">
        <f>IF(DR120="","",IF(A120="","",RANK(DR120,$DR$3:$DR270,1)))</f>
        <v>69</v>
      </c>
      <c r="DT120" s="1">
        <f t="shared" si="136"/>
        <v>6</v>
      </c>
      <c r="DW120" s="1">
        <f t="shared" si="137"/>
        <v>14.30118</v>
      </c>
      <c r="DX120" s="1">
        <f>IF(DW120="","",IF(A120="","",RANK(DW120,$DW$3:$DW270,1)))</f>
        <v>94</v>
      </c>
      <c r="DY120" s="1">
        <f t="shared" si="138"/>
        <v>6</v>
      </c>
      <c r="EB120" s="1">
        <f t="shared" si="139"/>
        <v>13.701179999999999</v>
      </c>
      <c r="EC120" s="1">
        <f>IF(EB120="","",IF(A120="","",RANK(EB120,$EB$3:$EB270,1)))</f>
        <v>118</v>
      </c>
      <c r="ED120" s="1">
        <f t="shared" si="140"/>
        <v>6</v>
      </c>
      <c r="EG120" s="1">
        <f t="shared" si="141"/>
        <v>13.50118</v>
      </c>
      <c r="EH120" s="1">
        <f>IF(EG120="","",IF(A120="","",RANK(EG120,$EG$3:$EG270,1)))</f>
        <v>118</v>
      </c>
      <c r="EI120" s="1">
        <f t="shared" si="142"/>
        <v>6</v>
      </c>
    </row>
    <row r="121" spans="1:139" ht="18.75">
      <c r="A121" s="1" t="s">
        <v>88</v>
      </c>
      <c r="B121" s="1">
        <v>20190619</v>
      </c>
      <c r="C121" s="1" t="s">
        <v>94</v>
      </c>
      <c r="D121" s="1">
        <v>5</v>
      </c>
      <c r="E121" s="30">
        <v>57.7</v>
      </c>
      <c r="F121" s="30">
        <v>42.5</v>
      </c>
      <c r="G121" s="30">
        <v>27.7</v>
      </c>
      <c r="H121" s="30">
        <v>13.5</v>
      </c>
      <c r="I121" s="30">
        <v>15.2</v>
      </c>
      <c r="J121" s="30">
        <v>14.8</v>
      </c>
      <c r="K121" s="30">
        <v>14.2</v>
      </c>
      <c r="L121" s="30">
        <v>13.5</v>
      </c>
      <c r="M121" s="1" t="str">
        <f t="shared" si="85"/>
        <v>2019/06/19</v>
      </c>
      <c r="N121" s="4" t="str">
        <f t="shared" si="86"/>
        <v/>
      </c>
      <c r="O121">
        <v>1.1900000000000025E-3</v>
      </c>
      <c r="P121" s="1" t="str">
        <f t="shared" si="87"/>
        <v/>
      </c>
      <c r="Q121" s="1" t="str">
        <f t="shared" si="88"/>
        <v/>
      </c>
      <c r="R121" s="1">
        <f t="shared" si="89"/>
        <v>5</v>
      </c>
      <c r="U121" s="1">
        <f t="shared" si="90"/>
        <v>57.701190000000004</v>
      </c>
      <c r="V121" s="1">
        <f t="shared" si="91"/>
        <v>110</v>
      </c>
      <c r="W121" s="1">
        <f t="shared" si="92"/>
        <v>5</v>
      </c>
      <c r="Z121" s="1" t="str">
        <f t="shared" si="93"/>
        <v/>
      </c>
      <c r="AA121" s="1" t="str">
        <f t="shared" si="94"/>
        <v/>
      </c>
      <c r="AB121" s="1">
        <f t="shared" si="95"/>
        <v>5</v>
      </c>
      <c r="AE121" s="1">
        <f t="shared" si="96"/>
        <v>42.501190000000001</v>
      </c>
      <c r="AF121" s="1">
        <f t="shared" si="97"/>
        <v>122</v>
      </c>
      <c r="AG121" s="1">
        <f t="shared" si="98"/>
        <v>5</v>
      </c>
      <c r="AJ121" s="1" t="str">
        <f t="shared" si="99"/>
        <v/>
      </c>
      <c r="AK121" s="1" t="str">
        <f t="shared" si="100"/>
        <v/>
      </c>
      <c r="AL121" s="1">
        <f t="shared" si="101"/>
        <v>5</v>
      </c>
      <c r="AO121" s="1">
        <f t="shared" si="102"/>
        <v>27.70119</v>
      </c>
      <c r="AP121" s="1">
        <f t="shared" si="103"/>
        <v>125</v>
      </c>
      <c r="AQ121" s="1">
        <f t="shared" si="104"/>
        <v>5</v>
      </c>
      <c r="AT121" s="1">
        <f t="shared" si="105"/>
        <v>0.39999999999999858</v>
      </c>
      <c r="AU121" s="1">
        <f t="shared" si="106"/>
        <v>0.60000000000000142</v>
      </c>
      <c r="AV121" s="1">
        <f t="shared" si="107"/>
        <v>0.69999999999999929</v>
      </c>
      <c r="AW121" s="1">
        <f t="shared" si="108"/>
        <v>1.6999999999999993</v>
      </c>
      <c r="AX121" s="1">
        <f t="shared" si="109"/>
        <v>0.56785666666666645</v>
      </c>
      <c r="BC121" s="1">
        <f t="shared" si="110"/>
        <v>1.00119</v>
      </c>
      <c r="BD121" s="1">
        <f t="shared" si="111"/>
        <v>146</v>
      </c>
      <c r="BE121" s="1">
        <f t="shared" si="112"/>
        <v>5</v>
      </c>
      <c r="BH121" s="1" t="str">
        <f t="shared" si="113"/>
        <v/>
      </c>
      <c r="BI121" s="1" t="str">
        <f>IF(A121="","",IF(BH121="","",RANK(BH121,$BH$3:$BH271,1)))</f>
        <v/>
      </c>
      <c r="BJ121" s="1">
        <f t="shared" si="114"/>
        <v>5</v>
      </c>
      <c r="BM121" s="1">
        <f t="shared" si="115"/>
        <v>0.41187499999999988</v>
      </c>
      <c r="BN121" s="1">
        <f>IF(A121="","",IF(BM121="","",RANK(BM121,$BM$3:$BM271,1)))</f>
        <v>15</v>
      </c>
      <c r="BO121" s="1">
        <f t="shared" si="116"/>
        <v>5</v>
      </c>
      <c r="BR121" s="1">
        <f t="shared" si="117"/>
        <v>5</v>
      </c>
      <c r="BS121" s="1" t="str">
        <f t="shared" si="118"/>
        <v>シグナライズ　　　　　　　　　　　　</v>
      </c>
      <c r="CD121" s="1" t="str">
        <f t="shared" si="119"/>
        <v/>
      </c>
      <c r="CE121" s="1" t="str">
        <f>IF(A121="","",IF(CD121="","",RANK(CD121,$CD$3:$CD271,1)))</f>
        <v/>
      </c>
      <c r="CF121" s="1">
        <f t="shared" si="120"/>
        <v>5</v>
      </c>
      <c r="CI121" s="1" t="str">
        <f t="shared" si="121"/>
        <v/>
      </c>
      <c r="CJ121" s="1" t="str">
        <f>IF(A121="","",IF(CI121="","",RANK(CI121,$CI$3:$CI271,1)))</f>
        <v/>
      </c>
      <c r="CK121" s="1">
        <f t="shared" si="122"/>
        <v>5</v>
      </c>
      <c r="CN121" s="1" t="str">
        <f t="shared" si="123"/>
        <v/>
      </c>
      <c r="CO121" s="1" t="str">
        <f>IF(A121="","",IF(CN121="","",RANK(CN121,$CN$3:$CN271,1)))</f>
        <v/>
      </c>
      <c r="CP121" s="1">
        <f t="shared" si="124"/>
        <v>5</v>
      </c>
      <c r="CS121" s="1" t="str">
        <f t="shared" si="125"/>
        <v/>
      </c>
      <c r="CT121" s="1" t="str">
        <f>IF(A121="","",IF(CS121="","",RANK(CS121,$CS$3:$CS271,1)))</f>
        <v/>
      </c>
      <c r="CU121" s="1">
        <f t="shared" si="126"/>
        <v>5</v>
      </c>
      <c r="CX121" s="1" t="str">
        <f t="shared" si="127"/>
        <v/>
      </c>
      <c r="CY121" s="1" t="str">
        <f>IF(CX121="","",IF(A121="","",RANK(CX121,$CX$3:$CX271,1)))</f>
        <v/>
      </c>
      <c r="CZ121" s="1">
        <f t="shared" si="128"/>
        <v>5</v>
      </c>
      <c r="DC121" s="1" t="str">
        <f t="shared" si="129"/>
        <v/>
      </c>
      <c r="DD121" s="1" t="str">
        <f>IF(DC121="","",IF(A121="","",RANK(DC121,$DC$3:$DC271,1)))</f>
        <v/>
      </c>
      <c r="DE121" s="1">
        <f t="shared" si="130"/>
        <v>5</v>
      </c>
      <c r="DH121" s="1" t="str">
        <f t="shared" si="131"/>
        <v/>
      </c>
      <c r="DI121" s="1" t="str">
        <f>IF(DH121="","",IF(A121="","",RANK(DH121,$DH$3:$DH271,1)))</f>
        <v/>
      </c>
      <c r="DJ121" s="1">
        <f t="shared" si="132"/>
        <v>5</v>
      </c>
      <c r="DM121" s="1" t="str">
        <f t="shared" si="133"/>
        <v/>
      </c>
      <c r="DN121" s="1" t="str">
        <f>IF(DM121="","",IF(A121="","",RANK(DM121,$DM$3:$DM271,1)))</f>
        <v/>
      </c>
      <c r="DO121" s="1">
        <f t="shared" si="134"/>
        <v>5</v>
      </c>
      <c r="DR121" s="1">
        <f t="shared" si="135"/>
        <v>15.201189999999999</v>
      </c>
      <c r="DS121" s="1">
        <f>IF(DR121="","",IF(A121="","",RANK(DR121,$DR$3:$DR271,1)))</f>
        <v>57</v>
      </c>
      <c r="DT121" s="1">
        <f t="shared" si="136"/>
        <v>5</v>
      </c>
      <c r="DW121" s="1">
        <f t="shared" si="137"/>
        <v>14.80119</v>
      </c>
      <c r="DX121" s="1">
        <f>IF(DW121="","",IF(A121="","",RANK(DW121,$DW$3:$DW271,1)))</f>
        <v>114</v>
      </c>
      <c r="DY121" s="1">
        <f t="shared" si="138"/>
        <v>5</v>
      </c>
      <c r="EB121" s="1">
        <f t="shared" si="139"/>
        <v>14.201189999999999</v>
      </c>
      <c r="EC121" s="1">
        <f>IF(EB121="","",IF(A121="","",RANK(EB121,$EB$3:$EB271,1)))</f>
        <v>127</v>
      </c>
      <c r="ED121" s="1">
        <f t="shared" si="140"/>
        <v>5</v>
      </c>
      <c r="EG121" s="1">
        <f t="shared" si="141"/>
        <v>13.501189999999999</v>
      </c>
      <c r="EH121" s="1">
        <f>IF(EG121="","",IF(A121="","",RANK(EG121,$EG$3:$EG271,1)))</f>
        <v>119</v>
      </c>
      <c r="EI121" s="1">
        <f t="shared" si="142"/>
        <v>5</v>
      </c>
    </row>
    <row r="122" spans="1:139" ht="18.75">
      <c r="A122" s="1" t="s">
        <v>88</v>
      </c>
      <c r="B122" s="1">
        <v>20190224</v>
      </c>
      <c r="C122" s="1" t="s">
        <v>94</v>
      </c>
      <c r="D122" s="1">
        <v>5</v>
      </c>
      <c r="E122" s="30">
        <v>60.4</v>
      </c>
      <c r="F122" s="30">
        <v>43.8</v>
      </c>
      <c r="G122" s="30">
        <v>28.2</v>
      </c>
      <c r="H122" s="30">
        <v>13.6</v>
      </c>
      <c r="I122" s="30">
        <v>16.600000000000001</v>
      </c>
      <c r="J122" s="30">
        <v>15.6</v>
      </c>
      <c r="K122" s="30">
        <v>14.6</v>
      </c>
      <c r="L122" s="30">
        <v>13.6</v>
      </c>
      <c r="M122" s="1" t="str">
        <f t="shared" si="85"/>
        <v>2019/02/24</v>
      </c>
      <c r="N122" s="4" t="str">
        <f t="shared" si="86"/>
        <v/>
      </c>
      <c r="O122">
        <v>1.2000000000000025E-3</v>
      </c>
      <c r="P122" s="1" t="str">
        <f t="shared" si="87"/>
        <v/>
      </c>
      <c r="Q122" s="1" t="str">
        <f t="shared" si="88"/>
        <v/>
      </c>
      <c r="R122" s="1">
        <f t="shared" si="89"/>
        <v>5</v>
      </c>
      <c r="U122" s="1">
        <f t="shared" si="90"/>
        <v>60.401199999999996</v>
      </c>
      <c r="V122" s="1">
        <f t="shared" si="91"/>
        <v>130</v>
      </c>
      <c r="W122" s="1">
        <f t="shared" si="92"/>
        <v>5</v>
      </c>
      <c r="Z122" s="1" t="str">
        <f t="shared" si="93"/>
        <v/>
      </c>
      <c r="AA122" s="1" t="str">
        <f t="shared" si="94"/>
        <v/>
      </c>
      <c r="AB122" s="1">
        <f t="shared" si="95"/>
        <v>5</v>
      </c>
      <c r="AE122" s="1">
        <f t="shared" si="96"/>
        <v>43.801199999999994</v>
      </c>
      <c r="AF122" s="1">
        <f t="shared" si="97"/>
        <v>136</v>
      </c>
      <c r="AG122" s="1">
        <f t="shared" si="98"/>
        <v>5</v>
      </c>
      <c r="AJ122" s="1" t="str">
        <f t="shared" si="99"/>
        <v/>
      </c>
      <c r="AK122" s="1" t="str">
        <f t="shared" si="100"/>
        <v/>
      </c>
      <c r="AL122" s="1">
        <f t="shared" si="101"/>
        <v>5</v>
      </c>
      <c r="AO122" s="1">
        <f t="shared" si="102"/>
        <v>28.2012</v>
      </c>
      <c r="AP122" s="1">
        <f t="shared" si="103"/>
        <v>130</v>
      </c>
      <c r="AQ122" s="1">
        <f t="shared" si="104"/>
        <v>5</v>
      </c>
      <c r="AT122" s="1">
        <f t="shared" si="105"/>
        <v>1.0000000000000018</v>
      </c>
      <c r="AU122" s="1">
        <f t="shared" si="106"/>
        <v>1</v>
      </c>
      <c r="AV122" s="1">
        <f t="shared" si="107"/>
        <v>1</v>
      </c>
      <c r="AW122" s="1">
        <f t="shared" si="108"/>
        <v>3.0000000000000018</v>
      </c>
      <c r="AX122" s="1">
        <f t="shared" si="109"/>
        <v>1.0012000000000008</v>
      </c>
      <c r="BC122" s="1">
        <f t="shared" si="110"/>
        <v>2.0012000000000016</v>
      </c>
      <c r="BD122" s="1">
        <f t="shared" si="111"/>
        <v>102</v>
      </c>
      <c r="BE122" s="1">
        <f t="shared" si="112"/>
        <v>5</v>
      </c>
      <c r="BH122" s="1" t="str">
        <f t="shared" si="113"/>
        <v/>
      </c>
      <c r="BI122" s="1" t="str">
        <f>IF(A122="","",IF(BH122="","",RANK(BH122,$BH$3:$BH272,1)))</f>
        <v/>
      </c>
      <c r="BJ122" s="1">
        <f t="shared" si="114"/>
        <v>5</v>
      </c>
      <c r="BM122" s="1">
        <f t="shared" si="115"/>
        <v>1.2500000000000013</v>
      </c>
      <c r="BN122" s="1">
        <f>IF(A122="","",IF(BM122="","",RANK(BM122,$BM$3:$BM272,1)))</f>
        <v>75</v>
      </c>
      <c r="BO122" s="1">
        <f t="shared" si="116"/>
        <v>5</v>
      </c>
      <c r="BR122" s="1">
        <f t="shared" si="117"/>
        <v>5</v>
      </c>
      <c r="BS122" s="1" t="str">
        <f t="shared" si="118"/>
        <v>シグナライズ　　　　　　　　　　　　</v>
      </c>
      <c r="CD122" s="1" t="str">
        <f t="shared" si="119"/>
        <v/>
      </c>
      <c r="CE122" s="1" t="str">
        <f>IF(A122="","",IF(CD122="","",RANK(CD122,$CD$3:$CD272,1)))</f>
        <v/>
      </c>
      <c r="CF122" s="1">
        <f t="shared" si="120"/>
        <v>5</v>
      </c>
      <c r="CI122" s="1" t="str">
        <f t="shared" si="121"/>
        <v/>
      </c>
      <c r="CJ122" s="1" t="str">
        <f>IF(A122="","",IF(CI122="","",RANK(CI122,$CI$3:$CI272,1)))</f>
        <v/>
      </c>
      <c r="CK122" s="1">
        <f t="shared" si="122"/>
        <v>5</v>
      </c>
      <c r="CN122" s="1" t="str">
        <f t="shared" si="123"/>
        <v/>
      </c>
      <c r="CO122" s="1" t="str">
        <f>IF(A122="","",IF(CN122="","",RANK(CN122,$CN$3:$CN272,1)))</f>
        <v/>
      </c>
      <c r="CP122" s="1">
        <f t="shared" si="124"/>
        <v>5</v>
      </c>
      <c r="CS122" s="1" t="str">
        <f t="shared" si="125"/>
        <v/>
      </c>
      <c r="CT122" s="1" t="str">
        <f>IF(A122="","",IF(CS122="","",RANK(CS122,$CS$3:$CS272,1)))</f>
        <v/>
      </c>
      <c r="CU122" s="1">
        <f t="shared" si="126"/>
        <v>5</v>
      </c>
      <c r="CX122" s="1" t="str">
        <f t="shared" si="127"/>
        <v/>
      </c>
      <c r="CY122" s="1" t="str">
        <f>IF(CX122="","",IF(A122="","",RANK(CX122,$CX$3:$CX272,1)))</f>
        <v/>
      </c>
      <c r="CZ122" s="1">
        <f t="shared" si="128"/>
        <v>5</v>
      </c>
      <c r="DC122" s="1" t="str">
        <f t="shared" si="129"/>
        <v/>
      </c>
      <c r="DD122" s="1" t="str">
        <f>IF(DC122="","",IF(A122="","",RANK(DC122,$DC$3:$DC272,1)))</f>
        <v/>
      </c>
      <c r="DE122" s="1">
        <f t="shared" si="130"/>
        <v>5</v>
      </c>
      <c r="DH122" s="1" t="str">
        <f t="shared" si="131"/>
        <v/>
      </c>
      <c r="DI122" s="1" t="str">
        <f>IF(DH122="","",IF(A122="","",RANK(DH122,$DH$3:$DH272,1)))</f>
        <v/>
      </c>
      <c r="DJ122" s="1">
        <f t="shared" si="132"/>
        <v>5</v>
      </c>
      <c r="DM122" s="1" t="str">
        <f t="shared" si="133"/>
        <v/>
      </c>
      <c r="DN122" s="1" t="str">
        <f>IF(DM122="","",IF(A122="","",RANK(DM122,$DM$3:$DM272,1)))</f>
        <v/>
      </c>
      <c r="DO122" s="1">
        <f t="shared" si="134"/>
        <v>5</v>
      </c>
      <c r="DR122" s="1">
        <f t="shared" si="135"/>
        <v>16.601200000000002</v>
      </c>
      <c r="DS122" s="1">
        <f>IF(DR122="","",IF(A122="","",RANK(DR122,$DR$3:$DR272,1)))</f>
        <v>116</v>
      </c>
      <c r="DT122" s="1">
        <f t="shared" si="136"/>
        <v>5</v>
      </c>
      <c r="DW122" s="1">
        <f t="shared" si="137"/>
        <v>15.6012</v>
      </c>
      <c r="DX122" s="1">
        <f>IF(DW122="","",IF(A122="","",RANK(DW122,$DW$3:$DW272,1)))</f>
        <v>128</v>
      </c>
      <c r="DY122" s="1">
        <f t="shared" si="138"/>
        <v>5</v>
      </c>
      <c r="EB122" s="1">
        <f t="shared" si="139"/>
        <v>14.6012</v>
      </c>
      <c r="EC122" s="1">
        <f>IF(EB122="","",IF(A122="","",RANK(EB122,$EB$3:$EB272,1)))</f>
        <v>136</v>
      </c>
      <c r="ED122" s="1">
        <f t="shared" si="140"/>
        <v>5</v>
      </c>
      <c r="EG122" s="1">
        <f t="shared" si="141"/>
        <v>13.6012</v>
      </c>
      <c r="EH122" s="1">
        <f>IF(EG122="","",IF(A122="","",RANK(EG122,$EG$3:$EG272,1)))</f>
        <v>120</v>
      </c>
      <c r="EI122" s="1">
        <f t="shared" si="142"/>
        <v>5</v>
      </c>
    </row>
    <row r="123" spans="1:139" ht="18.75">
      <c r="A123" s="1" t="s">
        <v>88</v>
      </c>
      <c r="B123" s="1">
        <v>20190224</v>
      </c>
      <c r="C123" s="1" t="s">
        <v>94</v>
      </c>
      <c r="D123" s="1">
        <v>5</v>
      </c>
      <c r="E123" s="30">
        <v>60.4</v>
      </c>
      <c r="F123" s="30">
        <v>43.8</v>
      </c>
      <c r="G123" s="30">
        <v>28.2</v>
      </c>
      <c r="H123" s="30">
        <v>13.6</v>
      </c>
      <c r="I123" s="30">
        <v>16.600000000000001</v>
      </c>
      <c r="J123" s="30">
        <v>15.6</v>
      </c>
      <c r="K123" s="30">
        <v>14.6</v>
      </c>
      <c r="L123" s="30">
        <v>13.6</v>
      </c>
      <c r="M123" s="1" t="str">
        <f t="shared" si="85"/>
        <v>2019/02/24</v>
      </c>
      <c r="N123" s="4" t="str">
        <f t="shared" si="86"/>
        <v/>
      </c>
      <c r="O123">
        <v>1.2100000000000025E-3</v>
      </c>
      <c r="P123" s="1" t="str">
        <f t="shared" si="87"/>
        <v/>
      </c>
      <c r="Q123" s="1" t="str">
        <f t="shared" si="88"/>
        <v/>
      </c>
      <c r="R123" s="1">
        <f t="shared" si="89"/>
        <v>5</v>
      </c>
      <c r="U123" s="1">
        <f t="shared" si="90"/>
        <v>60.401209999999999</v>
      </c>
      <c r="V123" s="1">
        <f t="shared" si="91"/>
        <v>131</v>
      </c>
      <c r="W123" s="1">
        <f t="shared" si="92"/>
        <v>5</v>
      </c>
      <c r="Z123" s="1" t="str">
        <f t="shared" si="93"/>
        <v/>
      </c>
      <c r="AA123" s="1" t="str">
        <f t="shared" si="94"/>
        <v/>
      </c>
      <c r="AB123" s="1">
        <f t="shared" si="95"/>
        <v>5</v>
      </c>
      <c r="AE123" s="1">
        <f t="shared" si="96"/>
        <v>43.801209999999998</v>
      </c>
      <c r="AF123" s="1">
        <f t="shared" si="97"/>
        <v>137</v>
      </c>
      <c r="AG123" s="1">
        <f t="shared" si="98"/>
        <v>5</v>
      </c>
      <c r="AJ123" s="1" t="str">
        <f t="shared" si="99"/>
        <v/>
      </c>
      <c r="AK123" s="1" t="str">
        <f t="shared" si="100"/>
        <v/>
      </c>
      <c r="AL123" s="1">
        <f t="shared" si="101"/>
        <v>5</v>
      </c>
      <c r="AO123" s="1">
        <f t="shared" si="102"/>
        <v>28.20121</v>
      </c>
      <c r="AP123" s="1">
        <f t="shared" si="103"/>
        <v>131</v>
      </c>
      <c r="AQ123" s="1">
        <f t="shared" si="104"/>
        <v>5</v>
      </c>
      <c r="AT123" s="1">
        <f t="shared" si="105"/>
        <v>1.0000000000000018</v>
      </c>
      <c r="AU123" s="1">
        <f t="shared" si="106"/>
        <v>1</v>
      </c>
      <c r="AV123" s="1">
        <f t="shared" si="107"/>
        <v>1</v>
      </c>
      <c r="AW123" s="1">
        <f t="shared" si="108"/>
        <v>3.0000000000000018</v>
      </c>
      <c r="AX123" s="1">
        <f t="shared" si="109"/>
        <v>1.0012100000000006</v>
      </c>
      <c r="BC123" s="1">
        <f t="shared" si="110"/>
        <v>2.0012100000000017</v>
      </c>
      <c r="BD123" s="1">
        <f t="shared" si="111"/>
        <v>101</v>
      </c>
      <c r="BE123" s="1">
        <f t="shared" si="112"/>
        <v>5</v>
      </c>
      <c r="BH123" s="1" t="str">
        <f t="shared" si="113"/>
        <v/>
      </c>
      <c r="BI123" s="1" t="str">
        <f>IF(A123="","",IF(BH123="","",RANK(BH123,$BH$3:$BH273,1)))</f>
        <v/>
      </c>
      <c r="BJ123" s="1">
        <f t="shared" si="114"/>
        <v>5</v>
      </c>
      <c r="BM123" s="1">
        <f t="shared" si="115"/>
        <v>1.2500000000000013</v>
      </c>
      <c r="BN123" s="1">
        <f>IF(A123="","",IF(BM123="","",RANK(BM123,$BM$3:$BM273,1)))</f>
        <v>75</v>
      </c>
      <c r="BO123" s="1">
        <f t="shared" si="116"/>
        <v>5</v>
      </c>
      <c r="BR123" s="1">
        <f t="shared" si="117"/>
        <v>5</v>
      </c>
      <c r="BS123" s="1" t="str">
        <f t="shared" si="118"/>
        <v>シグナライズ　　　　　　　　　　　　</v>
      </c>
      <c r="CD123" s="1" t="str">
        <f t="shared" si="119"/>
        <v/>
      </c>
      <c r="CE123" s="1" t="str">
        <f>IF(A123="","",IF(CD123="","",RANK(CD123,$CD$3:$CD273,1)))</f>
        <v/>
      </c>
      <c r="CF123" s="1">
        <f t="shared" si="120"/>
        <v>5</v>
      </c>
      <c r="CI123" s="1" t="str">
        <f t="shared" si="121"/>
        <v/>
      </c>
      <c r="CJ123" s="1" t="str">
        <f>IF(A123="","",IF(CI123="","",RANK(CI123,$CI$3:$CI273,1)))</f>
        <v/>
      </c>
      <c r="CK123" s="1">
        <f t="shared" si="122"/>
        <v>5</v>
      </c>
      <c r="CN123" s="1" t="str">
        <f t="shared" si="123"/>
        <v/>
      </c>
      <c r="CO123" s="1" t="str">
        <f>IF(A123="","",IF(CN123="","",RANK(CN123,$CN$3:$CN273,1)))</f>
        <v/>
      </c>
      <c r="CP123" s="1">
        <f t="shared" si="124"/>
        <v>5</v>
      </c>
      <c r="CS123" s="1" t="str">
        <f t="shared" si="125"/>
        <v/>
      </c>
      <c r="CT123" s="1" t="str">
        <f>IF(A123="","",IF(CS123="","",RANK(CS123,$CS$3:$CS273,1)))</f>
        <v/>
      </c>
      <c r="CU123" s="1">
        <f t="shared" si="126"/>
        <v>5</v>
      </c>
      <c r="CX123" s="1" t="str">
        <f t="shared" si="127"/>
        <v/>
      </c>
      <c r="CY123" s="1" t="str">
        <f>IF(CX123="","",IF(A123="","",RANK(CX123,$CX$3:$CX273,1)))</f>
        <v/>
      </c>
      <c r="CZ123" s="1">
        <f t="shared" si="128"/>
        <v>5</v>
      </c>
      <c r="DC123" s="1" t="str">
        <f t="shared" si="129"/>
        <v/>
      </c>
      <c r="DD123" s="1" t="str">
        <f>IF(DC123="","",IF(A123="","",RANK(DC123,$DC$3:$DC273,1)))</f>
        <v/>
      </c>
      <c r="DE123" s="1">
        <f t="shared" si="130"/>
        <v>5</v>
      </c>
      <c r="DH123" s="1" t="str">
        <f t="shared" si="131"/>
        <v/>
      </c>
      <c r="DI123" s="1" t="str">
        <f>IF(DH123="","",IF(A123="","",RANK(DH123,$DH$3:$DH273,1)))</f>
        <v/>
      </c>
      <c r="DJ123" s="1">
        <f t="shared" si="132"/>
        <v>5</v>
      </c>
      <c r="DM123" s="1" t="str">
        <f t="shared" si="133"/>
        <v/>
      </c>
      <c r="DN123" s="1" t="str">
        <f>IF(DM123="","",IF(A123="","",RANK(DM123,$DM$3:$DM273,1)))</f>
        <v/>
      </c>
      <c r="DO123" s="1">
        <f t="shared" si="134"/>
        <v>5</v>
      </c>
      <c r="DR123" s="1">
        <f t="shared" si="135"/>
        <v>16.601210000000002</v>
      </c>
      <c r="DS123" s="1">
        <f>IF(DR123="","",IF(A123="","",RANK(DR123,$DR$3:$DR273,1)))</f>
        <v>117</v>
      </c>
      <c r="DT123" s="1">
        <f t="shared" si="136"/>
        <v>5</v>
      </c>
      <c r="DW123" s="1">
        <f t="shared" si="137"/>
        <v>15.60121</v>
      </c>
      <c r="DX123" s="1">
        <f>IF(DW123="","",IF(A123="","",RANK(DW123,$DW$3:$DW273,1)))</f>
        <v>129</v>
      </c>
      <c r="DY123" s="1">
        <f t="shared" si="138"/>
        <v>5</v>
      </c>
      <c r="EB123" s="1">
        <f t="shared" si="139"/>
        <v>14.60121</v>
      </c>
      <c r="EC123" s="1">
        <f>IF(EB123="","",IF(A123="","",RANK(EB123,$EB$3:$EB273,1)))</f>
        <v>137</v>
      </c>
      <c r="ED123" s="1">
        <f t="shared" si="140"/>
        <v>5</v>
      </c>
      <c r="EG123" s="1">
        <f t="shared" si="141"/>
        <v>13.60121</v>
      </c>
      <c r="EH123" s="1">
        <f>IF(EG123="","",IF(A123="","",RANK(EG123,$EG$3:$EG273,1)))</f>
        <v>121</v>
      </c>
      <c r="EI123" s="1">
        <f t="shared" si="142"/>
        <v>5</v>
      </c>
    </row>
    <row r="124" spans="1:139" ht="18.75">
      <c r="A124" s="1" t="s">
        <v>88</v>
      </c>
      <c r="B124" s="1">
        <v>20190403</v>
      </c>
      <c r="C124" s="1" t="s">
        <v>94</v>
      </c>
      <c r="D124" s="1">
        <v>5</v>
      </c>
      <c r="E124" s="30">
        <v>56.6</v>
      </c>
      <c r="F124" s="30">
        <v>40.9</v>
      </c>
      <c r="G124" s="30">
        <v>27.1</v>
      </c>
      <c r="H124" s="30">
        <v>13.6</v>
      </c>
      <c r="I124" s="30">
        <v>15.7</v>
      </c>
      <c r="J124" s="30">
        <v>13.8</v>
      </c>
      <c r="K124" s="30">
        <v>13.5</v>
      </c>
      <c r="L124" s="30">
        <v>13.6</v>
      </c>
      <c r="M124" s="1" t="str">
        <f t="shared" si="85"/>
        <v>2019/04/03</v>
      </c>
      <c r="N124" s="4" t="str">
        <f t="shared" si="86"/>
        <v/>
      </c>
      <c r="O124">
        <v>1.2200000000000025E-3</v>
      </c>
      <c r="P124" s="1" t="str">
        <f t="shared" si="87"/>
        <v/>
      </c>
      <c r="Q124" s="1" t="str">
        <f t="shared" si="88"/>
        <v/>
      </c>
      <c r="R124" s="1">
        <f t="shared" si="89"/>
        <v>5</v>
      </c>
      <c r="U124" s="1">
        <f t="shared" si="90"/>
        <v>56.601220000000005</v>
      </c>
      <c r="V124" s="1">
        <f t="shared" si="91"/>
        <v>98</v>
      </c>
      <c r="W124" s="1">
        <f t="shared" si="92"/>
        <v>5</v>
      </c>
      <c r="Z124" s="1" t="str">
        <f t="shared" si="93"/>
        <v/>
      </c>
      <c r="AA124" s="1" t="str">
        <f t="shared" si="94"/>
        <v/>
      </c>
      <c r="AB124" s="1">
        <f t="shared" si="95"/>
        <v>5</v>
      </c>
      <c r="AE124" s="1">
        <f t="shared" si="96"/>
        <v>40.901220000000002</v>
      </c>
      <c r="AF124" s="1">
        <f t="shared" si="97"/>
        <v>101</v>
      </c>
      <c r="AG124" s="1">
        <f t="shared" si="98"/>
        <v>5</v>
      </c>
      <c r="AJ124" s="1" t="str">
        <f t="shared" si="99"/>
        <v/>
      </c>
      <c r="AK124" s="1" t="str">
        <f t="shared" si="100"/>
        <v/>
      </c>
      <c r="AL124" s="1">
        <f t="shared" si="101"/>
        <v>5</v>
      </c>
      <c r="AO124" s="1">
        <f t="shared" si="102"/>
        <v>27.101220000000001</v>
      </c>
      <c r="AP124" s="1">
        <f t="shared" si="103"/>
        <v>117</v>
      </c>
      <c r="AQ124" s="1">
        <f t="shared" si="104"/>
        <v>5</v>
      </c>
      <c r="AT124" s="1">
        <f t="shared" si="105"/>
        <v>1.8999999999999986</v>
      </c>
      <c r="AU124" s="1">
        <f t="shared" si="106"/>
        <v>0.30000000000000071</v>
      </c>
      <c r="AV124" s="1">
        <f t="shared" si="107"/>
        <v>-9.9999999999999645E-2</v>
      </c>
      <c r="AW124" s="1">
        <f t="shared" si="108"/>
        <v>2.0999999999999996</v>
      </c>
      <c r="AX124" s="1">
        <f t="shared" si="109"/>
        <v>0</v>
      </c>
      <c r="BC124" s="1">
        <f t="shared" si="110"/>
        <v>2.2012199999999993</v>
      </c>
      <c r="BD124" s="1">
        <f t="shared" si="111"/>
        <v>91</v>
      </c>
      <c r="BE124" s="1">
        <f t="shared" si="112"/>
        <v>5</v>
      </c>
      <c r="BH124" s="1" t="str">
        <f t="shared" si="113"/>
        <v/>
      </c>
      <c r="BI124" s="1" t="str">
        <f>IF(A124="","",IF(BH124="","",RANK(BH124,$BH$3:$BH274,1)))</f>
        <v/>
      </c>
      <c r="BJ124" s="1">
        <f t="shared" si="114"/>
        <v>5</v>
      </c>
      <c r="BM124" s="1">
        <f t="shared" si="115"/>
        <v>0.81249999999999933</v>
      </c>
      <c r="BN124" s="1">
        <f>IF(A124="","",IF(BM124="","",RANK(BM124,$BM$3:$BM274,1)))</f>
        <v>45</v>
      </c>
      <c r="BO124" s="1">
        <f t="shared" si="116"/>
        <v>5</v>
      </c>
      <c r="BR124" s="1">
        <f t="shared" si="117"/>
        <v>5</v>
      </c>
      <c r="BS124" s="1" t="str">
        <f t="shared" si="118"/>
        <v>シグナライズ　　　　　　　　　　　　</v>
      </c>
      <c r="CD124" s="1" t="str">
        <f t="shared" si="119"/>
        <v/>
      </c>
      <c r="CE124" s="1" t="str">
        <f>IF(A124="","",IF(CD124="","",RANK(CD124,$CD$3:$CD274,1)))</f>
        <v/>
      </c>
      <c r="CF124" s="1">
        <f t="shared" si="120"/>
        <v>5</v>
      </c>
      <c r="CI124" s="1" t="str">
        <f t="shared" si="121"/>
        <v/>
      </c>
      <c r="CJ124" s="1" t="str">
        <f>IF(A124="","",IF(CI124="","",RANK(CI124,$CI$3:$CI274,1)))</f>
        <v/>
      </c>
      <c r="CK124" s="1">
        <f t="shared" si="122"/>
        <v>5</v>
      </c>
      <c r="CN124" s="1" t="str">
        <f t="shared" si="123"/>
        <v/>
      </c>
      <c r="CO124" s="1" t="str">
        <f>IF(A124="","",IF(CN124="","",RANK(CN124,$CN$3:$CN274,1)))</f>
        <v/>
      </c>
      <c r="CP124" s="1">
        <f t="shared" si="124"/>
        <v>5</v>
      </c>
      <c r="CS124" s="1" t="str">
        <f t="shared" si="125"/>
        <v/>
      </c>
      <c r="CT124" s="1" t="str">
        <f>IF(A124="","",IF(CS124="","",RANK(CS124,$CS$3:$CS274,1)))</f>
        <v/>
      </c>
      <c r="CU124" s="1">
        <f t="shared" si="126"/>
        <v>5</v>
      </c>
      <c r="CX124" s="1" t="str">
        <f t="shared" si="127"/>
        <v/>
      </c>
      <c r="CY124" s="1" t="str">
        <f>IF(CX124="","",IF(A124="","",RANK(CX124,$CX$3:$CX274,1)))</f>
        <v/>
      </c>
      <c r="CZ124" s="1">
        <f t="shared" si="128"/>
        <v>5</v>
      </c>
      <c r="DC124" s="1" t="str">
        <f t="shared" si="129"/>
        <v/>
      </c>
      <c r="DD124" s="1" t="str">
        <f>IF(DC124="","",IF(A124="","",RANK(DC124,$DC$3:$DC274,1)))</f>
        <v/>
      </c>
      <c r="DE124" s="1">
        <f t="shared" si="130"/>
        <v>5</v>
      </c>
      <c r="DH124" s="1" t="str">
        <f t="shared" si="131"/>
        <v/>
      </c>
      <c r="DI124" s="1" t="str">
        <f>IF(DH124="","",IF(A124="","",RANK(DH124,$DH$3:$DH274,1)))</f>
        <v/>
      </c>
      <c r="DJ124" s="1">
        <f t="shared" si="132"/>
        <v>5</v>
      </c>
      <c r="DM124" s="1" t="str">
        <f t="shared" si="133"/>
        <v/>
      </c>
      <c r="DN124" s="1" t="str">
        <f>IF(DM124="","",IF(A124="","",RANK(DM124,$DM$3:$DM274,1)))</f>
        <v/>
      </c>
      <c r="DO124" s="1">
        <f t="shared" si="134"/>
        <v>5</v>
      </c>
      <c r="DR124" s="1">
        <f t="shared" si="135"/>
        <v>15.701219999999999</v>
      </c>
      <c r="DS124" s="1">
        <f>IF(DR124="","",IF(A124="","",RANK(DR124,$DR$3:$DR274,1)))</f>
        <v>85</v>
      </c>
      <c r="DT124" s="1">
        <f t="shared" si="136"/>
        <v>5</v>
      </c>
      <c r="DW124" s="1">
        <f t="shared" si="137"/>
        <v>13.801220000000001</v>
      </c>
      <c r="DX124" s="1">
        <f>IF(DW124="","",IF(A124="","",RANK(DW124,$DW$3:$DW274,1)))</f>
        <v>67</v>
      </c>
      <c r="DY124" s="1">
        <f t="shared" si="138"/>
        <v>5</v>
      </c>
      <c r="EB124" s="1">
        <f t="shared" si="139"/>
        <v>13.50122</v>
      </c>
      <c r="EC124" s="1">
        <f>IF(EB124="","",IF(A124="","",RANK(EB124,$EB$3:$EB274,1)))</f>
        <v>107</v>
      </c>
      <c r="ED124" s="1">
        <f t="shared" si="140"/>
        <v>5</v>
      </c>
      <c r="EG124" s="1">
        <f t="shared" si="141"/>
        <v>13.60122</v>
      </c>
      <c r="EH124" s="1">
        <f>IF(EG124="","",IF(A124="","",RANK(EG124,$EG$3:$EG274,1)))</f>
        <v>122</v>
      </c>
      <c r="EI124" s="1">
        <f t="shared" si="142"/>
        <v>5</v>
      </c>
    </row>
    <row r="125" spans="1:139" ht="18.75">
      <c r="A125" s="1" t="s">
        <v>88</v>
      </c>
      <c r="B125" s="1">
        <v>20190602</v>
      </c>
      <c r="C125" s="1" t="s">
        <v>95</v>
      </c>
      <c r="D125" s="1">
        <v>6</v>
      </c>
      <c r="E125" s="30">
        <v>57.1</v>
      </c>
      <c r="F125" s="30">
        <v>41.4</v>
      </c>
      <c r="G125" s="30">
        <v>27</v>
      </c>
      <c r="H125" s="30">
        <v>13.7</v>
      </c>
      <c r="I125" s="30">
        <v>15.7</v>
      </c>
      <c r="J125" s="30">
        <v>14.4</v>
      </c>
      <c r="K125" s="30">
        <v>13.3</v>
      </c>
      <c r="L125" s="30">
        <v>13.7</v>
      </c>
      <c r="M125" s="1" t="str">
        <f t="shared" si="85"/>
        <v>2019/06/02</v>
      </c>
      <c r="N125" s="4" t="str">
        <f t="shared" si="86"/>
        <v/>
      </c>
      <c r="O125">
        <v>1.2300000000000026E-3</v>
      </c>
      <c r="P125" s="1" t="str">
        <f t="shared" si="87"/>
        <v/>
      </c>
      <c r="Q125" s="1" t="str">
        <f t="shared" si="88"/>
        <v/>
      </c>
      <c r="R125" s="1">
        <f t="shared" si="89"/>
        <v>6</v>
      </c>
      <c r="U125" s="1">
        <f t="shared" si="90"/>
        <v>57.101230000000001</v>
      </c>
      <c r="V125" s="1">
        <f t="shared" si="91"/>
        <v>104</v>
      </c>
      <c r="W125" s="1">
        <f t="shared" si="92"/>
        <v>6</v>
      </c>
      <c r="Z125" s="1" t="str">
        <f t="shared" si="93"/>
        <v/>
      </c>
      <c r="AA125" s="1" t="str">
        <f t="shared" si="94"/>
        <v/>
      </c>
      <c r="AB125" s="1">
        <f t="shared" si="95"/>
        <v>6</v>
      </c>
      <c r="AE125" s="1">
        <f t="shared" si="96"/>
        <v>41.401229999999998</v>
      </c>
      <c r="AF125" s="1">
        <f t="shared" si="97"/>
        <v>106</v>
      </c>
      <c r="AG125" s="1">
        <f t="shared" si="98"/>
        <v>6</v>
      </c>
      <c r="AJ125" s="1" t="str">
        <f t="shared" si="99"/>
        <v/>
      </c>
      <c r="AK125" s="1" t="str">
        <f t="shared" si="100"/>
        <v/>
      </c>
      <c r="AL125" s="1">
        <f t="shared" si="101"/>
        <v>6</v>
      </c>
      <c r="AO125" s="1">
        <f t="shared" si="102"/>
        <v>27.00123</v>
      </c>
      <c r="AP125" s="1">
        <f t="shared" si="103"/>
        <v>114</v>
      </c>
      <c r="AQ125" s="1">
        <f t="shared" si="104"/>
        <v>6</v>
      </c>
      <c r="AT125" s="1">
        <f t="shared" si="105"/>
        <v>1.2999999999999989</v>
      </c>
      <c r="AU125" s="1">
        <f t="shared" si="106"/>
        <v>1.0999999999999996</v>
      </c>
      <c r="AV125" s="1">
        <f t="shared" si="107"/>
        <v>-0.39999999999999858</v>
      </c>
      <c r="AW125" s="1">
        <f t="shared" si="108"/>
        <v>2</v>
      </c>
      <c r="AX125" s="1">
        <f t="shared" si="109"/>
        <v>0</v>
      </c>
      <c r="BC125" s="1">
        <f t="shared" si="110"/>
        <v>2.4012299999999986</v>
      </c>
      <c r="BD125" s="1">
        <f t="shared" si="111"/>
        <v>76</v>
      </c>
      <c r="BE125" s="1">
        <f t="shared" si="112"/>
        <v>6</v>
      </c>
      <c r="BH125" s="1" t="str">
        <f t="shared" si="113"/>
        <v/>
      </c>
      <c r="BI125" s="1" t="str">
        <f>IF(A125="","",IF(BH125="","",RANK(BH125,$BH$3:$BH275,1)))</f>
        <v/>
      </c>
      <c r="BJ125" s="1">
        <f t="shared" si="114"/>
        <v>6</v>
      </c>
      <c r="BM125" s="1">
        <f t="shared" si="115"/>
        <v>0.83187499999999925</v>
      </c>
      <c r="BN125" s="1">
        <f>IF(A125="","",IF(BM125="","",RANK(BM125,$BM$3:$BM275,1)))</f>
        <v>48</v>
      </c>
      <c r="BO125" s="1">
        <f t="shared" si="116"/>
        <v>6</v>
      </c>
      <c r="BR125" s="1">
        <f t="shared" si="117"/>
        <v>6</v>
      </c>
      <c r="BS125" s="1" t="str">
        <f t="shared" si="118"/>
        <v>ミカエルシチー　　　　　　　　　　　</v>
      </c>
      <c r="CD125" s="1" t="str">
        <f t="shared" si="119"/>
        <v/>
      </c>
      <c r="CE125" s="1" t="str">
        <f>IF(A125="","",IF(CD125="","",RANK(CD125,$CD$3:$CD275,1)))</f>
        <v/>
      </c>
      <c r="CF125" s="1">
        <f t="shared" si="120"/>
        <v>6</v>
      </c>
      <c r="CI125" s="1" t="str">
        <f t="shared" si="121"/>
        <v/>
      </c>
      <c r="CJ125" s="1" t="str">
        <f>IF(A125="","",IF(CI125="","",RANK(CI125,$CI$3:$CI275,1)))</f>
        <v/>
      </c>
      <c r="CK125" s="1">
        <f t="shared" si="122"/>
        <v>6</v>
      </c>
      <c r="CN125" s="1" t="str">
        <f t="shared" si="123"/>
        <v/>
      </c>
      <c r="CO125" s="1" t="str">
        <f>IF(A125="","",IF(CN125="","",RANK(CN125,$CN$3:$CN275,1)))</f>
        <v/>
      </c>
      <c r="CP125" s="1">
        <f t="shared" si="124"/>
        <v>6</v>
      </c>
      <c r="CS125" s="1" t="str">
        <f t="shared" si="125"/>
        <v/>
      </c>
      <c r="CT125" s="1" t="str">
        <f>IF(A125="","",IF(CS125="","",RANK(CS125,$CS$3:$CS275,1)))</f>
        <v/>
      </c>
      <c r="CU125" s="1">
        <f t="shared" si="126"/>
        <v>6</v>
      </c>
      <c r="CX125" s="1" t="str">
        <f t="shared" si="127"/>
        <v/>
      </c>
      <c r="CY125" s="1" t="str">
        <f>IF(CX125="","",IF(A125="","",RANK(CX125,$CX$3:$CX275,1)))</f>
        <v/>
      </c>
      <c r="CZ125" s="1">
        <f t="shared" si="128"/>
        <v>6</v>
      </c>
      <c r="DC125" s="1" t="str">
        <f t="shared" si="129"/>
        <v/>
      </c>
      <c r="DD125" s="1" t="str">
        <f>IF(DC125="","",IF(A125="","",RANK(DC125,$DC$3:$DC275,1)))</f>
        <v/>
      </c>
      <c r="DE125" s="1">
        <f t="shared" si="130"/>
        <v>6</v>
      </c>
      <c r="DH125" s="1" t="str">
        <f t="shared" si="131"/>
        <v/>
      </c>
      <c r="DI125" s="1" t="str">
        <f>IF(DH125="","",IF(A125="","",RANK(DH125,$DH$3:$DH275,1)))</f>
        <v/>
      </c>
      <c r="DJ125" s="1">
        <f t="shared" si="132"/>
        <v>6</v>
      </c>
      <c r="DM125" s="1" t="str">
        <f t="shared" si="133"/>
        <v/>
      </c>
      <c r="DN125" s="1" t="str">
        <f>IF(DM125="","",IF(A125="","",RANK(DM125,$DM$3:$DM275,1)))</f>
        <v/>
      </c>
      <c r="DO125" s="1">
        <f t="shared" si="134"/>
        <v>6</v>
      </c>
      <c r="DR125" s="1">
        <f t="shared" si="135"/>
        <v>15.701229999999999</v>
      </c>
      <c r="DS125" s="1">
        <f>IF(DR125="","",IF(A125="","",RANK(DR125,$DR$3:$DR275,1)))</f>
        <v>86</v>
      </c>
      <c r="DT125" s="1">
        <f t="shared" si="136"/>
        <v>6</v>
      </c>
      <c r="DW125" s="1">
        <f t="shared" si="137"/>
        <v>14.40123</v>
      </c>
      <c r="DX125" s="1">
        <f>IF(DW125="","",IF(A125="","",RANK(DW125,$DW$3:$DW275,1)))</f>
        <v>99</v>
      </c>
      <c r="DY125" s="1">
        <f t="shared" si="138"/>
        <v>6</v>
      </c>
      <c r="EB125" s="1">
        <f t="shared" si="139"/>
        <v>13.30123</v>
      </c>
      <c r="EC125" s="1">
        <f>IF(EB125="","",IF(A125="","",RANK(EB125,$EB$3:$EB275,1)))</f>
        <v>99</v>
      </c>
      <c r="ED125" s="1">
        <f t="shared" si="140"/>
        <v>6</v>
      </c>
      <c r="EG125" s="1">
        <f t="shared" si="141"/>
        <v>13.701229999999999</v>
      </c>
      <c r="EH125" s="1">
        <f>IF(EG125="","",IF(A125="","",RANK(EG125,$EG$3:$EG275,1)))</f>
        <v>123</v>
      </c>
      <c r="EI125" s="1">
        <f t="shared" si="142"/>
        <v>6</v>
      </c>
    </row>
    <row r="126" spans="1:139" ht="18.75">
      <c r="A126" s="1" t="s">
        <v>88</v>
      </c>
      <c r="B126" s="1">
        <v>20190602</v>
      </c>
      <c r="C126" s="1" t="s">
        <v>95</v>
      </c>
      <c r="D126" s="1">
        <v>6</v>
      </c>
      <c r="E126" s="30">
        <v>57.1</v>
      </c>
      <c r="F126" s="30">
        <v>41.4</v>
      </c>
      <c r="G126" s="30">
        <v>27</v>
      </c>
      <c r="H126" s="30">
        <v>13.7</v>
      </c>
      <c r="I126" s="30">
        <v>15.7</v>
      </c>
      <c r="J126" s="30">
        <v>14.4</v>
      </c>
      <c r="K126" s="30">
        <v>13.3</v>
      </c>
      <c r="L126" s="30">
        <v>13.7</v>
      </c>
      <c r="M126" s="1" t="str">
        <f t="shared" si="85"/>
        <v>2019/06/02</v>
      </c>
      <c r="N126" s="4" t="str">
        <f t="shared" si="86"/>
        <v/>
      </c>
      <c r="O126">
        <v>1.2400000000000026E-3</v>
      </c>
      <c r="P126" s="1" t="str">
        <f t="shared" si="87"/>
        <v/>
      </c>
      <c r="Q126" s="1" t="str">
        <f t="shared" si="88"/>
        <v/>
      </c>
      <c r="R126" s="1">
        <f t="shared" si="89"/>
        <v>6</v>
      </c>
      <c r="U126" s="1">
        <f t="shared" si="90"/>
        <v>57.101240000000004</v>
      </c>
      <c r="V126" s="1">
        <f t="shared" si="91"/>
        <v>105</v>
      </c>
      <c r="W126" s="1">
        <f t="shared" si="92"/>
        <v>6</v>
      </c>
      <c r="Z126" s="1" t="str">
        <f t="shared" si="93"/>
        <v/>
      </c>
      <c r="AA126" s="1" t="str">
        <f t="shared" si="94"/>
        <v/>
      </c>
      <c r="AB126" s="1">
        <f t="shared" si="95"/>
        <v>6</v>
      </c>
      <c r="AE126" s="1">
        <f t="shared" si="96"/>
        <v>41.401240000000001</v>
      </c>
      <c r="AF126" s="1">
        <f t="shared" si="97"/>
        <v>107</v>
      </c>
      <c r="AG126" s="1">
        <f t="shared" si="98"/>
        <v>6</v>
      </c>
      <c r="AJ126" s="1" t="str">
        <f t="shared" si="99"/>
        <v/>
      </c>
      <c r="AK126" s="1" t="str">
        <f t="shared" si="100"/>
        <v/>
      </c>
      <c r="AL126" s="1">
        <f t="shared" si="101"/>
        <v>6</v>
      </c>
      <c r="AO126" s="1">
        <f t="shared" si="102"/>
        <v>27.001239999999999</v>
      </c>
      <c r="AP126" s="1">
        <f t="shared" si="103"/>
        <v>115</v>
      </c>
      <c r="AQ126" s="1">
        <f t="shared" si="104"/>
        <v>6</v>
      </c>
      <c r="AT126" s="1">
        <f t="shared" si="105"/>
        <v>1.2999999999999989</v>
      </c>
      <c r="AU126" s="1">
        <f t="shared" si="106"/>
        <v>1.0999999999999996</v>
      </c>
      <c r="AV126" s="1">
        <f t="shared" si="107"/>
        <v>-0.39999999999999858</v>
      </c>
      <c r="AW126" s="1">
        <f t="shared" si="108"/>
        <v>2</v>
      </c>
      <c r="AX126" s="1">
        <f t="shared" si="109"/>
        <v>0</v>
      </c>
      <c r="BC126" s="1">
        <f t="shared" si="110"/>
        <v>2.4012399999999987</v>
      </c>
      <c r="BD126" s="1">
        <f t="shared" si="111"/>
        <v>75</v>
      </c>
      <c r="BE126" s="1">
        <f t="shared" si="112"/>
        <v>6</v>
      </c>
      <c r="BH126" s="1" t="str">
        <f t="shared" si="113"/>
        <v/>
      </c>
      <c r="BI126" s="1" t="str">
        <f>IF(A126="","",IF(BH126="","",RANK(BH126,$BH$3:$BH276,1)))</f>
        <v/>
      </c>
      <c r="BJ126" s="1">
        <f t="shared" si="114"/>
        <v>6</v>
      </c>
      <c r="BM126" s="1">
        <f t="shared" si="115"/>
        <v>0.83187499999999925</v>
      </c>
      <c r="BN126" s="1">
        <f>IF(A126="","",IF(BM126="","",RANK(BM126,$BM$3:$BM276,1)))</f>
        <v>48</v>
      </c>
      <c r="BO126" s="1">
        <f t="shared" si="116"/>
        <v>6</v>
      </c>
      <c r="BR126" s="1">
        <f t="shared" si="117"/>
        <v>6</v>
      </c>
      <c r="BS126" s="1" t="str">
        <f t="shared" si="118"/>
        <v>ミカエルシチー　　　　　　　　　　　</v>
      </c>
      <c r="CD126" s="1" t="str">
        <f t="shared" si="119"/>
        <v/>
      </c>
      <c r="CE126" s="1" t="str">
        <f>IF(A126="","",IF(CD126="","",RANK(CD126,$CD$3:$CD276,1)))</f>
        <v/>
      </c>
      <c r="CF126" s="1">
        <f t="shared" si="120"/>
        <v>6</v>
      </c>
      <c r="CI126" s="1" t="str">
        <f t="shared" si="121"/>
        <v/>
      </c>
      <c r="CJ126" s="1" t="str">
        <f>IF(A126="","",IF(CI126="","",RANK(CI126,$CI$3:$CI276,1)))</f>
        <v/>
      </c>
      <c r="CK126" s="1">
        <f t="shared" si="122"/>
        <v>6</v>
      </c>
      <c r="CN126" s="1" t="str">
        <f t="shared" si="123"/>
        <v/>
      </c>
      <c r="CO126" s="1" t="str">
        <f>IF(A126="","",IF(CN126="","",RANK(CN126,$CN$3:$CN276,1)))</f>
        <v/>
      </c>
      <c r="CP126" s="1">
        <f t="shared" si="124"/>
        <v>6</v>
      </c>
      <c r="CS126" s="1" t="str">
        <f t="shared" si="125"/>
        <v/>
      </c>
      <c r="CT126" s="1" t="str">
        <f>IF(A126="","",IF(CS126="","",RANK(CS126,$CS$3:$CS276,1)))</f>
        <v/>
      </c>
      <c r="CU126" s="1">
        <f t="shared" si="126"/>
        <v>6</v>
      </c>
      <c r="CX126" s="1" t="str">
        <f t="shared" si="127"/>
        <v/>
      </c>
      <c r="CY126" s="1" t="str">
        <f>IF(CX126="","",IF(A126="","",RANK(CX126,$CX$3:$CX276,1)))</f>
        <v/>
      </c>
      <c r="CZ126" s="1">
        <f t="shared" si="128"/>
        <v>6</v>
      </c>
      <c r="DC126" s="1" t="str">
        <f t="shared" si="129"/>
        <v/>
      </c>
      <c r="DD126" s="1" t="str">
        <f>IF(DC126="","",IF(A126="","",RANK(DC126,$DC$3:$DC276,1)))</f>
        <v/>
      </c>
      <c r="DE126" s="1">
        <f t="shared" si="130"/>
        <v>6</v>
      </c>
      <c r="DH126" s="1" t="str">
        <f t="shared" si="131"/>
        <v/>
      </c>
      <c r="DI126" s="1" t="str">
        <f>IF(DH126="","",IF(A126="","",RANK(DH126,$DH$3:$DH276,1)))</f>
        <v/>
      </c>
      <c r="DJ126" s="1">
        <f t="shared" si="132"/>
        <v>6</v>
      </c>
      <c r="DM126" s="1" t="str">
        <f t="shared" si="133"/>
        <v/>
      </c>
      <c r="DN126" s="1" t="str">
        <f>IF(DM126="","",IF(A126="","",RANK(DM126,$DM$3:$DM276,1)))</f>
        <v/>
      </c>
      <c r="DO126" s="1">
        <f t="shared" si="134"/>
        <v>6</v>
      </c>
      <c r="DR126" s="1">
        <f t="shared" si="135"/>
        <v>15.701239999999999</v>
      </c>
      <c r="DS126" s="1">
        <f>IF(DR126="","",IF(A126="","",RANK(DR126,$DR$3:$DR276,1)))</f>
        <v>87</v>
      </c>
      <c r="DT126" s="1">
        <f t="shared" si="136"/>
        <v>6</v>
      </c>
      <c r="DW126" s="1">
        <f t="shared" si="137"/>
        <v>14.40124</v>
      </c>
      <c r="DX126" s="1">
        <f>IF(DW126="","",IF(A126="","",RANK(DW126,$DW$3:$DW276,1)))</f>
        <v>100</v>
      </c>
      <c r="DY126" s="1">
        <f t="shared" si="138"/>
        <v>6</v>
      </c>
      <c r="EB126" s="1">
        <f t="shared" si="139"/>
        <v>13.30124</v>
      </c>
      <c r="EC126" s="1">
        <f>IF(EB126="","",IF(A126="","",RANK(EB126,$EB$3:$EB276,1)))</f>
        <v>100</v>
      </c>
      <c r="ED126" s="1">
        <f t="shared" si="140"/>
        <v>6</v>
      </c>
      <c r="EG126" s="1">
        <f t="shared" si="141"/>
        <v>13.701239999999999</v>
      </c>
      <c r="EH126" s="1">
        <f>IF(EG126="","",IF(A126="","",RANK(EG126,$EG$3:$EG276,1)))</f>
        <v>124</v>
      </c>
      <c r="EI126" s="1">
        <f t="shared" si="142"/>
        <v>6</v>
      </c>
    </row>
    <row r="127" spans="1:139" ht="18.75">
      <c r="A127" s="1" t="s">
        <v>88</v>
      </c>
      <c r="B127" s="1">
        <v>20190623</v>
      </c>
      <c r="C127" s="1" t="s">
        <v>98</v>
      </c>
      <c r="D127" s="1">
        <v>9</v>
      </c>
      <c r="E127" s="30">
        <v>58.9</v>
      </c>
      <c r="F127" s="30">
        <v>41.3</v>
      </c>
      <c r="G127" s="30">
        <v>27.2</v>
      </c>
      <c r="H127" s="30">
        <v>13.7</v>
      </c>
      <c r="I127" s="30">
        <v>17.600000000000001</v>
      </c>
      <c r="J127" s="30">
        <v>14.1</v>
      </c>
      <c r="K127" s="30">
        <v>13.5</v>
      </c>
      <c r="L127" s="30">
        <v>13.7</v>
      </c>
      <c r="M127" s="1" t="str">
        <f t="shared" si="85"/>
        <v>2019/06/23</v>
      </c>
      <c r="N127" s="4" t="str">
        <f t="shared" si="86"/>
        <v/>
      </c>
      <c r="O127">
        <v>1.2500000000000026E-3</v>
      </c>
      <c r="P127" s="1" t="str">
        <f t="shared" si="87"/>
        <v/>
      </c>
      <c r="Q127" s="1" t="str">
        <f t="shared" si="88"/>
        <v/>
      </c>
      <c r="R127" s="1">
        <f t="shared" si="89"/>
        <v>9</v>
      </c>
      <c r="U127" s="1">
        <f t="shared" si="90"/>
        <v>58.901249999999997</v>
      </c>
      <c r="V127" s="1">
        <f t="shared" si="91"/>
        <v>122</v>
      </c>
      <c r="W127" s="1">
        <f t="shared" si="92"/>
        <v>9</v>
      </c>
      <c r="Z127" s="1" t="str">
        <f t="shared" si="93"/>
        <v/>
      </c>
      <c r="AA127" s="1" t="str">
        <f t="shared" si="94"/>
        <v/>
      </c>
      <c r="AB127" s="1">
        <f t="shared" si="95"/>
        <v>9</v>
      </c>
      <c r="AE127" s="1">
        <f t="shared" si="96"/>
        <v>41.301249999999996</v>
      </c>
      <c r="AF127" s="1">
        <f t="shared" si="97"/>
        <v>104</v>
      </c>
      <c r="AG127" s="1">
        <f t="shared" si="98"/>
        <v>9</v>
      </c>
      <c r="AJ127" s="1" t="str">
        <f t="shared" si="99"/>
        <v/>
      </c>
      <c r="AK127" s="1" t="str">
        <f t="shared" si="100"/>
        <v/>
      </c>
      <c r="AL127" s="1">
        <f t="shared" si="101"/>
        <v>9</v>
      </c>
      <c r="AO127" s="1">
        <f t="shared" si="102"/>
        <v>27.201249999999998</v>
      </c>
      <c r="AP127" s="1">
        <f t="shared" si="103"/>
        <v>120</v>
      </c>
      <c r="AQ127" s="1">
        <f t="shared" si="104"/>
        <v>9</v>
      </c>
      <c r="AT127" s="1">
        <f t="shared" si="105"/>
        <v>3.5000000000000018</v>
      </c>
      <c r="AU127" s="1">
        <f t="shared" si="106"/>
        <v>0.59999999999999964</v>
      </c>
      <c r="AV127" s="1">
        <f t="shared" si="107"/>
        <v>-0.19999999999999929</v>
      </c>
      <c r="AW127" s="1">
        <f t="shared" si="108"/>
        <v>3.9000000000000021</v>
      </c>
      <c r="AX127" s="1">
        <f t="shared" si="109"/>
        <v>0</v>
      </c>
      <c r="BC127" s="1">
        <f t="shared" si="110"/>
        <v>4.1012500000000012</v>
      </c>
      <c r="BD127" s="1">
        <f t="shared" si="111"/>
        <v>17</v>
      </c>
      <c r="BE127" s="1">
        <f t="shared" si="112"/>
        <v>9</v>
      </c>
      <c r="BH127" s="1" t="str">
        <f t="shared" si="113"/>
        <v/>
      </c>
      <c r="BI127" s="1" t="str">
        <f>IF(A127="","",IF(BH127="","",RANK(BH127,$BH$3:$BH277,1)))</f>
        <v/>
      </c>
      <c r="BJ127" s="1">
        <f t="shared" si="114"/>
        <v>9</v>
      </c>
      <c r="BM127" s="1">
        <f t="shared" si="115"/>
        <v>2.801874999999967</v>
      </c>
      <c r="BN127" s="1">
        <f>IF(A127="","",IF(BM127="","",RANK(BM127,$BM$3:$BM277,1)))</f>
        <v>129</v>
      </c>
      <c r="BO127" s="1">
        <f t="shared" si="116"/>
        <v>9</v>
      </c>
      <c r="BR127" s="1">
        <f t="shared" si="117"/>
        <v>9</v>
      </c>
      <c r="BS127" s="1" t="str">
        <f t="shared" si="118"/>
        <v>メイショウイサナ　　　　　　　　　　</v>
      </c>
      <c r="CD127" s="1" t="str">
        <f t="shared" si="119"/>
        <v/>
      </c>
      <c r="CE127" s="1" t="str">
        <f>IF(A127="","",IF(CD127="","",RANK(CD127,$CD$3:$CD277,1)))</f>
        <v/>
      </c>
      <c r="CF127" s="1">
        <f t="shared" si="120"/>
        <v>9</v>
      </c>
      <c r="CI127" s="1" t="str">
        <f t="shared" si="121"/>
        <v/>
      </c>
      <c r="CJ127" s="1" t="str">
        <f>IF(A127="","",IF(CI127="","",RANK(CI127,$CI$3:$CI277,1)))</f>
        <v/>
      </c>
      <c r="CK127" s="1">
        <f t="shared" si="122"/>
        <v>9</v>
      </c>
      <c r="CN127" s="1" t="str">
        <f t="shared" si="123"/>
        <v/>
      </c>
      <c r="CO127" s="1" t="str">
        <f>IF(A127="","",IF(CN127="","",RANK(CN127,$CN$3:$CN277,1)))</f>
        <v/>
      </c>
      <c r="CP127" s="1">
        <f t="shared" si="124"/>
        <v>9</v>
      </c>
      <c r="CS127" s="1" t="str">
        <f t="shared" si="125"/>
        <v/>
      </c>
      <c r="CT127" s="1" t="str">
        <f>IF(A127="","",IF(CS127="","",RANK(CS127,$CS$3:$CS277,1)))</f>
        <v/>
      </c>
      <c r="CU127" s="1">
        <f t="shared" si="126"/>
        <v>9</v>
      </c>
      <c r="CX127" s="1" t="str">
        <f t="shared" si="127"/>
        <v/>
      </c>
      <c r="CY127" s="1" t="str">
        <f>IF(CX127="","",IF(A127="","",RANK(CX127,$CX$3:$CX277,1)))</f>
        <v/>
      </c>
      <c r="CZ127" s="1">
        <f t="shared" si="128"/>
        <v>9</v>
      </c>
      <c r="DC127" s="1" t="str">
        <f t="shared" si="129"/>
        <v/>
      </c>
      <c r="DD127" s="1" t="str">
        <f>IF(DC127="","",IF(A127="","",RANK(DC127,$DC$3:$DC277,1)))</f>
        <v/>
      </c>
      <c r="DE127" s="1">
        <f t="shared" si="130"/>
        <v>9</v>
      </c>
      <c r="DH127" s="1" t="str">
        <f t="shared" si="131"/>
        <v/>
      </c>
      <c r="DI127" s="1" t="str">
        <f>IF(DH127="","",IF(A127="","",RANK(DH127,$DH$3:$DH277,1)))</f>
        <v/>
      </c>
      <c r="DJ127" s="1">
        <f t="shared" si="132"/>
        <v>9</v>
      </c>
      <c r="DM127" s="1" t="str">
        <f t="shared" si="133"/>
        <v/>
      </c>
      <c r="DN127" s="1" t="str">
        <f>IF(DM127="","",IF(A127="","",RANK(DM127,$DM$3:$DM277,1)))</f>
        <v/>
      </c>
      <c r="DO127" s="1">
        <f t="shared" si="134"/>
        <v>9</v>
      </c>
      <c r="DR127" s="1">
        <f t="shared" si="135"/>
        <v>17.60125</v>
      </c>
      <c r="DS127" s="1">
        <f>IF(DR127="","",IF(A127="","",RANK(DR127,$DR$3:$DR277,1)))</f>
        <v>135</v>
      </c>
      <c r="DT127" s="1">
        <f t="shared" si="136"/>
        <v>9</v>
      </c>
      <c r="DW127" s="1">
        <f t="shared" si="137"/>
        <v>14.10125</v>
      </c>
      <c r="DX127" s="1">
        <f>IF(DW127="","",IF(A127="","",RANK(DW127,$DW$3:$DW277,1)))</f>
        <v>85</v>
      </c>
      <c r="DY127" s="1">
        <f t="shared" si="138"/>
        <v>9</v>
      </c>
      <c r="EB127" s="1">
        <f t="shared" si="139"/>
        <v>13.501250000000001</v>
      </c>
      <c r="EC127" s="1">
        <f>IF(EB127="","",IF(A127="","",RANK(EB127,$EB$3:$EB277,1)))</f>
        <v>108</v>
      </c>
      <c r="ED127" s="1">
        <f t="shared" si="140"/>
        <v>9</v>
      </c>
      <c r="EG127" s="1">
        <f t="shared" si="141"/>
        <v>13.70125</v>
      </c>
      <c r="EH127" s="1">
        <f>IF(EG127="","",IF(A127="","",RANK(EG127,$EG$3:$EG277,1)))</f>
        <v>125</v>
      </c>
      <c r="EI127" s="1">
        <f t="shared" si="142"/>
        <v>9</v>
      </c>
    </row>
    <row r="128" spans="1:139" ht="18.75">
      <c r="A128" s="1" t="s">
        <v>88</v>
      </c>
      <c r="B128" s="1">
        <v>20190703</v>
      </c>
      <c r="C128" s="1" t="s">
        <v>96</v>
      </c>
      <c r="D128" s="1">
        <v>7</v>
      </c>
      <c r="E128" s="30">
        <v>59.3</v>
      </c>
      <c r="F128" s="30">
        <v>43.1</v>
      </c>
      <c r="G128" s="30">
        <v>27.9</v>
      </c>
      <c r="H128" s="30">
        <v>13.7</v>
      </c>
      <c r="I128" s="30">
        <v>16.2</v>
      </c>
      <c r="J128" s="30">
        <v>15.2</v>
      </c>
      <c r="K128" s="30">
        <v>14.2</v>
      </c>
      <c r="L128" s="30">
        <v>13.7</v>
      </c>
      <c r="M128" s="1" t="str">
        <f t="shared" si="85"/>
        <v>2019/07/03</v>
      </c>
      <c r="N128" s="4" t="str">
        <f t="shared" si="86"/>
        <v/>
      </c>
      <c r="O128">
        <v>1.2600000000000027E-3</v>
      </c>
      <c r="P128" s="1" t="str">
        <f t="shared" si="87"/>
        <v/>
      </c>
      <c r="Q128" s="1" t="str">
        <f t="shared" si="88"/>
        <v/>
      </c>
      <c r="R128" s="1">
        <f t="shared" si="89"/>
        <v>7</v>
      </c>
      <c r="U128" s="1">
        <f t="shared" si="90"/>
        <v>59.301259999999999</v>
      </c>
      <c r="V128" s="1">
        <f t="shared" si="91"/>
        <v>124</v>
      </c>
      <c r="W128" s="1">
        <f t="shared" si="92"/>
        <v>7</v>
      </c>
      <c r="Z128" s="1" t="str">
        <f t="shared" si="93"/>
        <v/>
      </c>
      <c r="AA128" s="1" t="str">
        <f t="shared" si="94"/>
        <v/>
      </c>
      <c r="AB128" s="1">
        <f t="shared" si="95"/>
        <v>7</v>
      </c>
      <c r="AE128" s="1">
        <f t="shared" si="96"/>
        <v>43.101260000000003</v>
      </c>
      <c r="AF128" s="1">
        <f t="shared" si="97"/>
        <v>130</v>
      </c>
      <c r="AG128" s="1">
        <f t="shared" si="98"/>
        <v>7</v>
      </c>
      <c r="AJ128" s="1" t="str">
        <f t="shared" si="99"/>
        <v/>
      </c>
      <c r="AK128" s="1" t="str">
        <f t="shared" si="100"/>
        <v/>
      </c>
      <c r="AL128" s="1">
        <f t="shared" si="101"/>
        <v>7</v>
      </c>
      <c r="AO128" s="1">
        <f t="shared" si="102"/>
        <v>27.901259999999997</v>
      </c>
      <c r="AP128" s="1">
        <f t="shared" si="103"/>
        <v>129</v>
      </c>
      <c r="AQ128" s="1">
        <f t="shared" si="104"/>
        <v>7</v>
      </c>
      <c r="AT128" s="1">
        <f t="shared" si="105"/>
        <v>1</v>
      </c>
      <c r="AU128" s="1">
        <f t="shared" si="106"/>
        <v>1</v>
      </c>
      <c r="AV128" s="1">
        <f t="shared" si="107"/>
        <v>0.5</v>
      </c>
      <c r="AW128" s="1">
        <f t="shared" si="108"/>
        <v>2.5</v>
      </c>
      <c r="AX128" s="1">
        <f t="shared" si="109"/>
        <v>0.83459333333333341</v>
      </c>
      <c r="BC128" s="1">
        <f t="shared" si="110"/>
        <v>2.0012599999999998</v>
      </c>
      <c r="BD128" s="1">
        <f t="shared" si="111"/>
        <v>100</v>
      </c>
      <c r="BE128" s="1">
        <f t="shared" si="112"/>
        <v>7</v>
      </c>
      <c r="BH128" s="1" t="str">
        <f t="shared" si="113"/>
        <v/>
      </c>
      <c r="BI128" s="1" t="str">
        <f>IF(A128="","",IF(BH128="","",RANK(BH128,$BH$3:$BH278,1)))</f>
        <v/>
      </c>
      <c r="BJ128" s="1">
        <f t="shared" si="114"/>
        <v>7</v>
      </c>
      <c r="BM128" s="1">
        <f t="shared" si="115"/>
        <v>0.921875</v>
      </c>
      <c r="BN128" s="1">
        <f>IF(A128="","",IF(BM128="","",RANK(BM128,$BM$3:$BM278,1)))</f>
        <v>57</v>
      </c>
      <c r="BO128" s="1">
        <f t="shared" si="116"/>
        <v>7</v>
      </c>
      <c r="BR128" s="1">
        <f t="shared" si="117"/>
        <v>7</v>
      </c>
      <c r="BS128" s="1" t="str">
        <f t="shared" si="118"/>
        <v>サヤカチャン　　　　　　　　　　　　</v>
      </c>
      <c r="CD128" s="1" t="str">
        <f t="shared" si="119"/>
        <v/>
      </c>
      <c r="CE128" s="1" t="str">
        <f>IF(A128="","",IF(CD128="","",RANK(CD128,$CD$3:$CD278,1)))</f>
        <v/>
      </c>
      <c r="CF128" s="1">
        <f t="shared" si="120"/>
        <v>7</v>
      </c>
      <c r="CI128" s="1" t="str">
        <f t="shared" si="121"/>
        <v/>
      </c>
      <c r="CJ128" s="1" t="str">
        <f>IF(A128="","",IF(CI128="","",RANK(CI128,$CI$3:$CI278,1)))</f>
        <v/>
      </c>
      <c r="CK128" s="1">
        <f t="shared" si="122"/>
        <v>7</v>
      </c>
      <c r="CN128" s="1" t="str">
        <f t="shared" si="123"/>
        <v/>
      </c>
      <c r="CO128" s="1" t="str">
        <f>IF(A128="","",IF(CN128="","",RANK(CN128,$CN$3:$CN278,1)))</f>
        <v/>
      </c>
      <c r="CP128" s="1">
        <f t="shared" si="124"/>
        <v>7</v>
      </c>
      <c r="CS128" s="1" t="str">
        <f t="shared" si="125"/>
        <v/>
      </c>
      <c r="CT128" s="1" t="str">
        <f>IF(A128="","",IF(CS128="","",RANK(CS128,$CS$3:$CS278,1)))</f>
        <v/>
      </c>
      <c r="CU128" s="1">
        <f t="shared" si="126"/>
        <v>7</v>
      </c>
      <c r="CX128" s="1" t="str">
        <f t="shared" si="127"/>
        <v/>
      </c>
      <c r="CY128" s="1" t="str">
        <f>IF(CX128="","",IF(A128="","",RANK(CX128,$CX$3:$CX278,1)))</f>
        <v/>
      </c>
      <c r="CZ128" s="1">
        <f t="shared" si="128"/>
        <v>7</v>
      </c>
      <c r="DC128" s="1" t="str">
        <f t="shared" si="129"/>
        <v/>
      </c>
      <c r="DD128" s="1" t="str">
        <f>IF(DC128="","",IF(A128="","",RANK(DC128,$DC$3:$DC278,1)))</f>
        <v/>
      </c>
      <c r="DE128" s="1">
        <f t="shared" si="130"/>
        <v>7</v>
      </c>
      <c r="DH128" s="1" t="str">
        <f t="shared" si="131"/>
        <v/>
      </c>
      <c r="DI128" s="1" t="str">
        <f>IF(DH128="","",IF(A128="","",RANK(DH128,$DH$3:$DH278,1)))</f>
        <v/>
      </c>
      <c r="DJ128" s="1">
        <f t="shared" si="132"/>
        <v>7</v>
      </c>
      <c r="DM128" s="1" t="str">
        <f t="shared" si="133"/>
        <v/>
      </c>
      <c r="DN128" s="1" t="str">
        <f>IF(DM128="","",IF(A128="","",RANK(DM128,$DM$3:$DM278,1)))</f>
        <v/>
      </c>
      <c r="DO128" s="1">
        <f t="shared" si="134"/>
        <v>7</v>
      </c>
      <c r="DR128" s="1">
        <f t="shared" si="135"/>
        <v>16.201259999999998</v>
      </c>
      <c r="DS128" s="1">
        <f>IF(DR128="","",IF(A128="","",RANK(DR128,$DR$3:$DR278,1)))</f>
        <v>105</v>
      </c>
      <c r="DT128" s="1">
        <f t="shared" si="136"/>
        <v>7</v>
      </c>
      <c r="DW128" s="1">
        <f t="shared" si="137"/>
        <v>15.20126</v>
      </c>
      <c r="DX128" s="1">
        <f>IF(DW128="","",IF(A128="","",RANK(DW128,$DW$3:$DW278,1)))</f>
        <v>125</v>
      </c>
      <c r="DY128" s="1">
        <f t="shared" si="138"/>
        <v>7</v>
      </c>
      <c r="EB128" s="1">
        <f t="shared" si="139"/>
        <v>14.20126</v>
      </c>
      <c r="EC128" s="1">
        <f>IF(EB128="","",IF(A128="","",RANK(EB128,$EB$3:$EB278,1)))</f>
        <v>128</v>
      </c>
      <c r="ED128" s="1">
        <f t="shared" si="140"/>
        <v>7</v>
      </c>
      <c r="EG128" s="1">
        <f t="shared" si="141"/>
        <v>13.70126</v>
      </c>
      <c r="EH128" s="1">
        <f>IF(EG128="","",IF(A128="","",RANK(EG128,$EG$3:$EG278,1)))</f>
        <v>126</v>
      </c>
      <c r="EI128" s="1">
        <f t="shared" si="142"/>
        <v>7</v>
      </c>
    </row>
    <row r="129" spans="1:139" ht="18.75">
      <c r="A129" s="1" t="s">
        <v>88</v>
      </c>
      <c r="B129" s="1">
        <v>20190707</v>
      </c>
      <c r="C129" s="1" t="s">
        <v>97</v>
      </c>
      <c r="D129" s="1">
        <v>8</v>
      </c>
      <c r="E129" s="30">
        <v>57.4</v>
      </c>
      <c r="F129" s="30">
        <v>41.4</v>
      </c>
      <c r="G129" s="30">
        <v>26.9</v>
      </c>
      <c r="H129" s="30">
        <v>13.7</v>
      </c>
      <c r="I129" s="30">
        <v>16</v>
      </c>
      <c r="J129" s="30">
        <v>14.5</v>
      </c>
      <c r="K129" s="30">
        <v>13.2</v>
      </c>
      <c r="L129" s="30">
        <v>13.7</v>
      </c>
      <c r="M129" s="1" t="str">
        <f t="shared" si="85"/>
        <v>2019/07/07</v>
      </c>
      <c r="N129" s="4" t="str">
        <f t="shared" si="86"/>
        <v/>
      </c>
      <c r="O129">
        <v>1.2700000000000027E-3</v>
      </c>
      <c r="P129" s="1" t="str">
        <f t="shared" si="87"/>
        <v/>
      </c>
      <c r="Q129" s="1" t="str">
        <f t="shared" si="88"/>
        <v/>
      </c>
      <c r="R129" s="1">
        <f t="shared" si="89"/>
        <v>8</v>
      </c>
      <c r="U129" s="1">
        <f t="shared" si="90"/>
        <v>57.401269999999997</v>
      </c>
      <c r="V129" s="1">
        <f t="shared" si="91"/>
        <v>107</v>
      </c>
      <c r="W129" s="1">
        <f t="shared" si="92"/>
        <v>8</v>
      </c>
      <c r="Z129" s="1" t="str">
        <f t="shared" si="93"/>
        <v/>
      </c>
      <c r="AA129" s="1" t="str">
        <f t="shared" si="94"/>
        <v/>
      </c>
      <c r="AB129" s="1">
        <f t="shared" si="95"/>
        <v>8</v>
      </c>
      <c r="AE129" s="1">
        <f t="shared" si="96"/>
        <v>41.401269999999997</v>
      </c>
      <c r="AF129" s="1">
        <f t="shared" si="97"/>
        <v>108</v>
      </c>
      <c r="AG129" s="1">
        <f t="shared" si="98"/>
        <v>8</v>
      </c>
      <c r="AJ129" s="1" t="str">
        <f t="shared" si="99"/>
        <v/>
      </c>
      <c r="AK129" s="1" t="str">
        <f t="shared" si="100"/>
        <v/>
      </c>
      <c r="AL129" s="1">
        <f t="shared" si="101"/>
        <v>8</v>
      </c>
      <c r="AO129" s="1">
        <f t="shared" si="102"/>
        <v>26.90127</v>
      </c>
      <c r="AP129" s="1">
        <f t="shared" si="103"/>
        <v>111</v>
      </c>
      <c r="AQ129" s="1">
        <f t="shared" si="104"/>
        <v>8</v>
      </c>
      <c r="AT129" s="1">
        <f t="shared" si="105"/>
        <v>1.5</v>
      </c>
      <c r="AU129" s="1">
        <f t="shared" si="106"/>
        <v>1.3000000000000007</v>
      </c>
      <c r="AV129" s="1">
        <f t="shared" si="107"/>
        <v>-0.5</v>
      </c>
      <c r="AW129" s="1">
        <f t="shared" si="108"/>
        <v>2.3000000000000007</v>
      </c>
      <c r="AX129" s="1">
        <f t="shared" si="109"/>
        <v>0</v>
      </c>
      <c r="BC129" s="1">
        <f t="shared" si="110"/>
        <v>2.8012700000000006</v>
      </c>
      <c r="BD129" s="1">
        <f t="shared" si="111"/>
        <v>57</v>
      </c>
      <c r="BE129" s="1">
        <f t="shared" si="112"/>
        <v>8</v>
      </c>
      <c r="BH129" s="1" t="str">
        <f t="shared" si="113"/>
        <v/>
      </c>
      <c r="BI129" s="1" t="str">
        <f>IF(A129="","",IF(BH129="","",RANK(BH129,$BH$3:$BH279,1)))</f>
        <v/>
      </c>
      <c r="BJ129" s="1">
        <f t="shared" si="114"/>
        <v>8</v>
      </c>
      <c r="BM129" s="1">
        <f t="shared" si="115"/>
        <v>1.1225000000000007</v>
      </c>
      <c r="BN129" s="1">
        <f>IF(A129="","",IF(BM129="","",RANK(BM129,$BM$3:$BM279,1)))</f>
        <v>70</v>
      </c>
      <c r="BO129" s="1">
        <f t="shared" si="116"/>
        <v>8</v>
      </c>
      <c r="BR129" s="1">
        <f t="shared" si="117"/>
        <v>8</v>
      </c>
      <c r="BS129" s="1" t="str">
        <f t="shared" si="118"/>
        <v>タマモメイトウ　　　　　　　　　　　</v>
      </c>
      <c r="CD129" s="1" t="str">
        <f t="shared" si="119"/>
        <v/>
      </c>
      <c r="CE129" s="1" t="str">
        <f>IF(A129="","",IF(CD129="","",RANK(CD129,$CD$3:$CD279,1)))</f>
        <v/>
      </c>
      <c r="CF129" s="1">
        <f t="shared" si="120"/>
        <v>8</v>
      </c>
      <c r="CI129" s="1" t="str">
        <f t="shared" si="121"/>
        <v/>
      </c>
      <c r="CJ129" s="1" t="str">
        <f>IF(A129="","",IF(CI129="","",RANK(CI129,$CI$3:$CI279,1)))</f>
        <v/>
      </c>
      <c r="CK129" s="1">
        <f t="shared" si="122"/>
        <v>8</v>
      </c>
      <c r="CN129" s="1" t="str">
        <f t="shared" si="123"/>
        <v/>
      </c>
      <c r="CO129" s="1" t="str">
        <f>IF(A129="","",IF(CN129="","",RANK(CN129,$CN$3:$CN279,1)))</f>
        <v/>
      </c>
      <c r="CP129" s="1">
        <f t="shared" si="124"/>
        <v>8</v>
      </c>
      <c r="CS129" s="1" t="str">
        <f t="shared" si="125"/>
        <v/>
      </c>
      <c r="CT129" s="1" t="str">
        <f>IF(A129="","",IF(CS129="","",RANK(CS129,$CS$3:$CS279,1)))</f>
        <v/>
      </c>
      <c r="CU129" s="1">
        <f t="shared" si="126"/>
        <v>8</v>
      </c>
      <c r="CX129" s="1" t="str">
        <f t="shared" si="127"/>
        <v/>
      </c>
      <c r="CY129" s="1" t="str">
        <f>IF(CX129="","",IF(A129="","",RANK(CX129,$CX$3:$CX279,1)))</f>
        <v/>
      </c>
      <c r="CZ129" s="1">
        <f t="shared" si="128"/>
        <v>8</v>
      </c>
      <c r="DC129" s="1" t="str">
        <f t="shared" si="129"/>
        <v/>
      </c>
      <c r="DD129" s="1" t="str">
        <f>IF(DC129="","",IF(A129="","",RANK(DC129,$DC$3:$DC279,1)))</f>
        <v/>
      </c>
      <c r="DE129" s="1">
        <f t="shared" si="130"/>
        <v>8</v>
      </c>
      <c r="DH129" s="1" t="str">
        <f t="shared" si="131"/>
        <v/>
      </c>
      <c r="DI129" s="1" t="str">
        <f>IF(DH129="","",IF(A129="","",RANK(DH129,$DH$3:$DH279,1)))</f>
        <v/>
      </c>
      <c r="DJ129" s="1">
        <f t="shared" si="132"/>
        <v>8</v>
      </c>
      <c r="DM129" s="1" t="str">
        <f t="shared" si="133"/>
        <v/>
      </c>
      <c r="DN129" s="1" t="str">
        <f>IF(DM129="","",IF(A129="","",RANK(DM129,$DM$3:$DM279,1)))</f>
        <v/>
      </c>
      <c r="DO129" s="1">
        <f t="shared" si="134"/>
        <v>8</v>
      </c>
      <c r="DR129" s="1">
        <f t="shared" si="135"/>
        <v>16.001270000000002</v>
      </c>
      <c r="DS129" s="1">
        <f>IF(DR129="","",IF(A129="","",RANK(DR129,$DR$3:$DR279,1)))</f>
        <v>101</v>
      </c>
      <c r="DT129" s="1">
        <f t="shared" si="136"/>
        <v>8</v>
      </c>
      <c r="DW129" s="1">
        <f t="shared" si="137"/>
        <v>14.50127</v>
      </c>
      <c r="DX129" s="1">
        <f>IF(DW129="","",IF(A129="","",RANK(DW129,$DW$3:$DW279,1)))</f>
        <v>102</v>
      </c>
      <c r="DY129" s="1">
        <f t="shared" si="138"/>
        <v>8</v>
      </c>
      <c r="EB129" s="1">
        <f t="shared" si="139"/>
        <v>13.201269999999999</v>
      </c>
      <c r="EC129" s="1">
        <f>IF(EB129="","",IF(A129="","",RANK(EB129,$EB$3:$EB279,1)))</f>
        <v>94</v>
      </c>
      <c r="ED129" s="1">
        <f t="shared" si="140"/>
        <v>8</v>
      </c>
      <c r="EG129" s="1">
        <f t="shared" si="141"/>
        <v>13.701269999999999</v>
      </c>
      <c r="EH129" s="1">
        <f>IF(EG129="","",IF(A129="","",RANK(EG129,$EG$3:$EG279,1)))</f>
        <v>127</v>
      </c>
      <c r="EI129" s="1">
        <f t="shared" si="142"/>
        <v>8</v>
      </c>
    </row>
    <row r="130" spans="1:139" ht="18.75">
      <c r="A130" s="1" t="s">
        <v>88</v>
      </c>
      <c r="B130" s="1">
        <v>20190224</v>
      </c>
      <c r="C130" s="1" t="s">
        <v>91</v>
      </c>
      <c r="D130" s="1">
        <v>2</v>
      </c>
      <c r="E130" s="30">
        <v>56.2</v>
      </c>
      <c r="F130" s="30">
        <v>41.5</v>
      </c>
      <c r="G130" s="30">
        <v>27.4</v>
      </c>
      <c r="H130" s="30">
        <v>13.8</v>
      </c>
      <c r="I130" s="30">
        <v>14.7</v>
      </c>
      <c r="J130" s="30">
        <v>14.1</v>
      </c>
      <c r="K130" s="30">
        <v>13.6</v>
      </c>
      <c r="L130" s="30">
        <v>13.8</v>
      </c>
      <c r="M130" s="1" t="str">
        <f t="shared" si="85"/>
        <v>2019/02/24</v>
      </c>
      <c r="N130" s="4" t="str">
        <f t="shared" si="86"/>
        <v/>
      </c>
      <c r="O130">
        <v>1.2800000000000027E-3</v>
      </c>
      <c r="P130" s="1" t="str">
        <f t="shared" si="87"/>
        <v/>
      </c>
      <c r="Q130" s="1" t="str">
        <f t="shared" si="88"/>
        <v/>
      </c>
      <c r="R130" s="1">
        <f t="shared" si="89"/>
        <v>2</v>
      </c>
      <c r="U130" s="1">
        <f t="shared" si="90"/>
        <v>56.201280000000004</v>
      </c>
      <c r="V130" s="1">
        <f t="shared" si="91"/>
        <v>88</v>
      </c>
      <c r="W130" s="1">
        <f t="shared" si="92"/>
        <v>2</v>
      </c>
      <c r="Z130" s="1" t="str">
        <f t="shared" si="93"/>
        <v/>
      </c>
      <c r="AA130" s="1" t="str">
        <f t="shared" si="94"/>
        <v/>
      </c>
      <c r="AB130" s="1">
        <f t="shared" si="95"/>
        <v>2</v>
      </c>
      <c r="AE130" s="1">
        <f t="shared" si="96"/>
        <v>41.501280000000001</v>
      </c>
      <c r="AF130" s="1">
        <f t="shared" si="97"/>
        <v>111</v>
      </c>
      <c r="AG130" s="1">
        <f t="shared" si="98"/>
        <v>2</v>
      </c>
      <c r="AJ130" s="1" t="str">
        <f t="shared" si="99"/>
        <v/>
      </c>
      <c r="AK130" s="1" t="str">
        <f t="shared" si="100"/>
        <v/>
      </c>
      <c r="AL130" s="1">
        <f t="shared" si="101"/>
        <v>2</v>
      </c>
      <c r="AO130" s="1">
        <f t="shared" si="102"/>
        <v>27.40128</v>
      </c>
      <c r="AP130" s="1">
        <f t="shared" si="103"/>
        <v>123</v>
      </c>
      <c r="AQ130" s="1">
        <f t="shared" si="104"/>
        <v>2</v>
      </c>
      <c r="AT130" s="1">
        <f t="shared" si="105"/>
        <v>0.59999999999999964</v>
      </c>
      <c r="AU130" s="1">
        <f t="shared" si="106"/>
        <v>0.5</v>
      </c>
      <c r="AV130" s="1">
        <f t="shared" si="107"/>
        <v>-0.20000000000000107</v>
      </c>
      <c r="AW130" s="1">
        <f t="shared" si="108"/>
        <v>0.89999999999999858</v>
      </c>
      <c r="AX130" s="1">
        <f t="shared" si="109"/>
        <v>0</v>
      </c>
      <c r="BC130" s="1">
        <f t="shared" si="110"/>
        <v>1.1012799999999996</v>
      </c>
      <c r="BD130" s="1">
        <f t="shared" si="111"/>
        <v>143</v>
      </c>
      <c r="BE130" s="1">
        <f t="shared" si="112"/>
        <v>2</v>
      </c>
      <c r="BH130" s="1" t="str">
        <f t="shared" si="113"/>
        <v/>
      </c>
      <c r="BI130" s="1" t="str">
        <f>IF(A130="","",IF(BH130="","",RANK(BH130,$BH$3:$BH280,1)))</f>
        <v/>
      </c>
      <c r="BJ130" s="1">
        <f t="shared" si="114"/>
        <v>2</v>
      </c>
      <c r="BM130" s="1">
        <f t="shared" si="115"/>
        <v>0.17249999999999976</v>
      </c>
      <c r="BN130" s="1">
        <f>IF(A130="","",IF(BM130="","",RANK(BM130,$BM$3:$BM280,1)))</f>
        <v>2</v>
      </c>
      <c r="BO130" s="1">
        <f t="shared" si="116"/>
        <v>2</v>
      </c>
      <c r="BR130" s="1">
        <f t="shared" si="117"/>
        <v>2</v>
      </c>
      <c r="BS130" s="1" t="str">
        <f t="shared" si="118"/>
        <v>フェルトベルク　　　　　　　　　　　</v>
      </c>
      <c r="CD130" s="1" t="str">
        <f t="shared" si="119"/>
        <v/>
      </c>
      <c r="CE130" s="1" t="str">
        <f>IF(A130="","",IF(CD130="","",RANK(CD130,$CD$3:$CD280,1)))</f>
        <v/>
      </c>
      <c r="CF130" s="1">
        <f t="shared" si="120"/>
        <v>2</v>
      </c>
      <c r="CI130" s="1" t="str">
        <f t="shared" si="121"/>
        <v/>
      </c>
      <c r="CJ130" s="1" t="str">
        <f>IF(A130="","",IF(CI130="","",RANK(CI130,$CI$3:$CI280,1)))</f>
        <v/>
      </c>
      <c r="CK130" s="1">
        <f t="shared" si="122"/>
        <v>2</v>
      </c>
      <c r="CN130" s="1" t="str">
        <f t="shared" si="123"/>
        <v/>
      </c>
      <c r="CO130" s="1" t="str">
        <f>IF(A130="","",IF(CN130="","",RANK(CN130,$CN$3:$CN280,1)))</f>
        <v/>
      </c>
      <c r="CP130" s="1">
        <f t="shared" si="124"/>
        <v>2</v>
      </c>
      <c r="CS130" s="1" t="str">
        <f t="shared" si="125"/>
        <v/>
      </c>
      <c r="CT130" s="1" t="str">
        <f>IF(A130="","",IF(CS130="","",RANK(CS130,$CS$3:$CS280,1)))</f>
        <v/>
      </c>
      <c r="CU130" s="1">
        <f t="shared" si="126"/>
        <v>2</v>
      </c>
      <c r="CX130" s="1" t="str">
        <f t="shared" si="127"/>
        <v/>
      </c>
      <c r="CY130" s="1" t="str">
        <f>IF(CX130="","",IF(A130="","",RANK(CX130,$CX$3:$CX280,1)))</f>
        <v/>
      </c>
      <c r="CZ130" s="1">
        <f t="shared" si="128"/>
        <v>2</v>
      </c>
      <c r="DC130" s="1" t="str">
        <f t="shared" si="129"/>
        <v/>
      </c>
      <c r="DD130" s="1" t="str">
        <f>IF(DC130="","",IF(A130="","",RANK(DC130,$DC$3:$DC280,1)))</f>
        <v/>
      </c>
      <c r="DE130" s="1">
        <f t="shared" si="130"/>
        <v>2</v>
      </c>
      <c r="DH130" s="1" t="str">
        <f t="shared" si="131"/>
        <v/>
      </c>
      <c r="DI130" s="1" t="str">
        <f>IF(DH130="","",IF(A130="","",RANK(DH130,$DH$3:$DH280,1)))</f>
        <v/>
      </c>
      <c r="DJ130" s="1">
        <f t="shared" si="132"/>
        <v>2</v>
      </c>
      <c r="DM130" s="1" t="str">
        <f t="shared" si="133"/>
        <v/>
      </c>
      <c r="DN130" s="1" t="str">
        <f>IF(DM130="","",IF(A130="","",RANK(DM130,$DM$3:$DM280,1)))</f>
        <v/>
      </c>
      <c r="DO130" s="1">
        <f t="shared" si="134"/>
        <v>2</v>
      </c>
      <c r="DR130" s="1">
        <f t="shared" si="135"/>
        <v>14.701279999999999</v>
      </c>
      <c r="DS130" s="1">
        <f>IF(DR130="","",IF(A130="","",RANK(DR130,$DR$3:$DR280,1)))</f>
        <v>35</v>
      </c>
      <c r="DT130" s="1">
        <f t="shared" si="136"/>
        <v>2</v>
      </c>
      <c r="DW130" s="1">
        <f t="shared" si="137"/>
        <v>14.101279999999999</v>
      </c>
      <c r="DX130" s="1">
        <f>IF(DW130="","",IF(A130="","",RANK(DW130,$DW$3:$DW280,1)))</f>
        <v>86</v>
      </c>
      <c r="DY130" s="1">
        <f t="shared" si="138"/>
        <v>2</v>
      </c>
      <c r="EB130" s="1">
        <f t="shared" si="139"/>
        <v>13.601279999999999</v>
      </c>
      <c r="EC130" s="1">
        <f>IF(EB130="","",IF(A130="","",RANK(EB130,$EB$3:$EB280,1)))</f>
        <v>111</v>
      </c>
      <c r="ED130" s="1">
        <f t="shared" si="140"/>
        <v>2</v>
      </c>
      <c r="EG130" s="1">
        <f t="shared" si="141"/>
        <v>13.80128</v>
      </c>
      <c r="EH130" s="1">
        <f>IF(EG130="","",IF(A130="","",RANK(EG130,$EG$3:$EG280,1)))</f>
        <v>128</v>
      </c>
      <c r="EI130" s="1">
        <f t="shared" si="142"/>
        <v>2</v>
      </c>
    </row>
    <row r="131" spans="1:139" ht="18.75">
      <c r="A131" s="1" t="s">
        <v>88</v>
      </c>
      <c r="B131" s="1">
        <v>20190224</v>
      </c>
      <c r="C131" s="1" t="s">
        <v>91</v>
      </c>
      <c r="D131" s="1">
        <v>2</v>
      </c>
      <c r="E131" s="30">
        <v>56.2</v>
      </c>
      <c r="F131" s="30">
        <v>41.5</v>
      </c>
      <c r="G131" s="30">
        <v>27.4</v>
      </c>
      <c r="H131" s="30">
        <v>13.8</v>
      </c>
      <c r="I131" s="30">
        <v>14.7</v>
      </c>
      <c r="J131" s="30">
        <v>14.1</v>
      </c>
      <c r="K131" s="30">
        <v>13.6</v>
      </c>
      <c r="L131" s="30">
        <v>13.8</v>
      </c>
      <c r="M131" s="1" t="str">
        <f t="shared" si="85"/>
        <v>2019/02/24</v>
      </c>
      <c r="N131" s="4" t="str">
        <f t="shared" si="86"/>
        <v/>
      </c>
      <c r="O131">
        <v>1.2900000000000027E-3</v>
      </c>
      <c r="P131" s="1" t="str">
        <f t="shared" si="87"/>
        <v/>
      </c>
      <c r="Q131" s="1" t="str">
        <f t="shared" si="88"/>
        <v/>
      </c>
      <c r="R131" s="1">
        <f t="shared" si="89"/>
        <v>2</v>
      </c>
      <c r="U131" s="1">
        <f t="shared" si="90"/>
        <v>56.20129</v>
      </c>
      <c r="V131" s="1">
        <f t="shared" si="91"/>
        <v>89</v>
      </c>
      <c r="W131" s="1">
        <f t="shared" si="92"/>
        <v>2</v>
      </c>
      <c r="Z131" s="1" t="str">
        <f t="shared" si="93"/>
        <v/>
      </c>
      <c r="AA131" s="1" t="str">
        <f t="shared" si="94"/>
        <v/>
      </c>
      <c r="AB131" s="1">
        <f t="shared" si="95"/>
        <v>2</v>
      </c>
      <c r="AE131" s="1">
        <f t="shared" si="96"/>
        <v>41.501289999999997</v>
      </c>
      <c r="AF131" s="1">
        <f t="shared" si="97"/>
        <v>112</v>
      </c>
      <c r="AG131" s="1">
        <f t="shared" si="98"/>
        <v>2</v>
      </c>
      <c r="AJ131" s="1" t="str">
        <f t="shared" si="99"/>
        <v/>
      </c>
      <c r="AK131" s="1" t="str">
        <f t="shared" si="100"/>
        <v/>
      </c>
      <c r="AL131" s="1">
        <f t="shared" si="101"/>
        <v>2</v>
      </c>
      <c r="AO131" s="1">
        <f t="shared" si="102"/>
        <v>27.401289999999999</v>
      </c>
      <c r="AP131" s="1">
        <f t="shared" si="103"/>
        <v>124</v>
      </c>
      <c r="AQ131" s="1">
        <f t="shared" si="104"/>
        <v>2</v>
      </c>
      <c r="AT131" s="1">
        <f t="shared" si="105"/>
        <v>0.59999999999999964</v>
      </c>
      <c r="AU131" s="1">
        <f t="shared" si="106"/>
        <v>0.5</v>
      </c>
      <c r="AV131" s="1">
        <f t="shared" si="107"/>
        <v>-0.20000000000000107</v>
      </c>
      <c r="AW131" s="1">
        <f t="shared" si="108"/>
        <v>0.89999999999999858</v>
      </c>
      <c r="AX131" s="1">
        <f t="shared" si="109"/>
        <v>0</v>
      </c>
      <c r="BC131" s="1">
        <f t="shared" si="110"/>
        <v>1.1012899999999997</v>
      </c>
      <c r="BD131" s="1">
        <f t="shared" si="111"/>
        <v>142</v>
      </c>
      <c r="BE131" s="1">
        <f t="shared" si="112"/>
        <v>2</v>
      </c>
      <c r="BH131" s="1" t="str">
        <f t="shared" si="113"/>
        <v/>
      </c>
      <c r="BI131" s="1" t="str">
        <f>IF(A131="","",IF(BH131="","",RANK(BH131,$BH$3:$BH281,1)))</f>
        <v/>
      </c>
      <c r="BJ131" s="1">
        <f t="shared" si="114"/>
        <v>2</v>
      </c>
      <c r="BM131" s="1">
        <f t="shared" si="115"/>
        <v>0.17249999999999976</v>
      </c>
      <c r="BN131" s="1">
        <f>IF(A131="","",IF(BM131="","",RANK(BM131,$BM$3:$BM281,1)))</f>
        <v>2</v>
      </c>
      <c r="BO131" s="1">
        <f t="shared" si="116"/>
        <v>2</v>
      </c>
      <c r="BR131" s="1">
        <f t="shared" si="117"/>
        <v>2</v>
      </c>
      <c r="BS131" s="1" t="str">
        <f t="shared" si="118"/>
        <v>フェルトベルク　　　　　　　　　　　</v>
      </c>
      <c r="CD131" s="1" t="str">
        <f t="shared" si="119"/>
        <v/>
      </c>
      <c r="CE131" s="1" t="str">
        <f>IF(A131="","",IF(CD131="","",RANK(CD131,$CD$3:$CD281,1)))</f>
        <v/>
      </c>
      <c r="CF131" s="1">
        <f t="shared" si="120"/>
        <v>2</v>
      </c>
      <c r="CI131" s="1" t="str">
        <f t="shared" si="121"/>
        <v/>
      </c>
      <c r="CJ131" s="1" t="str">
        <f>IF(A131="","",IF(CI131="","",RANK(CI131,$CI$3:$CI281,1)))</f>
        <v/>
      </c>
      <c r="CK131" s="1">
        <f t="shared" si="122"/>
        <v>2</v>
      </c>
      <c r="CN131" s="1" t="str">
        <f t="shared" si="123"/>
        <v/>
      </c>
      <c r="CO131" s="1" t="str">
        <f>IF(A131="","",IF(CN131="","",RANK(CN131,$CN$3:$CN281,1)))</f>
        <v/>
      </c>
      <c r="CP131" s="1">
        <f t="shared" si="124"/>
        <v>2</v>
      </c>
      <c r="CS131" s="1" t="str">
        <f t="shared" si="125"/>
        <v/>
      </c>
      <c r="CT131" s="1" t="str">
        <f>IF(A131="","",IF(CS131="","",RANK(CS131,$CS$3:$CS281,1)))</f>
        <v/>
      </c>
      <c r="CU131" s="1">
        <f t="shared" si="126"/>
        <v>2</v>
      </c>
      <c r="CX131" s="1" t="str">
        <f t="shared" si="127"/>
        <v/>
      </c>
      <c r="CY131" s="1" t="str">
        <f>IF(CX131="","",IF(A131="","",RANK(CX131,$CX$3:$CX281,1)))</f>
        <v/>
      </c>
      <c r="CZ131" s="1">
        <f t="shared" si="128"/>
        <v>2</v>
      </c>
      <c r="DC131" s="1" t="str">
        <f t="shared" si="129"/>
        <v/>
      </c>
      <c r="DD131" s="1" t="str">
        <f>IF(DC131="","",IF(A131="","",RANK(DC131,$DC$3:$DC281,1)))</f>
        <v/>
      </c>
      <c r="DE131" s="1">
        <f t="shared" si="130"/>
        <v>2</v>
      </c>
      <c r="DH131" s="1" t="str">
        <f t="shared" si="131"/>
        <v/>
      </c>
      <c r="DI131" s="1" t="str">
        <f>IF(DH131="","",IF(A131="","",RANK(DH131,$DH$3:$DH281,1)))</f>
        <v/>
      </c>
      <c r="DJ131" s="1">
        <f t="shared" si="132"/>
        <v>2</v>
      </c>
      <c r="DM131" s="1" t="str">
        <f t="shared" si="133"/>
        <v/>
      </c>
      <c r="DN131" s="1" t="str">
        <f>IF(DM131="","",IF(A131="","",RANK(DM131,$DM$3:$DM281,1)))</f>
        <v/>
      </c>
      <c r="DO131" s="1">
        <f t="shared" si="134"/>
        <v>2</v>
      </c>
      <c r="DR131" s="1">
        <f t="shared" si="135"/>
        <v>14.701289999999998</v>
      </c>
      <c r="DS131" s="1">
        <f>IF(DR131="","",IF(A131="","",RANK(DR131,$DR$3:$DR281,1)))</f>
        <v>36</v>
      </c>
      <c r="DT131" s="1">
        <f t="shared" si="136"/>
        <v>2</v>
      </c>
      <c r="DW131" s="1">
        <f t="shared" si="137"/>
        <v>14.101289999999999</v>
      </c>
      <c r="DX131" s="1">
        <f>IF(DW131="","",IF(A131="","",RANK(DW131,$DW$3:$DW281,1)))</f>
        <v>87</v>
      </c>
      <c r="DY131" s="1">
        <f t="shared" si="138"/>
        <v>2</v>
      </c>
      <c r="EB131" s="1">
        <f t="shared" si="139"/>
        <v>13.601289999999999</v>
      </c>
      <c r="EC131" s="1">
        <f>IF(EB131="","",IF(A131="","",RANK(EB131,$EB$3:$EB281,1)))</f>
        <v>112</v>
      </c>
      <c r="ED131" s="1">
        <f t="shared" si="140"/>
        <v>2</v>
      </c>
      <c r="EG131" s="1">
        <f t="shared" si="141"/>
        <v>13.80129</v>
      </c>
      <c r="EH131" s="1">
        <f>IF(EG131="","",IF(A131="","",RANK(EG131,$EG$3:$EG281,1)))</f>
        <v>129</v>
      </c>
      <c r="EI131" s="1">
        <f t="shared" si="142"/>
        <v>2</v>
      </c>
    </row>
    <row r="132" spans="1:139" ht="18.75">
      <c r="A132" s="1" t="s">
        <v>88</v>
      </c>
      <c r="B132" s="1">
        <v>20190526</v>
      </c>
      <c r="C132" s="1" t="s">
        <v>91</v>
      </c>
      <c r="D132" s="1">
        <v>2</v>
      </c>
      <c r="E132" s="30">
        <v>58.1</v>
      </c>
      <c r="F132" s="30">
        <v>42.2</v>
      </c>
      <c r="G132" s="30">
        <v>27.7</v>
      </c>
      <c r="H132" s="30">
        <v>13.8</v>
      </c>
      <c r="I132" s="30">
        <v>15.9</v>
      </c>
      <c r="J132" s="30">
        <v>14.5</v>
      </c>
      <c r="K132" s="30">
        <v>13.9</v>
      </c>
      <c r="L132" s="30">
        <v>13.8</v>
      </c>
      <c r="M132" s="1" t="str">
        <f t="shared" ref="M132:M153" si="143">IFERROR(MID(B132,1,4)&amp;"/"&amp;MID(B132,5,2)&amp;"/"&amp;RIGHT(B132,2),"")</f>
        <v>2019/05/26</v>
      </c>
      <c r="N132" s="4" t="str">
        <f t="shared" ref="N132:N153" si="144">IFERROR(IF(AND(VALUE($N$1)&gt;=VALUE(M132),VALUE($N$2)&lt;=VALUE(M132)),D132,""),"")</f>
        <v/>
      </c>
      <c r="O132">
        <v>1.3000000000000028E-3</v>
      </c>
      <c r="P132" s="1" t="str">
        <f t="shared" ref="P132:P153" si="145">IF(N132="","",IF(E132=0,"",IF(E132="","",E132+O132)))</f>
        <v/>
      </c>
      <c r="Q132" s="1" t="str">
        <f t="shared" ref="Q132:Q153" si="146">IF($A132="","",IF(P132="","",RANK(P132,$P$3:$P$153,1)))</f>
        <v/>
      </c>
      <c r="R132" s="1">
        <f t="shared" ref="R132:R153" si="147">D132</f>
        <v>2</v>
      </c>
      <c r="U132" s="1">
        <f t="shared" ref="U132:U153" si="148">IF(A132="","",IF(E132=0,"",IF(E132="","",E132+O132)))</f>
        <v>58.101300000000002</v>
      </c>
      <c r="V132" s="1">
        <f t="shared" ref="V132:V153" si="149">IF($A132="","",IF(U132="","",RANK(U132,$U$3:$U$153,1)))</f>
        <v>112</v>
      </c>
      <c r="W132" s="1">
        <f t="shared" ref="W132:W153" si="150">D132</f>
        <v>2</v>
      </c>
      <c r="Z132" s="1" t="str">
        <f t="shared" ref="Z132:Z153" si="151">IF(N132="","",IF(F132=0,"",IF(F132="","",F132+O132)))</f>
        <v/>
      </c>
      <c r="AA132" s="1" t="str">
        <f t="shared" ref="AA132:AA153" si="152">IF($A132="","",IF(Z132="","",RANK(Z132,$Z$3:$Z$153,1)))</f>
        <v/>
      </c>
      <c r="AB132" s="1">
        <f t="shared" ref="AB132:AB153" si="153">D132</f>
        <v>2</v>
      </c>
      <c r="AE132" s="1">
        <f t="shared" ref="AE132:AE153" si="154">IF(F132=0,"",IF(F132="","",F132+O132))</f>
        <v>42.201300000000003</v>
      </c>
      <c r="AF132" s="1">
        <f t="shared" ref="AF132:AF153" si="155">IF($A132="","",IF(AE132="","",RANK(AE132,$AE$3:$AE$153,1)))</f>
        <v>117</v>
      </c>
      <c r="AG132" s="1">
        <f t="shared" ref="AG132:AG153" si="156">D132</f>
        <v>2</v>
      </c>
      <c r="AJ132" s="1" t="str">
        <f t="shared" ref="AJ132:AJ153" si="157">IF(N132="","",IF(G132=0,"",IF(G132="","",G132+O132)))</f>
        <v/>
      </c>
      <c r="AK132" s="1" t="str">
        <f t="shared" ref="AK132:AK153" si="158">IF($A132="","",IF(AJ132="","",RANK(AJ132,$AJ$3:$AJ$153,1)))</f>
        <v/>
      </c>
      <c r="AL132" s="1">
        <f t="shared" ref="AL132:AL153" si="159">D132</f>
        <v>2</v>
      </c>
      <c r="AO132" s="1">
        <f t="shared" ref="AO132:AO153" si="160">IF(G132=0,"",IF(G132="","",G132+O132))</f>
        <v>27.7013</v>
      </c>
      <c r="AP132" s="1">
        <f t="shared" ref="AP132:AP153" si="161">IF($A132="","",IF(AO132="","",RANK(AO132,$AO$3:$AO$153,1)))</f>
        <v>126</v>
      </c>
      <c r="AQ132" s="1">
        <f t="shared" ref="AQ132:AQ153" si="162">D132</f>
        <v>2</v>
      </c>
      <c r="AT132" s="1">
        <f t="shared" ref="AT132:AT153" si="163">IFERROR(IF(I132="","",IF(OR(I132=0,J132=0,K132=0,L132=0),0,I132-J132)),"")</f>
        <v>1.4000000000000004</v>
      </c>
      <c r="AU132" s="1">
        <f t="shared" ref="AU132:AU153" si="164">IFERROR(IF(J132="","",IF(OR(I132=0,J132=0,K132=0,L132=0),0,J132-K132)),"")</f>
        <v>0.59999999999999964</v>
      </c>
      <c r="AV132" s="1">
        <f t="shared" ref="AV132:AV153" si="165">IFERROR(IF(K132="","",IF(OR(I132=0,J132=0,K132=0,L132=0),0,K132-L132)),"")</f>
        <v>9.9999999999999645E-2</v>
      </c>
      <c r="AW132" s="1">
        <f t="shared" ref="AW132:AW153" si="166">IF(SUM(AT132:AV132)=0,0,IF(OR(I132=0,J132=0,K132=0,L132=0),0,SUM(AT132:AV132)))</f>
        <v>2.0999999999999996</v>
      </c>
      <c r="AX132" s="1">
        <f t="shared" ref="AX132:AX153" si="167">IFERROR(IF(A132="",0,IF(OR(I132=0,J132=0,K132=0,L132=0),0,IF(AV132&lt;0,0,AVERAGE(AT132:AV132)+O132))),"")</f>
        <v>0.70129999999999981</v>
      </c>
      <c r="BC132" s="1">
        <f t="shared" ref="BC132:BC153" si="168">IFERROR(IF(AND(AU132&lt;0,AV132&lt;0),0,AT132+AU132+O132),0)</f>
        <v>2.0013000000000001</v>
      </c>
      <c r="BD132" s="1">
        <f t="shared" ref="BD132:BD153" si="169">IF(A132="","",RANK(BC132,$BC$3:$BC$153,0))</f>
        <v>99</v>
      </c>
      <c r="BE132" s="1">
        <f t="shared" ref="BE132:BE153" si="170">D132</f>
        <v>2</v>
      </c>
      <c r="BH132" s="1" t="str">
        <f t="shared" ref="BH132:BH153" si="171">IFERROR(IF(A132="","",IF(OR(I132=0,J132=0,K132=0,L132=0),"",IF(N132="","",VARP(I132:L132)))),"")</f>
        <v/>
      </c>
      <c r="BI132" s="1" t="str">
        <f>IF(A132="","",IF(BH132="","",RANK(BH132,$BH$3:$BH282,1)))</f>
        <v/>
      </c>
      <c r="BJ132" s="1">
        <f t="shared" ref="BJ132:BJ153" si="172">D132</f>
        <v>2</v>
      </c>
      <c r="BM132" s="1">
        <f t="shared" ref="BM132:BM153" si="173">IFERROR(IF(A132="","",IF(OR(I132=0,J132=0,K132=0,L132=0),"",VARP(I132:L132))),"")</f>
        <v>0.7018749999999998</v>
      </c>
      <c r="BN132" s="1">
        <f>IF(A132="","",IF(BM132="","",RANK(BM132,$BM$3:$BM282,1)))</f>
        <v>38</v>
      </c>
      <c r="BO132" s="1">
        <f t="shared" ref="BO132:BO153" si="174">D132</f>
        <v>2</v>
      </c>
      <c r="BR132" s="1">
        <f t="shared" ref="BR132:BR195" si="175">D132</f>
        <v>2</v>
      </c>
      <c r="BS132" s="1" t="str">
        <f t="shared" ref="BS132:BS195" si="176">C132</f>
        <v>フェルトベルク　　　　　　　　　　　</v>
      </c>
      <c r="CD132" s="1" t="str">
        <f t="shared" ref="CD132:CD153" si="177">IFERROR(IF(L132=0,"",IF(N132="","",IF(L132&lt;12,L132,""))),"")</f>
        <v/>
      </c>
      <c r="CE132" s="1" t="str">
        <f>IF(A132="","",IF(CD132="","",RANK(CD132,$CD$3:$CD282,1)))</f>
        <v/>
      </c>
      <c r="CF132" s="1">
        <f t="shared" ref="CF132:CF153" si="178">D132</f>
        <v>2</v>
      </c>
      <c r="CI132" s="1" t="str">
        <f t="shared" ref="CI132:CI153" si="179">IFERROR(IF(L132=0,"",IF(L132&lt;12,L132,"")),"")</f>
        <v/>
      </c>
      <c r="CJ132" s="1" t="str">
        <f>IF(A132="","",IF(CI132="","",RANK(CI132,$CI$3:$CI282,1)))</f>
        <v/>
      </c>
      <c r="CK132" s="1">
        <f t="shared" ref="CK132:CK153" si="180">D132</f>
        <v>2</v>
      </c>
      <c r="CN132" s="1" t="str">
        <f t="shared" ref="CN132:CN153" si="181">IFERROR(IF(K132=0,"",IF(N132="","",IF(K132&lt;12,K132,""))),"")</f>
        <v/>
      </c>
      <c r="CO132" s="1" t="str">
        <f>IF(A132="","",IF(CN132="","",RANK(CN132,$CN$3:$CN282,1)))</f>
        <v/>
      </c>
      <c r="CP132" s="1">
        <f t="shared" ref="CP132:CP153" si="182">D132</f>
        <v>2</v>
      </c>
      <c r="CS132" s="1" t="str">
        <f t="shared" ref="CS132:CS153" si="183">IFERROR(IF(K132=0,"",IF(K132&lt;12,K132,"")),"")</f>
        <v/>
      </c>
      <c r="CT132" s="1" t="str">
        <f>IF(A132="","",IF(CS132="","",RANK(CS132,$CS$3:$CS282,1)))</f>
        <v/>
      </c>
      <c r="CU132" s="1">
        <f t="shared" ref="CU132:CU153" si="184">D132</f>
        <v>2</v>
      </c>
      <c r="CX132" s="1" t="str">
        <f t="shared" ref="CX132:CX153" si="185">IFERROR(IF($A132="","",IF(OR(I132=0,J132=0,K132=0,L132=0),"",IF($N132="","",IF(OR(F132&gt;=410,L132&gt;=140),"",I132+$O132)))),"")</f>
        <v/>
      </c>
      <c r="CY132" s="1" t="str">
        <f>IF(CX132="","",IF(A132="","",RANK(CX132,$CX$3:$CX282,1)))</f>
        <v/>
      </c>
      <c r="CZ132" s="1">
        <f t="shared" ref="CZ132:CZ153" si="186">D132</f>
        <v>2</v>
      </c>
      <c r="DC132" s="1" t="str">
        <f t="shared" ref="DC132:DC153" si="187">IFERROR(IF($A132="","",IF(OR(I132=0,J132=0,K132=0,L132=0),"",IF($N132="","",IF(OR(F132&gt;=410,L132&gt;=140),"",J132+$O132)))),"")</f>
        <v/>
      </c>
      <c r="DD132" s="1" t="str">
        <f>IF(DC132="","",IF(A132="","",RANK(DC132,$DC$3:$DC282,1)))</f>
        <v/>
      </c>
      <c r="DE132" s="1">
        <f t="shared" ref="DE132:DE153" si="188">D132</f>
        <v>2</v>
      </c>
      <c r="DH132" s="1" t="str">
        <f t="shared" ref="DH132:DH153" si="189">IFERROR(IF($A132="","",IF(OR(I132=0,J132=0,K132=0,L132=0),"",IF($N132="","",IF(OR(F132&gt;=410,L132&gt;=140),"",K132+$O132)))),"")</f>
        <v/>
      </c>
      <c r="DI132" s="1" t="str">
        <f>IF(DH132="","",IF(A132="","",RANK(DH132,$DH$3:$DH282,1)))</f>
        <v/>
      </c>
      <c r="DJ132" s="1">
        <f t="shared" ref="DJ132:DJ153" si="190">D132</f>
        <v>2</v>
      </c>
      <c r="DM132" s="1" t="str">
        <f t="shared" ref="DM132:DM153" si="191">IFERROR(IF($A132="","",IF(OR(I132=0,J132=0,K132=0,L132=0),"",IF($N132="","",IF(OR(F132&gt;=410,L132&gt;=140),"",L132+$O132)))),"")</f>
        <v/>
      </c>
      <c r="DN132" s="1" t="str">
        <f>IF(DM132="","",IF(A132="","",RANK(DM132,$DM$3:$DM282,1)))</f>
        <v/>
      </c>
      <c r="DO132" s="1">
        <f t="shared" ref="DO132:DO153" si="192">D132</f>
        <v>2</v>
      </c>
      <c r="DR132" s="1">
        <f t="shared" ref="DR132:DR153" si="193">IFERROR(IF($A132="","",IF(OR(I132=0,J132=0,K132=0,L132=0),"",IF(OR(F132&gt;=410,L132&gt;=140),"",I132+$O132))),"")</f>
        <v>15.901300000000001</v>
      </c>
      <c r="DS132" s="1">
        <f>IF(DR132="","",IF(A132="","",RANK(DR132,$DR$3:$DR282,1)))</f>
        <v>95</v>
      </c>
      <c r="DT132" s="1">
        <f t="shared" ref="DT132:DT153" si="194">D132</f>
        <v>2</v>
      </c>
      <c r="DW132" s="1">
        <f t="shared" ref="DW132:DW153" si="195">IFERROR(IF($A132="","",IF(OR(I132=0,J132=0,K132=0,L132=0),"",IF(OR(F132&gt;=410,L132&gt;=140),"",J132+$O132))),"")</f>
        <v>14.501300000000001</v>
      </c>
      <c r="DX132" s="1">
        <f>IF(DW132="","",IF(A132="","",RANK(DW132,$DW$3:$DW282,1)))</f>
        <v>103</v>
      </c>
      <c r="DY132" s="1">
        <f t="shared" ref="DY132:DY153" si="196">D132</f>
        <v>2</v>
      </c>
      <c r="EB132" s="1">
        <f t="shared" ref="EB132:EB153" si="197">IFERROR(IF($A132="","",IF(OR(I132=0,J132=0,K132=0,L132=0),"",IF(OR(F132&gt;=410,L132&gt;=140),"",K132+$O132))),"")</f>
        <v>13.901300000000001</v>
      </c>
      <c r="EC132" s="1">
        <f>IF(EB132="","",IF(A132="","",RANK(EB132,$EB$3:$EB282,1)))</f>
        <v>121</v>
      </c>
      <c r="ED132" s="1">
        <f t="shared" ref="ED132:ED153" si="198">D132</f>
        <v>2</v>
      </c>
      <c r="EG132" s="1">
        <f t="shared" ref="EG132:EG153" si="199">IFERROR(IF($A132="","",IF(OR(I132=0,J132=0,K132=0,L132=0),"",IF(OR(F132&gt;=410,L132&gt;=140),"",L132+$O132))),"")</f>
        <v>13.801300000000001</v>
      </c>
      <c r="EH132" s="1">
        <f>IF(EG132="","",IF(A132="","",RANK(EG132,$EG$3:$EG282,1)))</f>
        <v>130</v>
      </c>
      <c r="EI132" s="1">
        <f t="shared" ref="EI132:EI153" si="200">D132</f>
        <v>2</v>
      </c>
    </row>
    <row r="133" spans="1:139" ht="18.75">
      <c r="A133" s="1" t="s">
        <v>88</v>
      </c>
      <c r="B133" s="1">
        <v>20190616</v>
      </c>
      <c r="C133" s="1" t="s">
        <v>92</v>
      </c>
      <c r="D133" s="1">
        <v>3</v>
      </c>
      <c r="E133" s="30">
        <v>61.7</v>
      </c>
      <c r="F133" s="30">
        <v>44.2</v>
      </c>
      <c r="G133" s="30">
        <v>28.6</v>
      </c>
      <c r="H133" s="30">
        <v>13.8</v>
      </c>
      <c r="I133" s="30">
        <v>17.5</v>
      </c>
      <c r="J133" s="30">
        <v>15.6</v>
      </c>
      <c r="K133" s="30">
        <v>14.8</v>
      </c>
      <c r="L133" s="30">
        <v>13.8</v>
      </c>
      <c r="M133" s="1" t="str">
        <f t="shared" si="143"/>
        <v>2019/06/16</v>
      </c>
      <c r="N133" s="4" t="str">
        <f t="shared" si="144"/>
        <v/>
      </c>
      <c r="O133">
        <v>1.3100000000000028E-3</v>
      </c>
      <c r="P133" s="1" t="str">
        <f t="shared" si="145"/>
        <v/>
      </c>
      <c r="Q133" s="1" t="str">
        <f t="shared" si="146"/>
        <v/>
      </c>
      <c r="R133" s="1">
        <f t="shared" si="147"/>
        <v>3</v>
      </c>
      <c r="U133" s="1">
        <f t="shared" si="148"/>
        <v>61.701309999999999</v>
      </c>
      <c r="V133" s="1">
        <f t="shared" si="149"/>
        <v>137</v>
      </c>
      <c r="W133" s="1">
        <f t="shared" si="150"/>
        <v>3</v>
      </c>
      <c r="Z133" s="1" t="str">
        <f t="shared" si="151"/>
        <v/>
      </c>
      <c r="AA133" s="1" t="str">
        <f t="shared" si="152"/>
        <v/>
      </c>
      <c r="AB133" s="1">
        <f t="shared" si="153"/>
        <v>3</v>
      </c>
      <c r="AE133" s="1">
        <f t="shared" si="154"/>
        <v>44.201309999999999</v>
      </c>
      <c r="AF133" s="1">
        <f t="shared" si="155"/>
        <v>139</v>
      </c>
      <c r="AG133" s="1">
        <f t="shared" si="156"/>
        <v>3</v>
      </c>
      <c r="AJ133" s="1" t="str">
        <f t="shared" si="157"/>
        <v/>
      </c>
      <c r="AK133" s="1" t="str">
        <f t="shared" si="158"/>
        <v/>
      </c>
      <c r="AL133" s="1">
        <f t="shared" si="159"/>
        <v>3</v>
      </c>
      <c r="AO133" s="1">
        <f t="shared" si="160"/>
        <v>28.601310000000002</v>
      </c>
      <c r="AP133" s="1">
        <f t="shared" si="161"/>
        <v>138</v>
      </c>
      <c r="AQ133" s="1">
        <f t="shared" si="162"/>
        <v>3</v>
      </c>
      <c r="AT133" s="1">
        <f t="shared" si="163"/>
        <v>1.9000000000000004</v>
      </c>
      <c r="AU133" s="1">
        <f t="shared" si="164"/>
        <v>0.79999999999999893</v>
      </c>
      <c r="AV133" s="1">
        <f t="shared" si="165"/>
        <v>1</v>
      </c>
      <c r="AW133" s="1">
        <f t="shared" si="166"/>
        <v>3.6999999999999993</v>
      </c>
      <c r="AX133" s="1">
        <f t="shared" si="167"/>
        <v>1.2346433333333331</v>
      </c>
      <c r="BC133" s="1">
        <f t="shared" si="168"/>
        <v>2.7013099999999994</v>
      </c>
      <c r="BD133" s="1">
        <f t="shared" si="169"/>
        <v>60</v>
      </c>
      <c r="BE133" s="1">
        <f t="shared" si="170"/>
        <v>3</v>
      </c>
      <c r="BH133" s="1" t="str">
        <f t="shared" si="171"/>
        <v/>
      </c>
      <c r="BI133" s="1" t="str">
        <f>IF(A133="","",IF(BH133="","",RANK(BH133,$BH$3:$BH283,1)))</f>
        <v/>
      </c>
      <c r="BJ133" s="1">
        <f t="shared" si="172"/>
        <v>3</v>
      </c>
      <c r="BM133" s="1">
        <f t="shared" si="173"/>
        <v>1.8418749999999993</v>
      </c>
      <c r="BN133" s="1">
        <f>IF(A133="","",IF(BM133="","",RANK(BM133,$BM$3:$BM283,1)))</f>
        <v>102</v>
      </c>
      <c r="BO133" s="1">
        <f t="shared" si="174"/>
        <v>3</v>
      </c>
      <c r="BR133" s="1">
        <f t="shared" si="175"/>
        <v>3</v>
      </c>
      <c r="BS133" s="1" t="str">
        <f t="shared" si="176"/>
        <v>ディアボレット　　　　　　　　　　　</v>
      </c>
      <c r="CD133" s="1" t="str">
        <f t="shared" si="177"/>
        <v/>
      </c>
      <c r="CE133" s="1" t="str">
        <f>IF(A133="","",IF(CD133="","",RANK(CD133,$CD$3:$CD283,1)))</f>
        <v/>
      </c>
      <c r="CF133" s="1">
        <f t="shared" si="178"/>
        <v>3</v>
      </c>
      <c r="CI133" s="1" t="str">
        <f t="shared" si="179"/>
        <v/>
      </c>
      <c r="CJ133" s="1" t="str">
        <f>IF(A133="","",IF(CI133="","",RANK(CI133,$CI$3:$CI283,1)))</f>
        <v/>
      </c>
      <c r="CK133" s="1">
        <f t="shared" si="180"/>
        <v>3</v>
      </c>
      <c r="CN133" s="1" t="str">
        <f t="shared" si="181"/>
        <v/>
      </c>
      <c r="CO133" s="1" t="str">
        <f>IF(A133="","",IF(CN133="","",RANK(CN133,$CN$3:$CN283,1)))</f>
        <v/>
      </c>
      <c r="CP133" s="1">
        <f t="shared" si="182"/>
        <v>3</v>
      </c>
      <c r="CS133" s="1" t="str">
        <f t="shared" si="183"/>
        <v/>
      </c>
      <c r="CT133" s="1" t="str">
        <f>IF(A133="","",IF(CS133="","",RANK(CS133,$CS$3:$CS283,1)))</f>
        <v/>
      </c>
      <c r="CU133" s="1">
        <f t="shared" si="184"/>
        <v>3</v>
      </c>
      <c r="CX133" s="1" t="str">
        <f t="shared" si="185"/>
        <v/>
      </c>
      <c r="CY133" s="1" t="str">
        <f>IF(CX133="","",IF(A133="","",RANK(CX133,$CX$3:$CX283,1)))</f>
        <v/>
      </c>
      <c r="CZ133" s="1">
        <f t="shared" si="186"/>
        <v>3</v>
      </c>
      <c r="DC133" s="1" t="str">
        <f t="shared" si="187"/>
        <v/>
      </c>
      <c r="DD133" s="1" t="str">
        <f>IF(DC133="","",IF(A133="","",RANK(DC133,$DC$3:$DC283,1)))</f>
        <v/>
      </c>
      <c r="DE133" s="1">
        <f t="shared" si="188"/>
        <v>3</v>
      </c>
      <c r="DH133" s="1" t="str">
        <f t="shared" si="189"/>
        <v/>
      </c>
      <c r="DI133" s="1" t="str">
        <f>IF(DH133="","",IF(A133="","",RANK(DH133,$DH$3:$DH283,1)))</f>
        <v/>
      </c>
      <c r="DJ133" s="1">
        <f t="shared" si="190"/>
        <v>3</v>
      </c>
      <c r="DM133" s="1" t="str">
        <f t="shared" si="191"/>
        <v/>
      </c>
      <c r="DN133" s="1" t="str">
        <f>IF(DM133="","",IF(A133="","",RANK(DM133,$DM$3:$DM283,1)))</f>
        <v/>
      </c>
      <c r="DO133" s="1">
        <f t="shared" si="192"/>
        <v>3</v>
      </c>
      <c r="DR133" s="1">
        <f t="shared" si="193"/>
        <v>17.50131</v>
      </c>
      <c r="DS133" s="1">
        <f>IF(DR133="","",IF(A133="","",RANK(DR133,$DR$3:$DR283,1)))</f>
        <v>134</v>
      </c>
      <c r="DT133" s="1">
        <f t="shared" si="194"/>
        <v>3</v>
      </c>
      <c r="DW133" s="1">
        <f t="shared" si="195"/>
        <v>15.60131</v>
      </c>
      <c r="DX133" s="1">
        <f>IF(DW133="","",IF(A133="","",RANK(DW133,$DW$3:$DW283,1)))</f>
        <v>130</v>
      </c>
      <c r="DY133" s="1">
        <f t="shared" si="196"/>
        <v>3</v>
      </c>
      <c r="EB133" s="1">
        <f t="shared" si="197"/>
        <v>14.801310000000001</v>
      </c>
      <c r="EC133" s="1">
        <f>IF(EB133="","",IF(A133="","",RANK(EB133,$EB$3:$EB283,1)))</f>
        <v>143</v>
      </c>
      <c r="ED133" s="1">
        <f t="shared" si="198"/>
        <v>3</v>
      </c>
      <c r="EG133" s="1">
        <f t="shared" si="199"/>
        <v>13.801310000000001</v>
      </c>
      <c r="EH133" s="1">
        <f>IF(EG133="","",IF(A133="","",RANK(EG133,$EG$3:$EG283,1)))</f>
        <v>131</v>
      </c>
      <c r="EI133" s="1">
        <f t="shared" si="200"/>
        <v>3</v>
      </c>
    </row>
    <row r="134" spans="1:139" ht="18.75">
      <c r="A134" s="1" t="s">
        <v>88</v>
      </c>
      <c r="B134" s="1">
        <v>20190623</v>
      </c>
      <c r="C134" s="1" t="s">
        <v>90</v>
      </c>
      <c r="D134" s="1">
        <v>1</v>
      </c>
      <c r="E134" s="30">
        <v>63.1</v>
      </c>
      <c r="F134" s="30">
        <v>44.7</v>
      </c>
      <c r="G134" s="30">
        <v>27.8</v>
      </c>
      <c r="H134" s="30">
        <v>13.8</v>
      </c>
      <c r="I134" s="30">
        <v>18.399999999999999</v>
      </c>
      <c r="J134" s="30">
        <v>16.899999999999999</v>
      </c>
      <c r="K134" s="30">
        <v>14</v>
      </c>
      <c r="L134" s="30">
        <v>13.8</v>
      </c>
      <c r="M134" s="1" t="str">
        <f t="shared" si="143"/>
        <v>2019/06/23</v>
      </c>
      <c r="N134" s="4" t="str">
        <f t="shared" si="144"/>
        <v/>
      </c>
      <c r="O134">
        <v>1.3200000000000028E-3</v>
      </c>
      <c r="P134" s="1" t="str">
        <f t="shared" si="145"/>
        <v/>
      </c>
      <c r="Q134" s="1" t="str">
        <f t="shared" si="146"/>
        <v/>
      </c>
      <c r="R134" s="1">
        <f t="shared" si="147"/>
        <v>1</v>
      </c>
      <c r="U134" s="1">
        <f t="shared" si="148"/>
        <v>63.101320000000001</v>
      </c>
      <c r="V134" s="1">
        <f t="shared" si="149"/>
        <v>146</v>
      </c>
      <c r="W134" s="1">
        <f t="shared" si="150"/>
        <v>1</v>
      </c>
      <c r="Z134" s="1" t="str">
        <f t="shared" si="151"/>
        <v/>
      </c>
      <c r="AA134" s="1" t="str">
        <f t="shared" si="152"/>
        <v/>
      </c>
      <c r="AB134" s="1">
        <f t="shared" si="153"/>
        <v>1</v>
      </c>
      <c r="AE134" s="1">
        <f t="shared" si="154"/>
        <v>44.701320000000003</v>
      </c>
      <c r="AF134" s="1">
        <f t="shared" si="155"/>
        <v>141</v>
      </c>
      <c r="AG134" s="1">
        <f t="shared" si="156"/>
        <v>1</v>
      </c>
      <c r="AJ134" s="1" t="str">
        <f t="shared" si="157"/>
        <v/>
      </c>
      <c r="AK134" s="1" t="str">
        <f t="shared" si="158"/>
        <v/>
      </c>
      <c r="AL134" s="1">
        <f t="shared" si="159"/>
        <v>1</v>
      </c>
      <c r="AO134" s="1">
        <f t="shared" si="160"/>
        <v>27.80132</v>
      </c>
      <c r="AP134" s="1">
        <f t="shared" si="161"/>
        <v>127</v>
      </c>
      <c r="AQ134" s="1">
        <f t="shared" si="162"/>
        <v>1</v>
      </c>
      <c r="AT134" s="1">
        <f t="shared" si="163"/>
        <v>1.5</v>
      </c>
      <c r="AU134" s="1">
        <f t="shared" si="164"/>
        <v>2.8999999999999986</v>
      </c>
      <c r="AV134" s="1">
        <f t="shared" si="165"/>
        <v>0.19999999999999929</v>
      </c>
      <c r="AW134" s="1">
        <f t="shared" si="166"/>
        <v>4.5999999999999979</v>
      </c>
      <c r="AX134" s="1">
        <f t="shared" si="167"/>
        <v>1.5346533333333325</v>
      </c>
      <c r="BC134" s="1">
        <f t="shared" si="168"/>
        <v>4.4013199999999983</v>
      </c>
      <c r="BD134" s="1">
        <f t="shared" si="169"/>
        <v>13</v>
      </c>
      <c r="BE134" s="1">
        <f t="shared" si="170"/>
        <v>1</v>
      </c>
      <c r="BH134" s="1" t="str">
        <f t="shared" si="171"/>
        <v/>
      </c>
      <c r="BI134" s="1" t="str">
        <f>IF(A134="","",IF(BH134="","",RANK(BH134,$BH$3:$BH284,1)))</f>
        <v/>
      </c>
      <c r="BJ134" s="1">
        <f t="shared" si="172"/>
        <v>1</v>
      </c>
      <c r="BM134" s="1">
        <f t="shared" si="173"/>
        <v>3.8018750000000239</v>
      </c>
      <c r="BN134" s="1">
        <f>IF(A134="","",IF(BM134="","",RANK(BM134,$BM$3:$BM284,1)))</f>
        <v>141</v>
      </c>
      <c r="BO134" s="1">
        <f t="shared" si="174"/>
        <v>1</v>
      </c>
      <c r="BR134" s="1">
        <f t="shared" si="175"/>
        <v>1</v>
      </c>
      <c r="BS134" s="1" t="str">
        <f t="shared" si="176"/>
        <v>コウエイダリア　　　　　　　　　　　</v>
      </c>
      <c r="CD134" s="1" t="str">
        <f t="shared" si="177"/>
        <v/>
      </c>
      <c r="CE134" s="1" t="str">
        <f>IF(A134="","",IF(CD134="","",RANK(CD134,$CD$3:$CD284,1)))</f>
        <v/>
      </c>
      <c r="CF134" s="1">
        <f t="shared" si="178"/>
        <v>1</v>
      </c>
      <c r="CI134" s="1" t="str">
        <f t="shared" si="179"/>
        <v/>
      </c>
      <c r="CJ134" s="1" t="str">
        <f>IF(A134="","",IF(CI134="","",RANK(CI134,$CI$3:$CI284,1)))</f>
        <v/>
      </c>
      <c r="CK134" s="1">
        <f t="shared" si="180"/>
        <v>1</v>
      </c>
      <c r="CN134" s="1" t="str">
        <f t="shared" si="181"/>
        <v/>
      </c>
      <c r="CO134" s="1" t="str">
        <f>IF(A134="","",IF(CN134="","",RANK(CN134,$CN$3:$CN284,1)))</f>
        <v/>
      </c>
      <c r="CP134" s="1">
        <f t="shared" si="182"/>
        <v>1</v>
      </c>
      <c r="CS134" s="1" t="str">
        <f t="shared" si="183"/>
        <v/>
      </c>
      <c r="CT134" s="1" t="str">
        <f>IF(A134="","",IF(CS134="","",RANK(CS134,$CS$3:$CS284,1)))</f>
        <v/>
      </c>
      <c r="CU134" s="1">
        <f t="shared" si="184"/>
        <v>1</v>
      </c>
      <c r="CX134" s="1" t="str">
        <f t="shared" si="185"/>
        <v/>
      </c>
      <c r="CY134" s="1" t="str">
        <f>IF(CX134="","",IF(A134="","",RANK(CX134,$CX$3:$CX284,1)))</f>
        <v/>
      </c>
      <c r="CZ134" s="1">
        <f t="shared" si="186"/>
        <v>1</v>
      </c>
      <c r="DC134" s="1" t="str">
        <f t="shared" si="187"/>
        <v/>
      </c>
      <c r="DD134" s="1" t="str">
        <f>IF(DC134="","",IF(A134="","",RANK(DC134,$DC$3:$DC284,1)))</f>
        <v/>
      </c>
      <c r="DE134" s="1">
        <f t="shared" si="188"/>
        <v>1</v>
      </c>
      <c r="DH134" s="1" t="str">
        <f t="shared" si="189"/>
        <v/>
      </c>
      <c r="DI134" s="1" t="str">
        <f>IF(DH134="","",IF(A134="","",RANK(DH134,$DH$3:$DH284,1)))</f>
        <v/>
      </c>
      <c r="DJ134" s="1">
        <f t="shared" si="190"/>
        <v>1</v>
      </c>
      <c r="DM134" s="1" t="str">
        <f t="shared" si="191"/>
        <v/>
      </c>
      <c r="DN134" s="1" t="str">
        <f>IF(DM134="","",IF(A134="","",RANK(DM134,$DM$3:$DM284,1)))</f>
        <v/>
      </c>
      <c r="DO134" s="1">
        <f t="shared" si="192"/>
        <v>1</v>
      </c>
      <c r="DR134" s="1">
        <f t="shared" si="193"/>
        <v>18.401319999999998</v>
      </c>
      <c r="DS134" s="1">
        <f>IF(DR134="","",IF(A134="","",RANK(DR134,$DR$3:$DR284,1)))</f>
        <v>140</v>
      </c>
      <c r="DT134" s="1">
        <f t="shared" si="194"/>
        <v>1</v>
      </c>
      <c r="DW134" s="1">
        <f t="shared" si="195"/>
        <v>16.901319999999998</v>
      </c>
      <c r="DX134" s="1">
        <f>IF(DW134="","",IF(A134="","",RANK(DW134,$DW$3:$DW284,1)))</f>
        <v>148</v>
      </c>
      <c r="DY134" s="1">
        <f t="shared" si="196"/>
        <v>1</v>
      </c>
      <c r="EB134" s="1">
        <f t="shared" si="197"/>
        <v>14.00132</v>
      </c>
      <c r="EC134" s="1">
        <f>IF(EB134="","",IF(A134="","",RANK(EB134,$EB$3:$EB284,1)))</f>
        <v>124</v>
      </c>
      <c r="ED134" s="1">
        <f t="shared" si="198"/>
        <v>1</v>
      </c>
      <c r="EG134" s="1">
        <f t="shared" si="199"/>
        <v>13.80132</v>
      </c>
      <c r="EH134" s="1">
        <f>IF(EG134="","",IF(A134="","",RANK(EG134,$EG$3:$EG284,1)))</f>
        <v>132</v>
      </c>
      <c r="EI134" s="1">
        <f t="shared" si="200"/>
        <v>1</v>
      </c>
    </row>
    <row r="135" spans="1:139" ht="18.75">
      <c r="A135" s="1" t="s">
        <v>88</v>
      </c>
      <c r="B135" s="1">
        <v>20190226</v>
      </c>
      <c r="C135" s="1" t="s">
        <v>94</v>
      </c>
      <c r="D135" s="1">
        <v>5</v>
      </c>
      <c r="E135" s="30">
        <v>62.2</v>
      </c>
      <c r="F135" s="30">
        <v>45.1</v>
      </c>
      <c r="G135" s="30">
        <v>29.3</v>
      </c>
      <c r="H135" s="30">
        <v>13.9</v>
      </c>
      <c r="I135" s="30">
        <v>17.100000000000001</v>
      </c>
      <c r="J135" s="30">
        <v>15.8</v>
      </c>
      <c r="K135" s="30">
        <v>15.4</v>
      </c>
      <c r="L135" s="30">
        <v>13.9</v>
      </c>
      <c r="M135" s="1" t="str">
        <f t="shared" si="143"/>
        <v>2019/02/26</v>
      </c>
      <c r="N135" s="4" t="str">
        <f t="shared" si="144"/>
        <v/>
      </c>
      <c r="O135">
        <v>1.3300000000000028E-3</v>
      </c>
      <c r="P135" s="1" t="str">
        <f t="shared" si="145"/>
        <v/>
      </c>
      <c r="Q135" s="1" t="str">
        <f t="shared" si="146"/>
        <v/>
      </c>
      <c r="R135" s="1">
        <f t="shared" si="147"/>
        <v>5</v>
      </c>
      <c r="U135" s="1">
        <f t="shared" si="148"/>
        <v>62.201330000000006</v>
      </c>
      <c r="V135" s="1">
        <f t="shared" si="149"/>
        <v>140</v>
      </c>
      <c r="W135" s="1">
        <f t="shared" si="150"/>
        <v>5</v>
      </c>
      <c r="Z135" s="1" t="str">
        <f t="shared" si="151"/>
        <v/>
      </c>
      <c r="AA135" s="1" t="str">
        <f t="shared" si="152"/>
        <v/>
      </c>
      <c r="AB135" s="1">
        <f t="shared" si="153"/>
        <v>5</v>
      </c>
      <c r="AE135" s="1">
        <f t="shared" si="154"/>
        <v>45.101330000000004</v>
      </c>
      <c r="AF135" s="1">
        <f t="shared" si="155"/>
        <v>146</v>
      </c>
      <c r="AG135" s="1">
        <f t="shared" si="156"/>
        <v>5</v>
      </c>
      <c r="AJ135" s="1" t="str">
        <f t="shared" si="157"/>
        <v/>
      </c>
      <c r="AK135" s="1" t="str">
        <f t="shared" si="158"/>
        <v/>
      </c>
      <c r="AL135" s="1">
        <f t="shared" si="159"/>
        <v>5</v>
      </c>
      <c r="AO135" s="1">
        <f t="shared" si="160"/>
        <v>29.30133</v>
      </c>
      <c r="AP135" s="1">
        <f t="shared" si="161"/>
        <v>147</v>
      </c>
      <c r="AQ135" s="1">
        <f t="shared" si="162"/>
        <v>5</v>
      </c>
      <c r="AT135" s="1">
        <f t="shared" si="163"/>
        <v>1.3000000000000007</v>
      </c>
      <c r="AU135" s="1">
        <f t="shared" si="164"/>
        <v>0.40000000000000036</v>
      </c>
      <c r="AV135" s="1">
        <f t="shared" si="165"/>
        <v>1.5</v>
      </c>
      <c r="AW135" s="1">
        <f t="shared" si="166"/>
        <v>3.2000000000000011</v>
      </c>
      <c r="AX135" s="1">
        <f t="shared" si="167"/>
        <v>1.0679966666666671</v>
      </c>
      <c r="BC135" s="1">
        <f t="shared" si="168"/>
        <v>1.7013300000000011</v>
      </c>
      <c r="BD135" s="1">
        <f t="shared" si="169"/>
        <v>120</v>
      </c>
      <c r="BE135" s="1">
        <f t="shared" si="170"/>
        <v>5</v>
      </c>
      <c r="BH135" s="1" t="str">
        <f t="shared" si="171"/>
        <v/>
      </c>
      <c r="BI135" s="1" t="str">
        <f>IF(A135="","",IF(BH135="","",RANK(BH135,$BH$3:$BH285,1)))</f>
        <v/>
      </c>
      <c r="BJ135" s="1">
        <f t="shared" si="172"/>
        <v>5</v>
      </c>
      <c r="BM135" s="1">
        <f t="shared" si="173"/>
        <v>1.3025000000000007</v>
      </c>
      <c r="BN135" s="1">
        <f>IF(A135="","",IF(BM135="","",RANK(BM135,$BM$3:$BM285,1)))</f>
        <v>82</v>
      </c>
      <c r="BO135" s="1">
        <f t="shared" si="174"/>
        <v>5</v>
      </c>
      <c r="BR135" s="1">
        <f t="shared" si="175"/>
        <v>5</v>
      </c>
      <c r="BS135" s="1" t="str">
        <f t="shared" si="176"/>
        <v>シグナライズ　　　　　　　　　　　　</v>
      </c>
      <c r="CD135" s="1" t="str">
        <f t="shared" si="177"/>
        <v/>
      </c>
      <c r="CE135" s="1" t="str">
        <f>IF(A135="","",IF(CD135="","",RANK(CD135,$CD$3:$CD285,1)))</f>
        <v/>
      </c>
      <c r="CF135" s="1">
        <f t="shared" si="178"/>
        <v>5</v>
      </c>
      <c r="CI135" s="1" t="str">
        <f t="shared" si="179"/>
        <v/>
      </c>
      <c r="CJ135" s="1" t="str">
        <f>IF(A135="","",IF(CI135="","",RANK(CI135,$CI$3:$CI285,1)))</f>
        <v/>
      </c>
      <c r="CK135" s="1">
        <f t="shared" si="180"/>
        <v>5</v>
      </c>
      <c r="CN135" s="1" t="str">
        <f t="shared" si="181"/>
        <v/>
      </c>
      <c r="CO135" s="1" t="str">
        <f>IF(A135="","",IF(CN135="","",RANK(CN135,$CN$3:$CN285,1)))</f>
        <v/>
      </c>
      <c r="CP135" s="1">
        <f t="shared" si="182"/>
        <v>5</v>
      </c>
      <c r="CS135" s="1" t="str">
        <f t="shared" si="183"/>
        <v/>
      </c>
      <c r="CT135" s="1" t="str">
        <f>IF(A135="","",IF(CS135="","",RANK(CS135,$CS$3:$CS285,1)))</f>
        <v/>
      </c>
      <c r="CU135" s="1">
        <f t="shared" si="184"/>
        <v>5</v>
      </c>
      <c r="CX135" s="1" t="str">
        <f t="shared" si="185"/>
        <v/>
      </c>
      <c r="CY135" s="1" t="str">
        <f>IF(CX135="","",IF(A135="","",RANK(CX135,$CX$3:$CX285,1)))</f>
        <v/>
      </c>
      <c r="CZ135" s="1">
        <f t="shared" si="186"/>
        <v>5</v>
      </c>
      <c r="DC135" s="1" t="str">
        <f t="shared" si="187"/>
        <v/>
      </c>
      <c r="DD135" s="1" t="str">
        <f>IF(DC135="","",IF(A135="","",RANK(DC135,$DC$3:$DC285,1)))</f>
        <v/>
      </c>
      <c r="DE135" s="1">
        <f t="shared" si="188"/>
        <v>5</v>
      </c>
      <c r="DH135" s="1" t="str">
        <f t="shared" si="189"/>
        <v/>
      </c>
      <c r="DI135" s="1" t="str">
        <f>IF(DH135="","",IF(A135="","",RANK(DH135,$DH$3:$DH285,1)))</f>
        <v/>
      </c>
      <c r="DJ135" s="1">
        <f t="shared" si="190"/>
        <v>5</v>
      </c>
      <c r="DM135" s="1" t="str">
        <f t="shared" si="191"/>
        <v/>
      </c>
      <c r="DN135" s="1" t="str">
        <f>IF(DM135="","",IF(A135="","",RANK(DM135,$DM$3:$DM285,1)))</f>
        <v/>
      </c>
      <c r="DO135" s="1">
        <f t="shared" si="192"/>
        <v>5</v>
      </c>
      <c r="DR135" s="1">
        <f t="shared" si="193"/>
        <v>17.101330000000001</v>
      </c>
      <c r="DS135" s="1">
        <f>IF(DR135="","",IF(A135="","",RANK(DR135,$DR$3:$DR285,1)))</f>
        <v>124</v>
      </c>
      <c r="DT135" s="1">
        <f t="shared" si="194"/>
        <v>5</v>
      </c>
      <c r="DW135" s="1">
        <f t="shared" si="195"/>
        <v>15.80133</v>
      </c>
      <c r="DX135" s="1">
        <f>IF(DW135="","",IF(A135="","",RANK(DW135,$DW$3:$DW285,1)))</f>
        <v>134</v>
      </c>
      <c r="DY135" s="1">
        <f t="shared" si="196"/>
        <v>5</v>
      </c>
      <c r="EB135" s="1">
        <f t="shared" si="197"/>
        <v>15.40133</v>
      </c>
      <c r="EC135" s="1">
        <f>IF(EB135="","",IF(A135="","",RANK(EB135,$EB$3:$EB285,1)))</f>
        <v>149</v>
      </c>
      <c r="ED135" s="1">
        <f t="shared" si="198"/>
        <v>5</v>
      </c>
      <c r="EG135" s="1">
        <f t="shared" si="199"/>
        <v>13.90133</v>
      </c>
      <c r="EH135" s="1">
        <f>IF(EG135="","",IF(A135="","",RANK(EG135,$EG$3:$EG285,1)))</f>
        <v>133</v>
      </c>
      <c r="EI135" s="1">
        <f t="shared" si="200"/>
        <v>5</v>
      </c>
    </row>
    <row r="136" spans="1:139" ht="18.75">
      <c r="A136" s="1" t="s">
        <v>88</v>
      </c>
      <c r="B136" s="1">
        <v>20190524</v>
      </c>
      <c r="C136" s="1" t="s">
        <v>92</v>
      </c>
      <c r="D136" s="1">
        <v>3</v>
      </c>
      <c r="E136" s="30">
        <v>62.8</v>
      </c>
      <c r="F136" s="30">
        <v>44.7</v>
      </c>
      <c r="G136" s="30">
        <v>28.7</v>
      </c>
      <c r="H136" s="30">
        <v>13.9</v>
      </c>
      <c r="I136" s="30">
        <v>18.100000000000001</v>
      </c>
      <c r="J136" s="30">
        <v>16</v>
      </c>
      <c r="K136" s="30">
        <v>14.8</v>
      </c>
      <c r="L136" s="30">
        <v>13.9</v>
      </c>
      <c r="M136" s="1" t="str">
        <f t="shared" si="143"/>
        <v>2019/05/24</v>
      </c>
      <c r="N136" s="4" t="str">
        <f t="shared" si="144"/>
        <v/>
      </c>
      <c r="O136">
        <v>1.3400000000000029E-3</v>
      </c>
      <c r="P136" s="1" t="str">
        <f t="shared" si="145"/>
        <v/>
      </c>
      <c r="Q136" s="1" t="str">
        <f t="shared" si="146"/>
        <v/>
      </c>
      <c r="R136" s="1">
        <f t="shared" si="147"/>
        <v>3</v>
      </c>
      <c r="U136" s="1">
        <f t="shared" si="148"/>
        <v>62.801339999999996</v>
      </c>
      <c r="V136" s="1">
        <f t="shared" si="149"/>
        <v>144</v>
      </c>
      <c r="W136" s="1">
        <f t="shared" si="150"/>
        <v>3</v>
      </c>
      <c r="Z136" s="1" t="str">
        <f t="shared" si="151"/>
        <v/>
      </c>
      <c r="AA136" s="1" t="str">
        <f t="shared" si="152"/>
        <v/>
      </c>
      <c r="AB136" s="1">
        <f t="shared" si="153"/>
        <v>3</v>
      </c>
      <c r="AE136" s="1">
        <f t="shared" si="154"/>
        <v>44.701340000000002</v>
      </c>
      <c r="AF136" s="1">
        <f t="shared" si="155"/>
        <v>142</v>
      </c>
      <c r="AG136" s="1">
        <f t="shared" si="156"/>
        <v>3</v>
      </c>
      <c r="AJ136" s="1" t="str">
        <f t="shared" si="157"/>
        <v/>
      </c>
      <c r="AK136" s="1" t="str">
        <f t="shared" si="158"/>
        <v/>
      </c>
      <c r="AL136" s="1">
        <f t="shared" si="159"/>
        <v>3</v>
      </c>
      <c r="AO136" s="1">
        <f t="shared" si="160"/>
        <v>28.701339999999998</v>
      </c>
      <c r="AP136" s="1">
        <f t="shared" si="161"/>
        <v>141</v>
      </c>
      <c r="AQ136" s="1">
        <f t="shared" si="162"/>
        <v>3</v>
      </c>
      <c r="AT136" s="1">
        <f t="shared" si="163"/>
        <v>2.1000000000000014</v>
      </c>
      <c r="AU136" s="1">
        <f t="shared" si="164"/>
        <v>1.1999999999999993</v>
      </c>
      <c r="AV136" s="1">
        <f t="shared" si="165"/>
        <v>0.90000000000000036</v>
      </c>
      <c r="AW136" s="1">
        <f t="shared" si="166"/>
        <v>4.2000000000000011</v>
      </c>
      <c r="AX136" s="1">
        <f t="shared" si="167"/>
        <v>1.4013400000000003</v>
      </c>
      <c r="BC136" s="1">
        <f t="shared" si="168"/>
        <v>3.3013400000000006</v>
      </c>
      <c r="BD136" s="1">
        <f t="shared" si="169"/>
        <v>41</v>
      </c>
      <c r="BE136" s="1">
        <f t="shared" si="170"/>
        <v>3</v>
      </c>
      <c r="BH136" s="1" t="str">
        <f t="shared" si="171"/>
        <v/>
      </c>
      <c r="BI136" s="1" t="str">
        <f>IF(A136="","",IF(BH136="","",RANK(BH136,$BH$3:$BH286,1)))</f>
        <v/>
      </c>
      <c r="BJ136" s="1">
        <f t="shared" si="172"/>
        <v>3</v>
      </c>
      <c r="BM136" s="1">
        <f t="shared" si="173"/>
        <v>2.475000000000001</v>
      </c>
      <c r="BN136" s="1">
        <f>IF(A136="","",IF(BM136="","",RANK(BM136,$BM$3:$BM286,1)))</f>
        <v>122</v>
      </c>
      <c r="BO136" s="1">
        <f t="shared" si="174"/>
        <v>3</v>
      </c>
      <c r="BR136" s="1">
        <f t="shared" si="175"/>
        <v>3</v>
      </c>
      <c r="BS136" s="1" t="str">
        <f t="shared" si="176"/>
        <v>ディアボレット　　　　　　　　　　　</v>
      </c>
      <c r="CD136" s="1" t="str">
        <f t="shared" si="177"/>
        <v/>
      </c>
      <c r="CE136" s="1" t="str">
        <f>IF(A136="","",IF(CD136="","",RANK(CD136,$CD$3:$CD286,1)))</f>
        <v/>
      </c>
      <c r="CF136" s="1">
        <f t="shared" si="178"/>
        <v>3</v>
      </c>
      <c r="CI136" s="1" t="str">
        <f t="shared" si="179"/>
        <v/>
      </c>
      <c r="CJ136" s="1" t="str">
        <f>IF(A136="","",IF(CI136="","",RANK(CI136,$CI$3:$CI286,1)))</f>
        <v/>
      </c>
      <c r="CK136" s="1">
        <f t="shared" si="180"/>
        <v>3</v>
      </c>
      <c r="CN136" s="1" t="str">
        <f t="shared" si="181"/>
        <v/>
      </c>
      <c r="CO136" s="1" t="str">
        <f>IF(A136="","",IF(CN136="","",RANK(CN136,$CN$3:$CN286,1)))</f>
        <v/>
      </c>
      <c r="CP136" s="1">
        <f t="shared" si="182"/>
        <v>3</v>
      </c>
      <c r="CS136" s="1" t="str">
        <f t="shared" si="183"/>
        <v/>
      </c>
      <c r="CT136" s="1" t="str">
        <f>IF(A136="","",IF(CS136="","",RANK(CS136,$CS$3:$CS286,1)))</f>
        <v/>
      </c>
      <c r="CU136" s="1">
        <f t="shared" si="184"/>
        <v>3</v>
      </c>
      <c r="CX136" s="1" t="str">
        <f t="shared" si="185"/>
        <v/>
      </c>
      <c r="CY136" s="1" t="str">
        <f>IF(CX136="","",IF(A136="","",RANK(CX136,$CX$3:$CX286,1)))</f>
        <v/>
      </c>
      <c r="CZ136" s="1">
        <f t="shared" si="186"/>
        <v>3</v>
      </c>
      <c r="DC136" s="1" t="str">
        <f t="shared" si="187"/>
        <v/>
      </c>
      <c r="DD136" s="1" t="str">
        <f>IF(DC136="","",IF(A136="","",RANK(DC136,$DC$3:$DC286,1)))</f>
        <v/>
      </c>
      <c r="DE136" s="1">
        <f t="shared" si="188"/>
        <v>3</v>
      </c>
      <c r="DH136" s="1" t="str">
        <f t="shared" si="189"/>
        <v/>
      </c>
      <c r="DI136" s="1" t="str">
        <f>IF(DH136="","",IF(A136="","",RANK(DH136,$DH$3:$DH286,1)))</f>
        <v/>
      </c>
      <c r="DJ136" s="1">
        <f t="shared" si="190"/>
        <v>3</v>
      </c>
      <c r="DM136" s="1" t="str">
        <f t="shared" si="191"/>
        <v/>
      </c>
      <c r="DN136" s="1" t="str">
        <f>IF(DM136="","",IF(A136="","",RANK(DM136,$DM$3:$DM286,1)))</f>
        <v/>
      </c>
      <c r="DO136" s="1">
        <f t="shared" si="192"/>
        <v>3</v>
      </c>
      <c r="DR136" s="1">
        <f t="shared" si="193"/>
        <v>18.10134</v>
      </c>
      <c r="DS136" s="1">
        <f>IF(DR136="","",IF(A136="","",RANK(DR136,$DR$3:$DR286,1)))</f>
        <v>137</v>
      </c>
      <c r="DT136" s="1">
        <f t="shared" si="194"/>
        <v>3</v>
      </c>
      <c r="DW136" s="1">
        <f t="shared" si="195"/>
        <v>16.001339999999999</v>
      </c>
      <c r="DX136" s="1">
        <f>IF(DW136="","",IF(A136="","",RANK(DW136,$DW$3:$DW286,1)))</f>
        <v>137</v>
      </c>
      <c r="DY136" s="1">
        <f t="shared" si="196"/>
        <v>3</v>
      </c>
      <c r="EB136" s="1">
        <f t="shared" si="197"/>
        <v>14.801340000000001</v>
      </c>
      <c r="EC136" s="1">
        <f>IF(EB136="","",IF(A136="","",RANK(EB136,$EB$3:$EB286,1)))</f>
        <v>144</v>
      </c>
      <c r="ED136" s="1">
        <f t="shared" si="198"/>
        <v>3</v>
      </c>
      <c r="EG136" s="1">
        <f t="shared" si="199"/>
        <v>13.901340000000001</v>
      </c>
      <c r="EH136" s="1">
        <f>IF(EG136="","",IF(A136="","",RANK(EG136,$EG$3:$EG286,1)))</f>
        <v>134</v>
      </c>
      <c r="EI136" s="1">
        <f t="shared" si="200"/>
        <v>3</v>
      </c>
    </row>
    <row r="137" spans="1:139" ht="18.75">
      <c r="A137" s="1" t="s">
        <v>88</v>
      </c>
      <c r="B137" s="1">
        <v>20190707</v>
      </c>
      <c r="C137" s="1" t="s">
        <v>92</v>
      </c>
      <c r="D137" s="1">
        <v>3</v>
      </c>
      <c r="E137" s="30">
        <v>63</v>
      </c>
      <c r="F137" s="30">
        <v>44.6</v>
      </c>
      <c r="G137" s="30">
        <v>28.4</v>
      </c>
      <c r="H137" s="30">
        <v>13.9</v>
      </c>
      <c r="I137" s="30">
        <v>18.399999999999999</v>
      </c>
      <c r="J137" s="30">
        <v>16.2</v>
      </c>
      <c r="K137" s="30">
        <v>14.5</v>
      </c>
      <c r="L137" s="30">
        <v>13.9</v>
      </c>
      <c r="M137" s="1" t="str">
        <f t="shared" si="143"/>
        <v>2019/07/07</v>
      </c>
      <c r="N137" s="4" t="str">
        <f t="shared" si="144"/>
        <v/>
      </c>
      <c r="O137">
        <v>1.3500000000000029E-3</v>
      </c>
      <c r="P137" s="1" t="str">
        <f t="shared" si="145"/>
        <v/>
      </c>
      <c r="Q137" s="1" t="str">
        <f t="shared" si="146"/>
        <v/>
      </c>
      <c r="R137" s="1">
        <f t="shared" si="147"/>
        <v>3</v>
      </c>
      <c r="U137" s="1">
        <f t="shared" si="148"/>
        <v>63.001350000000002</v>
      </c>
      <c r="V137" s="1">
        <f t="shared" si="149"/>
        <v>145</v>
      </c>
      <c r="W137" s="1">
        <f t="shared" si="150"/>
        <v>3</v>
      </c>
      <c r="Z137" s="1" t="str">
        <f t="shared" si="151"/>
        <v/>
      </c>
      <c r="AA137" s="1" t="str">
        <f t="shared" si="152"/>
        <v/>
      </c>
      <c r="AB137" s="1">
        <f t="shared" si="153"/>
        <v>3</v>
      </c>
      <c r="AE137" s="1">
        <f t="shared" si="154"/>
        <v>44.601350000000004</v>
      </c>
      <c r="AF137" s="1">
        <f t="shared" si="155"/>
        <v>140</v>
      </c>
      <c r="AG137" s="1">
        <f t="shared" si="156"/>
        <v>3</v>
      </c>
      <c r="AJ137" s="1" t="str">
        <f t="shared" si="157"/>
        <v/>
      </c>
      <c r="AK137" s="1" t="str">
        <f t="shared" si="158"/>
        <v/>
      </c>
      <c r="AL137" s="1">
        <f t="shared" si="159"/>
        <v>3</v>
      </c>
      <c r="AO137" s="1">
        <f t="shared" si="160"/>
        <v>28.401349999999997</v>
      </c>
      <c r="AP137" s="1">
        <f t="shared" si="161"/>
        <v>134</v>
      </c>
      <c r="AQ137" s="1">
        <f t="shared" si="162"/>
        <v>3</v>
      </c>
      <c r="AT137" s="1">
        <f t="shared" si="163"/>
        <v>2.1999999999999993</v>
      </c>
      <c r="AU137" s="1">
        <f t="shared" si="164"/>
        <v>1.6999999999999993</v>
      </c>
      <c r="AV137" s="1">
        <f t="shared" si="165"/>
        <v>0.59999999999999964</v>
      </c>
      <c r="AW137" s="1">
        <f t="shared" si="166"/>
        <v>4.4999999999999982</v>
      </c>
      <c r="AX137" s="1">
        <f t="shared" si="167"/>
        <v>1.5013499999999993</v>
      </c>
      <c r="BC137" s="1">
        <f t="shared" si="168"/>
        <v>3.9013499999999985</v>
      </c>
      <c r="BD137" s="1">
        <f t="shared" si="169"/>
        <v>22</v>
      </c>
      <c r="BE137" s="1">
        <f t="shared" si="170"/>
        <v>3</v>
      </c>
      <c r="BH137" s="1" t="str">
        <f t="shared" si="171"/>
        <v/>
      </c>
      <c r="BI137" s="1" t="str">
        <f>IF(A137="","",IF(BH137="","",RANK(BH137,$BH$3:$BH287,1)))</f>
        <v/>
      </c>
      <c r="BJ137" s="1">
        <f t="shared" si="172"/>
        <v>3</v>
      </c>
      <c r="BM137" s="1">
        <f t="shared" si="173"/>
        <v>3.0525000000000659</v>
      </c>
      <c r="BN137" s="1">
        <f>IF(A137="","",IF(BM137="","",RANK(BM137,$BM$3:$BM287,1)))</f>
        <v>133</v>
      </c>
      <c r="BO137" s="1">
        <f t="shared" si="174"/>
        <v>3</v>
      </c>
      <c r="BR137" s="1">
        <f t="shared" si="175"/>
        <v>3</v>
      </c>
      <c r="BS137" s="1" t="str">
        <f t="shared" si="176"/>
        <v>ディアボレット　　　　　　　　　　　</v>
      </c>
      <c r="CD137" s="1" t="str">
        <f t="shared" si="177"/>
        <v/>
      </c>
      <c r="CE137" s="1" t="str">
        <f>IF(A137="","",IF(CD137="","",RANK(CD137,$CD$3:$CD287,1)))</f>
        <v/>
      </c>
      <c r="CF137" s="1">
        <f t="shared" si="178"/>
        <v>3</v>
      </c>
      <c r="CI137" s="1" t="str">
        <f t="shared" si="179"/>
        <v/>
      </c>
      <c r="CJ137" s="1" t="str">
        <f>IF(A137="","",IF(CI137="","",RANK(CI137,$CI$3:$CI287,1)))</f>
        <v/>
      </c>
      <c r="CK137" s="1">
        <f t="shared" si="180"/>
        <v>3</v>
      </c>
      <c r="CN137" s="1" t="str">
        <f t="shared" si="181"/>
        <v/>
      </c>
      <c r="CO137" s="1" t="str">
        <f>IF(A137="","",IF(CN137="","",RANK(CN137,$CN$3:$CN287,1)))</f>
        <v/>
      </c>
      <c r="CP137" s="1">
        <f t="shared" si="182"/>
        <v>3</v>
      </c>
      <c r="CS137" s="1" t="str">
        <f t="shared" si="183"/>
        <v/>
      </c>
      <c r="CT137" s="1" t="str">
        <f>IF(A137="","",IF(CS137="","",RANK(CS137,$CS$3:$CS287,1)))</f>
        <v/>
      </c>
      <c r="CU137" s="1">
        <f t="shared" si="184"/>
        <v>3</v>
      </c>
      <c r="CX137" s="1" t="str">
        <f t="shared" si="185"/>
        <v/>
      </c>
      <c r="CY137" s="1" t="str">
        <f>IF(CX137="","",IF(A137="","",RANK(CX137,$CX$3:$CX287,1)))</f>
        <v/>
      </c>
      <c r="CZ137" s="1">
        <f t="shared" si="186"/>
        <v>3</v>
      </c>
      <c r="DC137" s="1" t="str">
        <f t="shared" si="187"/>
        <v/>
      </c>
      <c r="DD137" s="1" t="str">
        <f>IF(DC137="","",IF(A137="","",RANK(DC137,$DC$3:$DC287,1)))</f>
        <v/>
      </c>
      <c r="DE137" s="1">
        <f t="shared" si="188"/>
        <v>3</v>
      </c>
      <c r="DH137" s="1" t="str">
        <f t="shared" si="189"/>
        <v/>
      </c>
      <c r="DI137" s="1" t="str">
        <f>IF(DH137="","",IF(A137="","",RANK(DH137,$DH$3:$DH287,1)))</f>
        <v/>
      </c>
      <c r="DJ137" s="1">
        <f t="shared" si="190"/>
        <v>3</v>
      </c>
      <c r="DM137" s="1" t="str">
        <f t="shared" si="191"/>
        <v/>
      </c>
      <c r="DN137" s="1" t="str">
        <f>IF(DM137="","",IF(A137="","",RANK(DM137,$DM$3:$DM287,1)))</f>
        <v/>
      </c>
      <c r="DO137" s="1">
        <f t="shared" si="192"/>
        <v>3</v>
      </c>
      <c r="DR137" s="1">
        <f t="shared" si="193"/>
        <v>18.401349999999997</v>
      </c>
      <c r="DS137" s="1">
        <f>IF(DR137="","",IF(A137="","",RANK(DR137,$DR$3:$DR287,1)))</f>
        <v>141</v>
      </c>
      <c r="DT137" s="1">
        <f t="shared" si="194"/>
        <v>3</v>
      </c>
      <c r="DW137" s="1">
        <f t="shared" si="195"/>
        <v>16.201349999999998</v>
      </c>
      <c r="DX137" s="1">
        <f>IF(DW137="","",IF(A137="","",RANK(DW137,$DW$3:$DW287,1)))</f>
        <v>140</v>
      </c>
      <c r="DY137" s="1">
        <f t="shared" si="196"/>
        <v>3</v>
      </c>
      <c r="EB137" s="1">
        <f t="shared" si="197"/>
        <v>14.50135</v>
      </c>
      <c r="EC137" s="1">
        <f>IF(EB137="","",IF(A137="","",RANK(EB137,$EB$3:$EB287,1)))</f>
        <v>135</v>
      </c>
      <c r="ED137" s="1">
        <f t="shared" si="198"/>
        <v>3</v>
      </c>
      <c r="EG137" s="1">
        <f t="shared" si="199"/>
        <v>13.901350000000001</v>
      </c>
      <c r="EH137" s="1">
        <f>IF(EG137="","",IF(A137="","",RANK(EG137,$EG$3:$EG287,1)))</f>
        <v>135</v>
      </c>
      <c r="EI137" s="1">
        <f t="shared" si="200"/>
        <v>3</v>
      </c>
    </row>
    <row r="138" spans="1:139" ht="18.75">
      <c r="A138" s="1" t="s">
        <v>88</v>
      </c>
      <c r="B138" s="1">
        <v>20190407</v>
      </c>
      <c r="C138" s="1" t="s">
        <v>97</v>
      </c>
      <c r="D138" s="1">
        <v>8</v>
      </c>
      <c r="E138" s="30">
        <v>58.5</v>
      </c>
      <c r="F138" s="30">
        <v>43.2</v>
      </c>
      <c r="G138" s="30">
        <v>28.6</v>
      </c>
      <c r="H138" s="30">
        <v>14</v>
      </c>
      <c r="I138" s="30">
        <v>15.3</v>
      </c>
      <c r="J138" s="30">
        <v>14.6</v>
      </c>
      <c r="K138" s="30">
        <v>14.6</v>
      </c>
      <c r="L138" s="30">
        <v>14</v>
      </c>
      <c r="M138" s="1" t="str">
        <f t="shared" si="143"/>
        <v>2019/04/07</v>
      </c>
      <c r="N138" s="4" t="str">
        <f t="shared" si="144"/>
        <v/>
      </c>
      <c r="O138">
        <v>1.3600000000000029E-3</v>
      </c>
      <c r="P138" s="1" t="str">
        <f t="shared" si="145"/>
        <v/>
      </c>
      <c r="Q138" s="1" t="str">
        <f t="shared" si="146"/>
        <v/>
      </c>
      <c r="R138" s="1">
        <f t="shared" si="147"/>
        <v>8</v>
      </c>
      <c r="U138" s="1">
        <f t="shared" si="148"/>
        <v>58.501359999999998</v>
      </c>
      <c r="V138" s="1">
        <f t="shared" si="149"/>
        <v>120</v>
      </c>
      <c r="W138" s="1">
        <f t="shared" si="150"/>
        <v>8</v>
      </c>
      <c r="Z138" s="1" t="str">
        <f t="shared" si="151"/>
        <v/>
      </c>
      <c r="AA138" s="1" t="str">
        <f t="shared" si="152"/>
        <v/>
      </c>
      <c r="AB138" s="1">
        <f t="shared" si="153"/>
        <v>8</v>
      </c>
      <c r="AE138" s="1">
        <f t="shared" si="154"/>
        <v>43.201360000000001</v>
      </c>
      <c r="AF138" s="1">
        <f t="shared" si="155"/>
        <v>131</v>
      </c>
      <c r="AG138" s="1">
        <f t="shared" si="156"/>
        <v>8</v>
      </c>
      <c r="AJ138" s="1" t="str">
        <f t="shared" si="157"/>
        <v/>
      </c>
      <c r="AK138" s="1" t="str">
        <f t="shared" si="158"/>
        <v/>
      </c>
      <c r="AL138" s="1">
        <f t="shared" si="159"/>
        <v>8</v>
      </c>
      <c r="AO138" s="1">
        <f t="shared" si="160"/>
        <v>28.60136</v>
      </c>
      <c r="AP138" s="1">
        <f t="shared" si="161"/>
        <v>139</v>
      </c>
      <c r="AQ138" s="1">
        <f t="shared" si="162"/>
        <v>8</v>
      </c>
      <c r="AT138" s="1">
        <f t="shared" si="163"/>
        <v>0.70000000000000107</v>
      </c>
      <c r="AU138" s="1">
        <f t="shared" si="164"/>
        <v>0</v>
      </c>
      <c r="AV138" s="1">
        <f t="shared" si="165"/>
        <v>0.59999999999999964</v>
      </c>
      <c r="AW138" s="1">
        <f t="shared" si="166"/>
        <v>1.3000000000000007</v>
      </c>
      <c r="AX138" s="1">
        <f t="shared" si="167"/>
        <v>0.4346933333333336</v>
      </c>
      <c r="BC138" s="1">
        <f t="shared" si="168"/>
        <v>0.70136000000000109</v>
      </c>
      <c r="BD138" s="1">
        <f t="shared" si="169"/>
        <v>148</v>
      </c>
      <c r="BE138" s="1">
        <f t="shared" si="170"/>
        <v>8</v>
      </c>
      <c r="BH138" s="1" t="str">
        <f t="shared" si="171"/>
        <v/>
      </c>
      <c r="BI138" s="1" t="str">
        <f>IF(A138="","",IF(BH138="","",RANK(BH138,$BH$3:$BH288,1)))</f>
        <v/>
      </c>
      <c r="BJ138" s="1">
        <f t="shared" si="172"/>
        <v>8</v>
      </c>
      <c r="BM138" s="1">
        <f t="shared" si="173"/>
        <v>0.21187500000000026</v>
      </c>
      <c r="BN138" s="1">
        <f>IF(A138="","",IF(BM138="","",RANK(BM138,$BM$3:$BM288,1)))</f>
        <v>4</v>
      </c>
      <c r="BO138" s="1">
        <f t="shared" si="174"/>
        <v>8</v>
      </c>
      <c r="BR138" s="1">
        <f t="shared" si="175"/>
        <v>8</v>
      </c>
      <c r="BS138" s="1" t="str">
        <f t="shared" si="176"/>
        <v>タマモメイトウ　　　　　　　　　　　</v>
      </c>
      <c r="CD138" s="1" t="str">
        <f t="shared" si="177"/>
        <v/>
      </c>
      <c r="CE138" s="1" t="str">
        <f>IF(A138="","",IF(CD138="","",RANK(CD138,$CD$3:$CD288,1)))</f>
        <v/>
      </c>
      <c r="CF138" s="1">
        <f t="shared" si="178"/>
        <v>8</v>
      </c>
      <c r="CI138" s="1" t="str">
        <f t="shared" si="179"/>
        <v/>
      </c>
      <c r="CJ138" s="1" t="str">
        <f>IF(A138="","",IF(CI138="","",RANK(CI138,$CI$3:$CI288,1)))</f>
        <v/>
      </c>
      <c r="CK138" s="1">
        <f t="shared" si="180"/>
        <v>8</v>
      </c>
      <c r="CN138" s="1" t="str">
        <f t="shared" si="181"/>
        <v/>
      </c>
      <c r="CO138" s="1" t="str">
        <f>IF(A138="","",IF(CN138="","",RANK(CN138,$CN$3:$CN288,1)))</f>
        <v/>
      </c>
      <c r="CP138" s="1">
        <f t="shared" si="182"/>
        <v>8</v>
      </c>
      <c r="CS138" s="1" t="str">
        <f t="shared" si="183"/>
        <v/>
      </c>
      <c r="CT138" s="1" t="str">
        <f>IF(A138="","",IF(CS138="","",RANK(CS138,$CS$3:$CS288,1)))</f>
        <v/>
      </c>
      <c r="CU138" s="1">
        <f t="shared" si="184"/>
        <v>8</v>
      </c>
      <c r="CX138" s="1" t="str">
        <f t="shared" si="185"/>
        <v/>
      </c>
      <c r="CY138" s="1" t="str">
        <f>IF(CX138="","",IF(A138="","",RANK(CX138,$CX$3:$CX288,1)))</f>
        <v/>
      </c>
      <c r="CZ138" s="1">
        <f t="shared" si="186"/>
        <v>8</v>
      </c>
      <c r="DC138" s="1" t="str">
        <f t="shared" si="187"/>
        <v/>
      </c>
      <c r="DD138" s="1" t="str">
        <f>IF(DC138="","",IF(A138="","",RANK(DC138,$DC$3:$DC288,1)))</f>
        <v/>
      </c>
      <c r="DE138" s="1">
        <f t="shared" si="188"/>
        <v>8</v>
      </c>
      <c r="DH138" s="1" t="str">
        <f t="shared" si="189"/>
        <v/>
      </c>
      <c r="DI138" s="1" t="str">
        <f>IF(DH138="","",IF(A138="","",RANK(DH138,$DH$3:$DH288,1)))</f>
        <v/>
      </c>
      <c r="DJ138" s="1">
        <f t="shared" si="190"/>
        <v>8</v>
      </c>
      <c r="DM138" s="1" t="str">
        <f t="shared" si="191"/>
        <v/>
      </c>
      <c r="DN138" s="1" t="str">
        <f>IF(DM138="","",IF(A138="","",RANK(DM138,$DM$3:$DM288,1)))</f>
        <v/>
      </c>
      <c r="DO138" s="1">
        <f t="shared" si="192"/>
        <v>8</v>
      </c>
      <c r="DR138" s="1">
        <f t="shared" si="193"/>
        <v>15.301360000000001</v>
      </c>
      <c r="DS138" s="1">
        <f>IF(DR138="","",IF(A138="","",RANK(DR138,$DR$3:$DR288,1)))</f>
        <v>61</v>
      </c>
      <c r="DT138" s="1">
        <f t="shared" si="194"/>
        <v>8</v>
      </c>
      <c r="DW138" s="1">
        <f t="shared" si="195"/>
        <v>14.60136</v>
      </c>
      <c r="DX138" s="1">
        <f>IF(DW138="","",IF(A138="","",RANK(DW138,$DW$3:$DW288,1)))</f>
        <v>108</v>
      </c>
      <c r="DY138" s="1">
        <f t="shared" si="196"/>
        <v>8</v>
      </c>
      <c r="EB138" s="1">
        <f t="shared" si="197"/>
        <v>14.60136</v>
      </c>
      <c r="EC138" s="1">
        <f>IF(EB138="","",IF(A138="","",RANK(EB138,$EB$3:$EB288,1)))</f>
        <v>138</v>
      </c>
      <c r="ED138" s="1">
        <f t="shared" si="198"/>
        <v>8</v>
      </c>
      <c r="EG138" s="1">
        <f t="shared" si="199"/>
        <v>14.00136</v>
      </c>
      <c r="EH138" s="1">
        <f>IF(EG138="","",IF(A138="","",RANK(EG138,$EG$3:$EG288,1)))</f>
        <v>136</v>
      </c>
      <c r="EI138" s="1">
        <f t="shared" si="200"/>
        <v>8</v>
      </c>
    </row>
    <row r="139" spans="1:139" ht="18.75">
      <c r="A139" s="1" t="s">
        <v>88</v>
      </c>
      <c r="B139" s="1">
        <v>20190616</v>
      </c>
      <c r="C139" s="1" t="s">
        <v>95</v>
      </c>
      <c r="D139" s="1">
        <v>6</v>
      </c>
      <c r="E139" s="30">
        <v>60.1</v>
      </c>
      <c r="F139" s="30">
        <v>43.5</v>
      </c>
      <c r="G139" s="30">
        <v>28.4</v>
      </c>
      <c r="H139" s="30">
        <v>14</v>
      </c>
      <c r="I139" s="30">
        <v>16.600000000000001</v>
      </c>
      <c r="J139" s="30">
        <v>15.1</v>
      </c>
      <c r="K139" s="30">
        <v>14.4</v>
      </c>
      <c r="L139" s="30">
        <v>14</v>
      </c>
      <c r="M139" s="1" t="str">
        <f t="shared" si="143"/>
        <v>2019/06/16</v>
      </c>
      <c r="N139" s="4" t="str">
        <f t="shared" si="144"/>
        <v/>
      </c>
      <c r="O139">
        <v>1.3700000000000029E-3</v>
      </c>
      <c r="P139" s="1" t="str">
        <f t="shared" si="145"/>
        <v/>
      </c>
      <c r="Q139" s="1" t="str">
        <f t="shared" si="146"/>
        <v/>
      </c>
      <c r="R139" s="1">
        <f t="shared" si="147"/>
        <v>6</v>
      </c>
      <c r="U139" s="1">
        <f t="shared" si="148"/>
        <v>60.101370000000003</v>
      </c>
      <c r="V139" s="1">
        <f t="shared" si="149"/>
        <v>129</v>
      </c>
      <c r="W139" s="1">
        <f t="shared" si="150"/>
        <v>6</v>
      </c>
      <c r="Z139" s="1" t="str">
        <f t="shared" si="151"/>
        <v/>
      </c>
      <c r="AA139" s="1" t="str">
        <f t="shared" si="152"/>
        <v/>
      </c>
      <c r="AB139" s="1">
        <f t="shared" si="153"/>
        <v>6</v>
      </c>
      <c r="AE139" s="1">
        <f t="shared" si="154"/>
        <v>43.501370000000001</v>
      </c>
      <c r="AF139" s="1">
        <f t="shared" si="155"/>
        <v>134</v>
      </c>
      <c r="AG139" s="1">
        <f t="shared" si="156"/>
        <v>6</v>
      </c>
      <c r="AJ139" s="1" t="str">
        <f t="shared" si="157"/>
        <v/>
      </c>
      <c r="AK139" s="1" t="str">
        <f t="shared" si="158"/>
        <v/>
      </c>
      <c r="AL139" s="1">
        <f t="shared" si="159"/>
        <v>6</v>
      </c>
      <c r="AO139" s="1">
        <f t="shared" si="160"/>
        <v>28.40137</v>
      </c>
      <c r="AP139" s="1">
        <f t="shared" si="161"/>
        <v>135</v>
      </c>
      <c r="AQ139" s="1">
        <f t="shared" si="162"/>
        <v>6</v>
      </c>
      <c r="AT139" s="1">
        <f t="shared" si="163"/>
        <v>1.5000000000000018</v>
      </c>
      <c r="AU139" s="1">
        <f t="shared" si="164"/>
        <v>0.69999999999999929</v>
      </c>
      <c r="AV139" s="1">
        <f t="shared" si="165"/>
        <v>0.40000000000000036</v>
      </c>
      <c r="AW139" s="1">
        <f t="shared" si="166"/>
        <v>2.6000000000000014</v>
      </c>
      <c r="AX139" s="1">
        <f t="shared" si="167"/>
        <v>0.86803666666666712</v>
      </c>
      <c r="BC139" s="1">
        <f t="shared" si="168"/>
        <v>2.2013700000000012</v>
      </c>
      <c r="BD139" s="1">
        <f t="shared" si="169"/>
        <v>90</v>
      </c>
      <c r="BE139" s="1">
        <f t="shared" si="170"/>
        <v>6</v>
      </c>
      <c r="BH139" s="1" t="str">
        <f t="shared" si="171"/>
        <v/>
      </c>
      <c r="BI139" s="1" t="str">
        <f>IF(A139="","",IF(BH139="","",RANK(BH139,$BH$3:$BH289,1)))</f>
        <v/>
      </c>
      <c r="BJ139" s="1">
        <f t="shared" si="172"/>
        <v>6</v>
      </c>
      <c r="BM139" s="1">
        <f t="shared" si="173"/>
        <v>0.98187500000000094</v>
      </c>
      <c r="BN139" s="1">
        <f>IF(A139="","",IF(BM139="","",RANK(BM139,$BM$3:$BM289,1)))</f>
        <v>59</v>
      </c>
      <c r="BO139" s="1">
        <f t="shared" si="174"/>
        <v>6</v>
      </c>
      <c r="BR139" s="1">
        <f t="shared" si="175"/>
        <v>6</v>
      </c>
      <c r="BS139" s="1" t="str">
        <f t="shared" si="176"/>
        <v>ミカエルシチー　　　　　　　　　　　</v>
      </c>
      <c r="CD139" s="1" t="str">
        <f t="shared" si="177"/>
        <v/>
      </c>
      <c r="CE139" s="1" t="str">
        <f>IF(A139="","",IF(CD139="","",RANK(CD139,$CD$3:$CD289,1)))</f>
        <v/>
      </c>
      <c r="CF139" s="1">
        <f t="shared" si="178"/>
        <v>6</v>
      </c>
      <c r="CI139" s="1" t="str">
        <f t="shared" si="179"/>
        <v/>
      </c>
      <c r="CJ139" s="1" t="str">
        <f>IF(A139="","",IF(CI139="","",RANK(CI139,$CI$3:$CI289,1)))</f>
        <v/>
      </c>
      <c r="CK139" s="1">
        <f t="shared" si="180"/>
        <v>6</v>
      </c>
      <c r="CN139" s="1" t="str">
        <f t="shared" si="181"/>
        <v/>
      </c>
      <c r="CO139" s="1" t="str">
        <f>IF(A139="","",IF(CN139="","",RANK(CN139,$CN$3:$CN289,1)))</f>
        <v/>
      </c>
      <c r="CP139" s="1">
        <f t="shared" si="182"/>
        <v>6</v>
      </c>
      <c r="CS139" s="1" t="str">
        <f t="shared" si="183"/>
        <v/>
      </c>
      <c r="CT139" s="1" t="str">
        <f>IF(A139="","",IF(CS139="","",RANK(CS139,$CS$3:$CS289,1)))</f>
        <v/>
      </c>
      <c r="CU139" s="1">
        <f t="shared" si="184"/>
        <v>6</v>
      </c>
      <c r="CX139" s="1" t="str">
        <f t="shared" si="185"/>
        <v/>
      </c>
      <c r="CY139" s="1" t="str">
        <f>IF(CX139="","",IF(A139="","",RANK(CX139,$CX$3:$CX289,1)))</f>
        <v/>
      </c>
      <c r="CZ139" s="1">
        <f t="shared" si="186"/>
        <v>6</v>
      </c>
      <c r="DC139" s="1" t="str">
        <f t="shared" si="187"/>
        <v/>
      </c>
      <c r="DD139" s="1" t="str">
        <f>IF(DC139="","",IF(A139="","",RANK(DC139,$DC$3:$DC289,1)))</f>
        <v/>
      </c>
      <c r="DE139" s="1">
        <f t="shared" si="188"/>
        <v>6</v>
      </c>
      <c r="DH139" s="1" t="str">
        <f t="shared" si="189"/>
        <v/>
      </c>
      <c r="DI139" s="1" t="str">
        <f>IF(DH139="","",IF(A139="","",RANK(DH139,$DH$3:$DH289,1)))</f>
        <v/>
      </c>
      <c r="DJ139" s="1">
        <f t="shared" si="190"/>
        <v>6</v>
      </c>
      <c r="DM139" s="1" t="str">
        <f t="shared" si="191"/>
        <v/>
      </c>
      <c r="DN139" s="1" t="str">
        <f>IF(DM139="","",IF(A139="","",RANK(DM139,$DM$3:$DM289,1)))</f>
        <v/>
      </c>
      <c r="DO139" s="1">
        <f t="shared" si="192"/>
        <v>6</v>
      </c>
      <c r="DR139" s="1">
        <f t="shared" si="193"/>
        <v>16.601370000000003</v>
      </c>
      <c r="DS139" s="1">
        <f>IF(DR139="","",IF(A139="","",RANK(DR139,$DR$3:$DR289,1)))</f>
        <v>118</v>
      </c>
      <c r="DT139" s="1">
        <f t="shared" si="194"/>
        <v>6</v>
      </c>
      <c r="DW139" s="1">
        <f t="shared" si="195"/>
        <v>15.101369999999999</v>
      </c>
      <c r="DX139" s="1">
        <f>IF(DW139="","",IF(A139="","",RANK(DW139,$DW$3:$DW289,1)))</f>
        <v>122</v>
      </c>
      <c r="DY139" s="1">
        <f t="shared" si="196"/>
        <v>6</v>
      </c>
      <c r="EB139" s="1">
        <f t="shared" si="197"/>
        <v>14.40137</v>
      </c>
      <c r="EC139" s="1">
        <f>IF(EB139="","",IF(A139="","",RANK(EB139,$EB$3:$EB289,1)))</f>
        <v>134</v>
      </c>
      <c r="ED139" s="1">
        <f t="shared" si="198"/>
        <v>6</v>
      </c>
      <c r="EG139" s="1">
        <f t="shared" si="199"/>
        <v>14.00137</v>
      </c>
      <c r="EH139" s="1">
        <f>IF(EG139="","",IF(A139="","",RANK(EG139,$EG$3:$EG289,1)))</f>
        <v>137</v>
      </c>
      <c r="EI139" s="1">
        <f t="shared" si="200"/>
        <v>6</v>
      </c>
    </row>
    <row r="140" spans="1:139" ht="18.75">
      <c r="A140" s="1" t="s">
        <v>88</v>
      </c>
      <c r="B140" s="1">
        <v>20190713</v>
      </c>
      <c r="C140" s="1" t="s">
        <v>94</v>
      </c>
      <c r="D140" s="1">
        <v>5</v>
      </c>
      <c r="E140" s="30">
        <v>62.4</v>
      </c>
      <c r="F140" s="30">
        <v>45.2</v>
      </c>
      <c r="G140" s="30">
        <v>29.2</v>
      </c>
      <c r="H140" s="30">
        <v>14</v>
      </c>
      <c r="I140" s="30">
        <v>17.2</v>
      </c>
      <c r="J140" s="30">
        <v>16</v>
      </c>
      <c r="K140" s="30">
        <v>15.2</v>
      </c>
      <c r="L140" s="30">
        <v>14</v>
      </c>
      <c r="M140" s="1" t="str">
        <f t="shared" si="143"/>
        <v>2019/07/13</v>
      </c>
      <c r="N140" s="4" t="str">
        <f t="shared" si="144"/>
        <v/>
      </c>
      <c r="O140">
        <v>1.380000000000003E-3</v>
      </c>
      <c r="P140" s="1" t="str">
        <f t="shared" si="145"/>
        <v/>
      </c>
      <c r="Q140" s="1" t="str">
        <f t="shared" si="146"/>
        <v/>
      </c>
      <c r="R140" s="1">
        <f t="shared" si="147"/>
        <v>5</v>
      </c>
      <c r="U140" s="1">
        <f t="shared" si="148"/>
        <v>62.401379999999996</v>
      </c>
      <c r="V140" s="1">
        <f t="shared" si="149"/>
        <v>141</v>
      </c>
      <c r="W140" s="1">
        <f t="shared" si="150"/>
        <v>5</v>
      </c>
      <c r="Z140" s="1" t="str">
        <f t="shared" si="151"/>
        <v/>
      </c>
      <c r="AA140" s="1" t="str">
        <f t="shared" si="152"/>
        <v/>
      </c>
      <c r="AB140" s="1">
        <f t="shared" si="153"/>
        <v>5</v>
      </c>
      <c r="AE140" s="1">
        <f t="shared" si="154"/>
        <v>45.20138</v>
      </c>
      <c r="AF140" s="1">
        <f t="shared" si="155"/>
        <v>147</v>
      </c>
      <c r="AG140" s="1">
        <f t="shared" si="156"/>
        <v>5</v>
      </c>
      <c r="AJ140" s="1" t="str">
        <f t="shared" si="157"/>
        <v/>
      </c>
      <c r="AK140" s="1" t="str">
        <f t="shared" si="158"/>
        <v/>
      </c>
      <c r="AL140" s="1">
        <f t="shared" si="159"/>
        <v>5</v>
      </c>
      <c r="AO140" s="1">
        <f t="shared" si="160"/>
        <v>29.20138</v>
      </c>
      <c r="AP140" s="1">
        <f t="shared" si="161"/>
        <v>146</v>
      </c>
      <c r="AQ140" s="1">
        <f t="shared" si="162"/>
        <v>5</v>
      </c>
      <c r="AT140" s="1">
        <f t="shared" si="163"/>
        <v>1.1999999999999993</v>
      </c>
      <c r="AU140" s="1">
        <f t="shared" si="164"/>
        <v>0.80000000000000071</v>
      </c>
      <c r="AV140" s="1">
        <f t="shared" si="165"/>
        <v>1.1999999999999993</v>
      </c>
      <c r="AW140" s="1">
        <f t="shared" si="166"/>
        <v>3.1999999999999993</v>
      </c>
      <c r="AX140" s="1">
        <f t="shared" si="167"/>
        <v>1.0680466666666664</v>
      </c>
      <c r="BC140" s="1">
        <f t="shared" si="168"/>
        <v>2.0013800000000002</v>
      </c>
      <c r="BD140" s="1">
        <f t="shared" si="169"/>
        <v>98</v>
      </c>
      <c r="BE140" s="1">
        <f t="shared" si="170"/>
        <v>5</v>
      </c>
      <c r="BH140" s="1" t="str">
        <f t="shared" si="171"/>
        <v/>
      </c>
      <c r="BI140" s="1" t="str">
        <f>IF(A140="","",IF(BH140="","",RANK(BH140,$BH$3:$BH290,1)))</f>
        <v/>
      </c>
      <c r="BJ140" s="1">
        <f t="shared" si="172"/>
        <v>5</v>
      </c>
      <c r="BM140" s="1">
        <f t="shared" si="173"/>
        <v>1.3599999999999994</v>
      </c>
      <c r="BN140" s="1">
        <f>IF(A140="","",IF(BM140="","",RANK(BM140,$BM$3:$BM290,1)))</f>
        <v>89</v>
      </c>
      <c r="BO140" s="1">
        <f t="shared" si="174"/>
        <v>5</v>
      </c>
      <c r="BR140" s="1">
        <f t="shared" si="175"/>
        <v>5</v>
      </c>
      <c r="BS140" s="1" t="str">
        <f t="shared" si="176"/>
        <v>シグナライズ　　　　　　　　　　　　</v>
      </c>
      <c r="CD140" s="1" t="str">
        <f t="shared" si="177"/>
        <v/>
      </c>
      <c r="CE140" s="1" t="str">
        <f>IF(A140="","",IF(CD140="","",RANK(CD140,$CD$3:$CD290,1)))</f>
        <v/>
      </c>
      <c r="CF140" s="1">
        <f t="shared" si="178"/>
        <v>5</v>
      </c>
      <c r="CI140" s="1" t="str">
        <f t="shared" si="179"/>
        <v/>
      </c>
      <c r="CJ140" s="1" t="str">
        <f>IF(A140="","",IF(CI140="","",RANK(CI140,$CI$3:$CI290,1)))</f>
        <v/>
      </c>
      <c r="CK140" s="1">
        <f t="shared" si="180"/>
        <v>5</v>
      </c>
      <c r="CN140" s="1" t="str">
        <f t="shared" si="181"/>
        <v/>
      </c>
      <c r="CO140" s="1" t="str">
        <f>IF(A140="","",IF(CN140="","",RANK(CN140,$CN$3:$CN290,1)))</f>
        <v/>
      </c>
      <c r="CP140" s="1">
        <f t="shared" si="182"/>
        <v>5</v>
      </c>
      <c r="CS140" s="1" t="str">
        <f t="shared" si="183"/>
        <v/>
      </c>
      <c r="CT140" s="1" t="str">
        <f>IF(A140="","",IF(CS140="","",RANK(CS140,$CS$3:$CS290,1)))</f>
        <v/>
      </c>
      <c r="CU140" s="1">
        <f t="shared" si="184"/>
        <v>5</v>
      </c>
      <c r="CX140" s="1" t="str">
        <f t="shared" si="185"/>
        <v/>
      </c>
      <c r="CY140" s="1" t="str">
        <f>IF(CX140="","",IF(A140="","",RANK(CX140,$CX$3:$CX290,1)))</f>
        <v/>
      </c>
      <c r="CZ140" s="1">
        <f t="shared" si="186"/>
        <v>5</v>
      </c>
      <c r="DC140" s="1" t="str">
        <f t="shared" si="187"/>
        <v/>
      </c>
      <c r="DD140" s="1" t="str">
        <f>IF(DC140="","",IF(A140="","",RANK(DC140,$DC$3:$DC290,1)))</f>
        <v/>
      </c>
      <c r="DE140" s="1">
        <f t="shared" si="188"/>
        <v>5</v>
      </c>
      <c r="DH140" s="1" t="str">
        <f t="shared" si="189"/>
        <v/>
      </c>
      <c r="DI140" s="1" t="str">
        <f>IF(DH140="","",IF(A140="","",RANK(DH140,$DH$3:$DH290,1)))</f>
        <v/>
      </c>
      <c r="DJ140" s="1">
        <f t="shared" si="190"/>
        <v>5</v>
      </c>
      <c r="DM140" s="1" t="str">
        <f t="shared" si="191"/>
        <v/>
      </c>
      <c r="DN140" s="1" t="str">
        <f>IF(DM140="","",IF(A140="","",RANK(DM140,$DM$3:$DM290,1)))</f>
        <v/>
      </c>
      <c r="DO140" s="1">
        <f t="shared" si="192"/>
        <v>5</v>
      </c>
      <c r="DR140" s="1">
        <f t="shared" si="193"/>
        <v>17.20138</v>
      </c>
      <c r="DS140" s="1">
        <f>IF(DR140="","",IF(A140="","",RANK(DR140,$DR$3:$DR290,1)))</f>
        <v>125</v>
      </c>
      <c r="DT140" s="1">
        <f t="shared" si="194"/>
        <v>5</v>
      </c>
      <c r="DW140" s="1">
        <f t="shared" si="195"/>
        <v>16.001380000000001</v>
      </c>
      <c r="DX140" s="1">
        <f>IF(DW140="","",IF(A140="","",RANK(DW140,$DW$3:$DW290,1)))</f>
        <v>138</v>
      </c>
      <c r="DY140" s="1">
        <f t="shared" si="196"/>
        <v>5</v>
      </c>
      <c r="EB140" s="1">
        <f t="shared" si="197"/>
        <v>15.201379999999999</v>
      </c>
      <c r="EC140" s="1">
        <f>IF(EB140="","",IF(A140="","",RANK(EB140,$EB$3:$EB290,1)))</f>
        <v>147</v>
      </c>
      <c r="ED140" s="1">
        <f t="shared" si="198"/>
        <v>5</v>
      </c>
      <c r="EG140" s="1">
        <f t="shared" si="199"/>
        <v>14.001379999999999</v>
      </c>
      <c r="EH140" s="1">
        <f>IF(EG140="","",IF(A140="","",RANK(EG140,$EG$3:$EG290,1)))</f>
        <v>138</v>
      </c>
      <c r="EI140" s="1">
        <f t="shared" si="200"/>
        <v>5</v>
      </c>
    </row>
    <row r="141" spans="1:139" ht="18.75">
      <c r="A141" s="1" t="s">
        <v>88</v>
      </c>
      <c r="B141" s="1">
        <v>20190122</v>
      </c>
      <c r="C141" s="1" t="s">
        <v>94</v>
      </c>
      <c r="D141" s="1">
        <v>5</v>
      </c>
      <c r="E141" s="30">
        <v>63.3</v>
      </c>
      <c r="F141" s="30">
        <v>44.8</v>
      </c>
      <c r="G141" s="30">
        <v>28.8</v>
      </c>
      <c r="H141" s="30">
        <v>14.1</v>
      </c>
      <c r="I141" s="30">
        <v>18.5</v>
      </c>
      <c r="J141" s="30">
        <v>16</v>
      </c>
      <c r="K141" s="30">
        <v>14.7</v>
      </c>
      <c r="L141" s="30">
        <v>14.1</v>
      </c>
      <c r="M141" s="1" t="str">
        <f t="shared" si="143"/>
        <v>2019/01/22</v>
      </c>
      <c r="N141" s="4" t="str">
        <f t="shared" si="144"/>
        <v/>
      </c>
      <c r="O141">
        <v>1.390000000000003E-3</v>
      </c>
      <c r="P141" s="1" t="str">
        <f t="shared" si="145"/>
        <v/>
      </c>
      <c r="Q141" s="1" t="str">
        <f t="shared" si="146"/>
        <v/>
      </c>
      <c r="R141" s="1">
        <f t="shared" si="147"/>
        <v>5</v>
      </c>
      <c r="U141" s="1">
        <f t="shared" si="148"/>
        <v>63.301389999999998</v>
      </c>
      <c r="V141" s="1">
        <f t="shared" si="149"/>
        <v>147</v>
      </c>
      <c r="W141" s="1">
        <f t="shared" si="150"/>
        <v>5</v>
      </c>
      <c r="Z141" s="1" t="str">
        <f t="shared" si="151"/>
        <v/>
      </c>
      <c r="AA141" s="1" t="str">
        <f t="shared" si="152"/>
        <v/>
      </c>
      <c r="AB141" s="1">
        <f t="shared" si="153"/>
        <v>5</v>
      </c>
      <c r="AE141" s="1">
        <f t="shared" si="154"/>
        <v>44.801389999999998</v>
      </c>
      <c r="AF141" s="1">
        <f t="shared" si="155"/>
        <v>143</v>
      </c>
      <c r="AG141" s="1">
        <f t="shared" si="156"/>
        <v>5</v>
      </c>
      <c r="AJ141" s="1" t="str">
        <f t="shared" si="157"/>
        <v/>
      </c>
      <c r="AK141" s="1" t="str">
        <f t="shared" si="158"/>
        <v/>
      </c>
      <c r="AL141" s="1">
        <f t="shared" si="159"/>
        <v>5</v>
      </c>
      <c r="AO141" s="1">
        <f t="shared" si="160"/>
        <v>28.801390000000001</v>
      </c>
      <c r="AP141" s="1">
        <f t="shared" si="161"/>
        <v>142</v>
      </c>
      <c r="AQ141" s="1">
        <f t="shared" si="162"/>
        <v>5</v>
      </c>
      <c r="AT141" s="1">
        <f t="shared" si="163"/>
        <v>2.5</v>
      </c>
      <c r="AU141" s="1">
        <f t="shared" si="164"/>
        <v>1.3000000000000007</v>
      </c>
      <c r="AV141" s="1">
        <f t="shared" si="165"/>
        <v>0.59999999999999964</v>
      </c>
      <c r="AW141" s="1">
        <f t="shared" si="166"/>
        <v>4.4000000000000004</v>
      </c>
      <c r="AX141" s="1">
        <f t="shared" si="167"/>
        <v>1.4680566666666668</v>
      </c>
      <c r="BC141" s="1">
        <f t="shared" si="168"/>
        <v>3.8013900000000009</v>
      </c>
      <c r="BD141" s="1">
        <f t="shared" si="169"/>
        <v>25</v>
      </c>
      <c r="BE141" s="1">
        <f t="shared" si="170"/>
        <v>5</v>
      </c>
      <c r="BH141" s="1" t="str">
        <f t="shared" si="171"/>
        <v/>
      </c>
      <c r="BI141" s="1" t="str">
        <f>IF(A141="","",IF(BH141="","",RANK(BH141,$BH$3:$BH291,1)))</f>
        <v/>
      </c>
      <c r="BJ141" s="1">
        <f t="shared" si="172"/>
        <v>5</v>
      </c>
      <c r="BM141" s="1">
        <f t="shared" si="173"/>
        <v>2.8568749999999454</v>
      </c>
      <c r="BN141" s="1">
        <f>IF(A141="","",IF(BM141="","",RANK(BM141,$BM$3:$BM291,1)))</f>
        <v>130</v>
      </c>
      <c r="BO141" s="1">
        <f t="shared" si="174"/>
        <v>5</v>
      </c>
      <c r="BR141" s="1">
        <f t="shared" si="175"/>
        <v>5</v>
      </c>
      <c r="BS141" s="1" t="str">
        <f t="shared" si="176"/>
        <v>シグナライズ　　　　　　　　　　　　</v>
      </c>
      <c r="CD141" s="1" t="str">
        <f t="shared" si="177"/>
        <v/>
      </c>
      <c r="CE141" s="1" t="str">
        <f>IF(A141="","",IF(CD141="","",RANK(CD141,$CD$3:$CD291,1)))</f>
        <v/>
      </c>
      <c r="CF141" s="1">
        <f t="shared" si="178"/>
        <v>5</v>
      </c>
      <c r="CI141" s="1" t="str">
        <f t="shared" si="179"/>
        <v/>
      </c>
      <c r="CJ141" s="1" t="str">
        <f>IF(A141="","",IF(CI141="","",RANK(CI141,$CI$3:$CI291,1)))</f>
        <v/>
      </c>
      <c r="CK141" s="1">
        <f t="shared" si="180"/>
        <v>5</v>
      </c>
      <c r="CN141" s="1" t="str">
        <f t="shared" si="181"/>
        <v/>
      </c>
      <c r="CO141" s="1" t="str">
        <f>IF(A141="","",IF(CN141="","",RANK(CN141,$CN$3:$CN291,1)))</f>
        <v/>
      </c>
      <c r="CP141" s="1">
        <f t="shared" si="182"/>
        <v>5</v>
      </c>
      <c r="CS141" s="1" t="str">
        <f t="shared" si="183"/>
        <v/>
      </c>
      <c r="CT141" s="1" t="str">
        <f>IF(A141="","",IF(CS141="","",RANK(CS141,$CS$3:$CS291,1)))</f>
        <v/>
      </c>
      <c r="CU141" s="1">
        <f t="shared" si="184"/>
        <v>5</v>
      </c>
      <c r="CX141" s="1" t="str">
        <f t="shared" si="185"/>
        <v/>
      </c>
      <c r="CY141" s="1" t="str">
        <f>IF(CX141="","",IF(A141="","",RANK(CX141,$CX$3:$CX291,1)))</f>
        <v/>
      </c>
      <c r="CZ141" s="1">
        <f t="shared" si="186"/>
        <v>5</v>
      </c>
      <c r="DC141" s="1" t="str">
        <f t="shared" si="187"/>
        <v/>
      </c>
      <c r="DD141" s="1" t="str">
        <f>IF(DC141="","",IF(A141="","",RANK(DC141,$DC$3:$DC291,1)))</f>
        <v/>
      </c>
      <c r="DE141" s="1">
        <f t="shared" si="188"/>
        <v>5</v>
      </c>
      <c r="DH141" s="1" t="str">
        <f t="shared" si="189"/>
        <v/>
      </c>
      <c r="DI141" s="1" t="str">
        <f>IF(DH141="","",IF(A141="","",RANK(DH141,$DH$3:$DH291,1)))</f>
        <v/>
      </c>
      <c r="DJ141" s="1">
        <f t="shared" si="190"/>
        <v>5</v>
      </c>
      <c r="DM141" s="1" t="str">
        <f t="shared" si="191"/>
        <v/>
      </c>
      <c r="DN141" s="1" t="str">
        <f>IF(DM141="","",IF(A141="","",RANK(DM141,$DM$3:$DM291,1)))</f>
        <v/>
      </c>
      <c r="DO141" s="1">
        <f t="shared" si="192"/>
        <v>5</v>
      </c>
      <c r="DR141" s="1">
        <f t="shared" si="193"/>
        <v>18.501390000000001</v>
      </c>
      <c r="DS141" s="1">
        <f>IF(DR141="","",IF(A141="","",RANK(DR141,$DR$3:$DR291,1)))</f>
        <v>142</v>
      </c>
      <c r="DT141" s="1">
        <f t="shared" si="194"/>
        <v>5</v>
      </c>
      <c r="DW141" s="1">
        <f t="shared" si="195"/>
        <v>16.001390000000001</v>
      </c>
      <c r="DX141" s="1">
        <f>IF(DW141="","",IF(A141="","",RANK(DW141,$DW$3:$DW291,1)))</f>
        <v>139</v>
      </c>
      <c r="DY141" s="1">
        <f t="shared" si="196"/>
        <v>5</v>
      </c>
      <c r="EB141" s="1">
        <f t="shared" si="197"/>
        <v>14.70139</v>
      </c>
      <c r="EC141" s="1">
        <f>IF(EB141="","",IF(A141="","",RANK(EB141,$EB$3:$EB291,1)))</f>
        <v>140</v>
      </c>
      <c r="ED141" s="1">
        <f t="shared" si="198"/>
        <v>5</v>
      </c>
      <c r="EG141" s="1">
        <f t="shared" si="199"/>
        <v>14.10139</v>
      </c>
      <c r="EH141" s="1">
        <f>IF(EG141="","",IF(A141="","",RANK(EG141,$EG$3:$EG291,1)))</f>
        <v>139</v>
      </c>
      <c r="EI141" s="1">
        <f t="shared" si="200"/>
        <v>5</v>
      </c>
    </row>
    <row r="142" spans="1:139" ht="18.75">
      <c r="A142" s="1" t="s">
        <v>88</v>
      </c>
      <c r="B142" s="1">
        <v>20190505</v>
      </c>
      <c r="C142" s="1" t="s">
        <v>97</v>
      </c>
      <c r="D142" s="1">
        <v>8</v>
      </c>
      <c r="E142" s="30">
        <v>64.099999999999994</v>
      </c>
      <c r="F142" s="30">
        <v>45.5</v>
      </c>
      <c r="G142" s="30">
        <v>28.9</v>
      </c>
      <c r="H142" s="30">
        <v>14.1</v>
      </c>
      <c r="I142" s="30">
        <v>18.600000000000001</v>
      </c>
      <c r="J142" s="30">
        <v>16.600000000000001</v>
      </c>
      <c r="K142" s="30">
        <v>14.8</v>
      </c>
      <c r="L142" s="30">
        <v>14.1</v>
      </c>
      <c r="M142" s="1" t="str">
        <f t="shared" si="143"/>
        <v>2019/05/05</v>
      </c>
      <c r="N142" s="4" t="str">
        <f t="shared" si="144"/>
        <v/>
      </c>
      <c r="O142">
        <v>1.400000000000003E-3</v>
      </c>
      <c r="P142" s="1" t="str">
        <f t="shared" si="145"/>
        <v/>
      </c>
      <c r="Q142" s="1" t="str">
        <f t="shared" si="146"/>
        <v/>
      </c>
      <c r="R142" s="1">
        <f t="shared" si="147"/>
        <v>8</v>
      </c>
      <c r="U142" s="1">
        <f t="shared" si="148"/>
        <v>64.101399999999998</v>
      </c>
      <c r="V142" s="1">
        <f t="shared" si="149"/>
        <v>149</v>
      </c>
      <c r="W142" s="1">
        <f t="shared" si="150"/>
        <v>8</v>
      </c>
      <c r="Z142" s="1" t="str">
        <f t="shared" si="151"/>
        <v/>
      </c>
      <c r="AA142" s="1" t="str">
        <f t="shared" si="152"/>
        <v/>
      </c>
      <c r="AB142" s="1">
        <f t="shared" si="153"/>
        <v>8</v>
      </c>
      <c r="AE142" s="1">
        <f t="shared" si="154"/>
        <v>45.501399999999997</v>
      </c>
      <c r="AF142" s="1">
        <f t="shared" si="155"/>
        <v>148</v>
      </c>
      <c r="AG142" s="1">
        <f t="shared" si="156"/>
        <v>8</v>
      </c>
      <c r="AJ142" s="1" t="str">
        <f t="shared" si="157"/>
        <v/>
      </c>
      <c r="AK142" s="1" t="str">
        <f t="shared" si="158"/>
        <v/>
      </c>
      <c r="AL142" s="1">
        <f t="shared" si="159"/>
        <v>8</v>
      </c>
      <c r="AO142" s="1">
        <f t="shared" si="160"/>
        <v>28.901399999999999</v>
      </c>
      <c r="AP142" s="1">
        <f t="shared" si="161"/>
        <v>143</v>
      </c>
      <c r="AQ142" s="1">
        <f t="shared" si="162"/>
        <v>8</v>
      </c>
      <c r="AT142" s="1">
        <f t="shared" si="163"/>
        <v>2</v>
      </c>
      <c r="AU142" s="1">
        <f t="shared" si="164"/>
        <v>1.8000000000000007</v>
      </c>
      <c r="AV142" s="1">
        <f t="shared" si="165"/>
        <v>0.70000000000000107</v>
      </c>
      <c r="AW142" s="1">
        <f t="shared" si="166"/>
        <v>4.5000000000000018</v>
      </c>
      <c r="AX142" s="1">
        <f t="shared" si="167"/>
        <v>1.5014000000000007</v>
      </c>
      <c r="BC142" s="1">
        <f t="shared" si="168"/>
        <v>3.8014000000000006</v>
      </c>
      <c r="BD142" s="1">
        <f t="shared" si="169"/>
        <v>24</v>
      </c>
      <c r="BE142" s="1">
        <f t="shared" si="170"/>
        <v>8</v>
      </c>
      <c r="BH142" s="1" t="str">
        <f t="shared" si="171"/>
        <v/>
      </c>
      <c r="BI142" s="1" t="str">
        <f>IF(A142="","",IF(BH142="","",RANK(BH142,$BH$3:$BH292,1)))</f>
        <v/>
      </c>
      <c r="BJ142" s="1">
        <f t="shared" si="172"/>
        <v>8</v>
      </c>
      <c r="BM142" s="1">
        <f t="shared" si="173"/>
        <v>3.0418750000000614</v>
      </c>
      <c r="BN142" s="1">
        <f>IF(A142="","",IF(BM142="","",RANK(BM142,$BM$3:$BM292,1)))</f>
        <v>132</v>
      </c>
      <c r="BO142" s="1">
        <f t="shared" si="174"/>
        <v>8</v>
      </c>
      <c r="BR142" s="1">
        <f t="shared" si="175"/>
        <v>8</v>
      </c>
      <c r="BS142" s="1" t="str">
        <f t="shared" si="176"/>
        <v>タマモメイトウ　　　　　　　　　　　</v>
      </c>
      <c r="CD142" s="1" t="str">
        <f t="shared" si="177"/>
        <v/>
      </c>
      <c r="CE142" s="1" t="str">
        <f>IF(A142="","",IF(CD142="","",RANK(CD142,$CD$3:$CD292,1)))</f>
        <v/>
      </c>
      <c r="CF142" s="1">
        <f t="shared" si="178"/>
        <v>8</v>
      </c>
      <c r="CI142" s="1" t="str">
        <f t="shared" si="179"/>
        <v/>
      </c>
      <c r="CJ142" s="1" t="str">
        <f>IF(A142="","",IF(CI142="","",RANK(CI142,$CI$3:$CI292,1)))</f>
        <v/>
      </c>
      <c r="CK142" s="1">
        <f t="shared" si="180"/>
        <v>8</v>
      </c>
      <c r="CN142" s="1" t="str">
        <f t="shared" si="181"/>
        <v/>
      </c>
      <c r="CO142" s="1" t="str">
        <f>IF(A142="","",IF(CN142="","",RANK(CN142,$CN$3:$CN292,1)))</f>
        <v/>
      </c>
      <c r="CP142" s="1">
        <f t="shared" si="182"/>
        <v>8</v>
      </c>
      <c r="CS142" s="1" t="str">
        <f t="shared" si="183"/>
        <v/>
      </c>
      <c r="CT142" s="1" t="str">
        <f>IF(A142="","",IF(CS142="","",RANK(CS142,$CS$3:$CS292,1)))</f>
        <v/>
      </c>
      <c r="CU142" s="1">
        <f t="shared" si="184"/>
        <v>8</v>
      </c>
      <c r="CX142" s="1" t="str">
        <f t="shared" si="185"/>
        <v/>
      </c>
      <c r="CY142" s="1" t="str">
        <f>IF(CX142="","",IF(A142="","",RANK(CX142,$CX$3:$CX292,1)))</f>
        <v/>
      </c>
      <c r="CZ142" s="1">
        <f t="shared" si="186"/>
        <v>8</v>
      </c>
      <c r="DC142" s="1" t="str">
        <f t="shared" si="187"/>
        <v/>
      </c>
      <c r="DD142" s="1" t="str">
        <f>IF(DC142="","",IF(A142="","",RANK(DC142,$DC$3:$DC292,1)))</f>
        <v/>
      </c>
      <c r="DE142" s="1">
        <f t="shared" si="188"/>
        <v>8</v>
      </c>
      <c r="DH142" s="1" t="str">
        <f t="shared" si="189"/>
        <v/>
      </c>
      <c r="DI142" s="1" t="str">
        <f>IF(DH142="","",IF(A142="","",RANK(DH142,$DH$3:$DH292,1)))</f>
        <v/>
      </c>
      <c r="DJ142" s="1">
        <f t="shared" si="190"/>
        <v>8</v>
      </c>
      <c r="DM142" s="1" t="str">
        <f t="shared" si="191"/>
        <v/>
      </c>
      <c r="DN142" s="1" t="str">
        <f>IF(DM142="","",IF(A142="","",RANK(DM142,$DM$3:$DM292,1)))</f>
        <v/>
      </c>
      <c r="DO142" s="1">
        <f t="shared" si="192"/>
        <v>8</v>
      </c>
      <c r="DR142" s="1">
        <f t="shared" si="193"/>
        <v>18.601400000000002</v>
      </c>
      <c r="DS142" s="1">
        <f>IF(DR142="","",IF(A142="","",RANK(DR142,$DR$3:$DR292,1)))</f>
        <v>143</v>
      </c>
      <c r="DT142" s="1">
        <f t="shared" si="194"/>
        <v>8</v>
      </c>
      <c r="DW142" s="1">
        <f t="shared" si="195"/>
        <v>16.601400000000002</v>
      </c>
      <c r="DX142" s="1">
        <f>IF(DW142="","",IF(A142="","",RANK(DW142,$DW$3:$DW292,1)))</f>
        <v>145</v>
      </c>
      <c r="DY142" s="1">
        <f t="shared" si="196"/>
        <v>8</v>
      </c>
      <c r="EB142" s="1">
        <f t="shared" si="197"/>
        <v>14.801400000000001</v>
      </c>
      <c r="EC142" s="1">
        <f>IF(EB142="","",IF(A142="","",RANK(EB142,$EB$3:$EB292,1)))</f>
        <v>145</v>
      </c>
      <c r="ED142" s="1">
        <f t="shared" si="198"/>
        <v>8</v>
      </c>
      <c r="EG142" s="1">
        <f t="shared" si="199"/>
        <v>14.1014</v>
      </c>
      <c r="EH142" s="1">
        <f>IF(EG142="","",IF(A142="","",RANK(EG142,$EG$3:$EG292,1)))</f>
        <v>140</v>
      </c>
      <c r="EI142" s="1">
        <f t="shared" si="200"/>
        <v>8</v>
      </c>
    </row>
    <row r="143" spans="1:139" ht="18.75">
      <c r="A143" s="1" t="s">
        <v>88</v>
      </c>
      <c r="B143" s="1">
        <v>20190609</v>
      </c>
      <c r="C143" s="1" t="s">
        <v>99</v>
      </c>
      <c r="D143" s="1">
        <v>10</v>
      </c>
      <c r="E143" s="30">
        <v>58.3</v>
      </c>
      <c r="F143" s="30">
        <v>42.7</v>
      </c>
      <c r="G143" s="30">
        <v>28.4</v>
      </c>
      <c r="H143" s="30">
        <v>14.1</v>
      </c>
      <c r="I143" s="30">
        <v>15.6</v>
      </c>
      <c r="J143" s="30">
        <v>14.3</v>
      </c>
      <c r="K143" s="30">
        <v>14.3</v>
      </c>
      <c r="L143" s="30">
        <v>14.1</v>
      </c>
      <c r="M143" s="1" t="str">
        <f t="shared" si="143"/>
        <v>2019/06/09</v>
      </c>
      <c r="N143" s="4" t="str">
        <f t="shared" si="144"/>
        <v/>
      </c>
      <c r="O143">
        <v>1.410000000000003E-3</v>
      </c>
      <c r="P143" s="1" t="str">
        <f t="shared" si="145"/>
        <v/>
      </c>
      <c r="Q143" s="1" t="str">
        <f t="shared" si="146"/>
        <v/>
      </c>
      <c r="R143" s="1">
        <f t="shared" si="147"/>
        <v>10</v>
      </c>
      <c r="U143" s="1">
        <f t="shared" si="148"/>
        <v>58.301409999999997</v>
      </c>
      <c r="V143" s="1">
        <f t="shared" si="149"/>
        <v>116</v>
      </c>
      <c r="W143" s="1">
        <f t="shared" si="150"/>
        <v>10</v>
      </c>
      <c r="Z143" s="1" t="str">
        <f t="shared" si="151"/>
        <v/>
      </c>
      <c r="AA143" s="1" t="str">
        <f t="shared" si="152"/>
        <v/>
      </c>
      <c r="AB143" s="1">
        <f t="shared" si="153"/>
        <v>10</v>
      </c>
      <c r="AE143" s="1">
        <f t="shared" si="154"/>
        <v>42.701410000000003</v>
      </c>
      <c r="AF143" s="1">
        <f t="shared" si="155"/>
        <v>125</v>
      </c>
      <c r="AG143" s="1">
        <f t="shared" si="156"/>
        <v>10</v>
      </c>
      <c r="AJ143" s="1" t="str">
        <f t="shared" si="157"/>
        <v/>
      </c>
      <c r="AK143" s="1" t="str">
        <f t="shared" si="158"/>
        <v/>
      </c>
      <c r="AL143" s="1">
        <f t="shared" si="159"/>
        <v>10</v>
      </c>
      <c r="AO143" s="1">
        <f t="shared" si="160"/>
        <v>28.401409999999998</v>
      </c>
      <c r="AP143" s="1">
        <f t="shared" si="161"/>
        <v>136</v>
      </c>
      <c r="AQ143" s="1">
        <f t="shared" si="162"/>
        <v>10</v>
      </c>
      <c r="AT143" s="1">
        <f t="shared" si="163"/>
        <v>1.2999999999999989</v>
      </c>
      <c r="AU143" s="1">
        <f t="shared" si="164"/>
        <v>0</v>
      </c>
      <c r="AV143" s="1">
        <f t="shared" si="165"/>
        <v>0.20000000000000107</v>
      </c>
      <c r="AW143" s="1">
        <f t="shared" si="166"/>
        <v>1.5</v>
      </c>
      <c r="AX143" s="1">
        <f t="shared" si="167"/>
        <v>0.50141000000000002</v>
      </c>
      <c r="BC143" s="1">
        <f t="shared" si="168"/>
        <v>1.3014099999999988</v>
      </c>
      <c r="BD143" s="1">
        <f t="shared" si="169"/>
        <v>137</v>
      </c>
      <c r="BE143" s="1">
        <f t="shared" si="170"/>
        <v>10</v>
      </c>
      <c r="BH143" s="1" t="str">
        <f t="shared" si="171"/>
        <v/>
      </c>
      <c r="BI143" s="1" t="str">
        <f>IF(A143="","",IF(BH143="","",RANK(BH143,$BH$3:$BH293,1)))</f>
        <v/>
      </c>
      <c r="BJ143" s="1">
        <f t="shared" si="172"/>
        <v>10</v>
      </c>
      <c r="BM143" s="1">
        <f t="shared" si="173"/>
        <v>0.35687499999999972</v>
      </c>
      <c r="BN143" s="1">
        <f>IF(A143="","",IF(BM143="","",RANK(BM143,$BM$3:$BM293,1)))</f>
        <v>13</v>
      </c>
      <c r="BO143" s="1">
        <f t="shared" si="174"/>
        <v>10</v>
      </c>
      <c r="BR143" s="1">
        <f t="shared" si="175"/>
        <v>10</v>
      </c>
      <c r="BS143" s="1" t="str">
        <f t="shared" si="176"/>
        <v>コンパウンダー　　　　　　　　　　　</v>
      </c>
      <c r="CD143" s="1" t="str">
        <f t="shared" si="177"/>
        <v/>
      </c>
      <c r="CE143" s="1" t="str">
        <f>IF(A143="","",IF(CD143="","",RANK(CD143,$CD$3:$CD293,1)))</f>
        <v/>
      </c>
      <c r="CF143" s="1">
        <f t="shared" si="178"/>
        <v>10</v>
      </c>
      <c r="CI143" s="1" t="str">
        <f t="shared" si="179"/>
        <v/>
      </c>
      <c r="CJ143" s="1" t="str">
        <f>IF(A143="","",IF(CI143="","",RANK(CI143,$CI$3:$CI293,1)))</f>
        <v/>
      </c>
      <c r="CK143" s="1">
        <f t="shared" si="180"/>
        <v>10</v>
      </c>
      <c r="CN143" s="1" t="str">
        <f t="shared" si="181"/>
        <v/>
      </c>
      <c r="CO143" s="1" t="str">
        <f>IF(A143="","",IF(CN143="","",RANK(CN143,$CN$3:$CN293,1)))</f>
        <v/>
      </c>
      <c r="CP143" s="1">
        <f t="shared" si="182"/>
        <v>10</v>
      </c>
      <c r="CS143" s="1" t="str">
        <f t="shared" si="183"/>
        <v/>
      </c>
      <c r="CT143" s="1" t="str">
        <f>IF(A143="","",IF(CS143="","",RANK(CS143,$CS$3:$CS293,1)))</f>
        <v/>
      </c>
      <c r="CU143" s="1">
        <f t="shared" si="184"/>
        <v>10</v>
      </c>
      <c r="CX143" s="1" t="str">
        <f t="shared" si="185"/>
        <v/>
      </c>
      <c r="CY143" s="1" t="str">
        <f>IF(CX143="","",IF(A143="","",RANK(CX143,$CX$3:$CX293,1)))</f>
        <v/>
      </c>
      <c r="CZ143" s="1">
        <f t="shared" si="186"/>
        <v>10</v>
      </c>
      <c r="DC143" s="1" t="str">
        <f t="shared" si="187"/>
        <v/>
      </c>
      <c r="DD143" s="1" t="str">
        <f>IF(DC143="","",IF(A143="","",RANK(DC143,$DC$3:$DC293,1)))</f>
        <v/>
      </c>
      <c r="DE143" s="1">
        <f t="shared" si="188"/>
        <v>10</v>
      </c>
      <c r="DH143" s="1" t="str">
        <f t="shared" si="189"/>
        <v/>
      </c>
      <c r="DI143" s="1" t="str">
        <f>IF(DH143="","",IF(A143="","",RANK(DH143,$DH$3:$DH293,1)))</f>
        <v/>
      </c>
      <c r="DJ143" s="1">
        <f t="shared" si="190"/>
        <v>10</v>
      </c>
      <c r="DM143" s="1" t="str">
        <f t="shared" si="191"/>
        <v/>
      </c>
      <c r="DN143" s="1" t="str">
        <f>IF(DM143="","",IF(A143="","",RANK(DM143,$DM$3:$DM293,1)))</f>
        <v/>
      </c>
      <c r="DO143" s="1">
        <f t="shared" si="192"/>
        <v>10</v>
      </c>
      <c r="DR143" s="1">
        <f t="shared" si="193"/>
        <v>15.60141</v>
      </c>
      <c r="DS143" s="1">
        <f>IF(DR143="","",IF(A143="","",RANK(DR143,$DR$3:$DR293,1)))</f>
        <v>76</v>
      </c>
      <c r="DT143" s="1">
        <f t="shared" si="194"/>
        <v>10</v>
      </c>
      <c r="DW143" s="1">
        <f t="shared" si="195"/>
        <v>14.301410000000001</v>
      </c>
      <c r="DX143" s="1">
        <f>IF(DW143="","",IF(A143="","",RANK(DW143,$DW$3:$DW293,1)))</f>
        <v>95</v>
      </c>
      <c r="DY143" s="1">
        <f t="shared" si="196"/>
        <v>10</v>
      </c>
      <c r="EB143" s="1">
        <f t="shared" si="197"/>
        <v>14.301410000000001</v>
      </c>
      <c r="EC143" s="1">
        <f>IF(EB143="","",IF(A143="","",RANK(EB143,$EB$3:$EB293,1)))</f>
        <v>131</v>
      </c>
      <c r="ED143" s="1">
        <f t="shared" si="198"/>
        <v>10</v>
      </c>
      <c r="EG143" s="1">
        <f t="shared" si="199"/>
        <v>14.10141</v>
      </c>
      <c r="EH143" s="1">
        <f>IF(EG143="","",IF(A143="","",RANK(EG143,$EG$3:$EG293,1)))</f>
        <v>141</v>
      </c>
      <c r="EI143" s="1">
        <f t="shared" si="200"/>
        <v>10</v>
      </c>
    </row>
    <row r="144" spans="1:139" ht="18.75">
      <c r="A144" s="1" t="s">
        <v>88</v>
      </c>
      <c r="B144" s="1">
        <v>20190609</v>
      </c>
      <c r="C144" s="1" t="s">
        <v>99</v>
      </c>
      <c r="D144" s="1">
        <v>10</v>
      </c>
      <c r="E144" s="30">
        <v>58.3</v>
      </c>
      <c r="F144" s="30">
        <v>42.7</v>
      </c>
      <c r="G144" s="30">
        <v>28.4</v>
      </c>
      <c r="H144" s="30">
        <v>14.1</v>
      </c>
      <c r="I144" s="30">
        <v>15.6</v>
      </c>
      <c r="J144" s="30">
        <v>14.3</v>
      </c>
      <c r="K144" s="30">
        <v>14.3</v>
      </c>
      <c r="L144" s="30">
        <v>14.1</v>
      </c>
      <c r="M144" s="1" t="str">
        <f t="shared" si="143"/>
        <v>2019/06/09</v>
      </c>
      <c r="N144" s="4" t="str">
        <f t="shared" si="144"/>
        <v/>
      </c>
      <c r="O144">
        <v>1.4200000000000031E-3</v>
      </c>
      <c r="P144" s="1" t="str">
        <f t="shared" si="145"/>
        <v/>
      </c>
      <c r="Q144" s="1" t="str">
        <f t="shared" si="146"/>
        <v/>
      </c>
      <c r="R144" s="1">
        <f t="shared" si="147"/>
        <v>10</v>
      </c>
      <c r="U144" s="1">
        <f t="shared" si="148"/>
        <v>58.30142</v>
      </c>
      <c r="V144" s="1">
        <f t="shared" si="149"/>
        <v>117</v>
      </c>
      <c r="W144" s="1">
        <f t="shared" si="150"/>
        <v>10</v>
      </c>
      <c r="Z144" s="1" t="str">
        <f t="shared" si="151"/>
        <v/>
      </c>
      <c r="AA144" s="1" t="str">
        <f t="shared" si="152"/>
        <v/>
      </c>
      <c r="AB144" s="1">
        <f t="shared" si="153"/>
        <v>10</v>
      </c>
      <c r="AE144" s="1">
        <f t="shared" si="154"/>
        <v>42.701420000000006</v>
      </c>
      <c r="AF144" s="1">
        <f t="shared" si="155"/>
        <v>126</v>
      </c>
      <c r="AG144" s="1">
        <f t="shared" si="156"/>
        <v>10</v>
      </c>
      <c r="AJ144" s="1" t="str">
        <f t="shared" si="157"/>
        <v/>
      </c>
      <c r="AK144" s="1" t="str">
        <f t="shared" si="158"/>
        <v/>
      </c>
      <c r="AL144" s="1">
        <f t="shared" si="159"/>
        <v>10</v>
      </c>
      <c r="AO144" s="1">
        <f t="shared" si="160"/>
        <v>28.401419999999998</v>
      </c>
      <c r="AP144" s="1">
        <f t="shared" si="161"/>
        <v>137</v>
      </c>
      <c r="AQ144" s="1">
        <f t="shared" si="162"/>
        <v>10</v>
      </c>
      <c r="AT144" s="1">
        <f t="shared" si="163"/>
        <v>1.2999999999999989</v>
      </c>
      <c r="AU144" s="1">
        <f t="shared" si="164"/>
        <v>0</v>
      </c>
      <c r="AV144" s="1">
        <f t="shared" si="165"/>
        <v>0.20000000000000107</v>
      </c>
      <c r="AW144" s="1">
        <f t="shared" si="166"/>
        <v>1.5</v>
      </c>
      <c r="AX144" s="1">
        <f t="shared" si="167"/>
        <v>0.50141999999999998</v>
      </c>
      <c r="BC144" s="1">
        <f t="shared" si="168"/>
        <v>1.3014199999999989</v>
      </c>
      <c r="BD144" s="1">
        <f t="shared" si="169"/>
        <v>136</v>
      </c>
      <c r="BE144" s="1">
        <f t="shared" si="170"/>
        <v>10</v>
      </c>
      <c r="BH144" s="1" t="str">
        <f t="shared" si="171"/>
        <v/>
      </c>
      <c r="BI144" s="1" t="str">
        <f>IF(A144="","",IF(BH144="","",RANK(BH144,$BH$3:$BH294,1)))</f>
        <v/>
      </c>
      <c r="BJ144" s="1">
        <f t="shared" si="172"/>
        <v>10</v>
      </c>
      <c r="BM144" s="1">
        <f t="shared" si="173"/>
        <v>0.35687499999999972</v>
      </c>
      <c r="BN144" s="1">
        <f>IF(A144="","",IF(BM144="","",RANK(BM144,$BM$3:$BM294,1)))</f>
        <v>13</v>
      </c>
      <c r="BO144" s="1">
        <f t="shared" si="174"/>
        <v>10</v>
      </c>
      <c r="BR144" s="1">
        <f t="shared" si="175"/>
        <v>10</v>
      </c>
      <c r="BS144" s="1" t="str">
        <f t="shared" si="176"/>
        <v>コンパウンダー　　　　　　　　　　　</v>
      </c>
      <c r="CD144" s="1" t="str">
        <f t="shared" si="177"/>
        <v/>
      </c>
      <c r="CE144" s="1" t="str">
        <f>IF(A144="","",IF(CD144="","",RANK(CD144,$CD$3:$CD294,1)))</f>
        <v/>
      </c>
      <c r="CF144" s="1">
        <f t="shared" si="178"/>
        <v>10</v>
      </c>
      <c r="CI144" s="1" t="str">
        <f t="shared" si="179"/>
        <v/>
      </c>
      <c r="CJ144" s="1" t="str">
        <f>IF(A144="","",IF(CI144="","",RANK(CI144,$CI$3:$CI294,1)))</f>
        <v/>
      </c>
      <c r="CK144" s="1">
        <f t="shared" si="180"/>
        <v>10</v>
      </c>
      <c r="CN144" s="1" t="str">
        <f t="shared" si="181"/>
        <v/>
      </c>
      <c r="CO144" s="1" t="str">
        <f>IF(A144="","",IF(CN144="","",RANK(CN144,$CN$3:$CN294,1)))</f>
        <v/>
      </c>
      <c r="CP144" s="1">
        <f t="shared" si="182"/>
        <v>10</v>
      </c>
      <c r="CS144" s="1" t="str">
        <f t="shared" si="183"/>
        <v/>
      </c>
      <c r="CT144" s="1" t="str">
        <f>IF(A144="","",IF(CS144="","",RANK(CS144,$CS$3:$CS294,1)))</f>
        <v/>
      </c>
      <c r="CU144" s="1">
        <f t="shared" si="184"/>
        <v>10</v>
      </c>
      <c r="CX144" s="1" t="str">
        <f t="shared" si="185"/>
        <v/>
      </c>
      <c r="CY144" s="1" t="str">
        <f>IF(CX144="","",IF(A144="","",RANK(CX144,$CX$3:$CX294,1)))</f>
        <v/>
      </c>
      <c r="CZ144" s="1">
        <f t="shared" si="186"/>
        <v>10</v>
      </c>
      <c r="DC144" s="1" t="str">
        <f t="shared" si="187"/>
        <v/>
      </c>
      <c r="DD144" s="1" t="str">
        <f>IF(DC144="","",IF(A144="","",RANK(DC144,$DC$3:$DC294,1)))</f>
        <v/>
      </c>
      <c r="DE144" s="1">
        <f t="shared" si="188"/>
        <v>10</v>
      </c>
      <c r="DH144" s="1" t="str">
        <f t="shared" si="189"/>
        <v/>
      </c>
      <c r="DI144" s="1" t="str">
        <f>IF(DH144="","",IF(A144="","",RANK(DH144,$DH$3:$DH294,1)))</f>
        <v/>
      </c>
      <c r="DJ144" s="1">
        <f t="shared" si="190"/>
        <v>10</v>
      </c>
      <c r="DM144" s="1" t="str">
        <f t="shared" si="191"/>
        <v/>
      </c>
      <c r="DN144" s="1" t="str">
        <f>IF(DM144="","",IF(A144="","",RANK(DM144,$DM$3:$DM294,1)))</f>
        <v/>
      </c>
      <c r="DO144" s="1">
        <f t="shared" si="192"/>
        <v>10</v>
      </c>
      <c r="DR144" s="1">
        <f t="shared" si="193"/>
        <v>15.601419999999999</v>
      </c>
      <c r="DS144" s="1">
        <f>IF(DR144="","",IF(A144="","",RANK(DR144,$DR$3:$DR294,1)))</f>
        <v>77</v>
      </c>
      <c r="DT144" s="1">
        <f t="shared" si="194"/>
        <v>10</v>
      </c>
      <c r="DW144" s="1">
        <f t="shared" si="195"/>
        <v>14.30142</v>
      </c>
      <c r="DX144" s="1">
        <f>IF(DW144="","",IF(A144="","",RANK(DW144,$DW$3:$DW294,1)))</f>
        <v>96</v>
      </c>
      <c r="DY144" s="1">
        <f t="shared" si="196"/>
        <v>10</v>
      </c>
      <c r="EB144" s="1">
        <f t="shared" si="197"/>
        <v>14.30142</v>
      </c>
      <c r="EC144" s="1">
        <f>IF(EB144="","",IF(A144="","",RANK(EB144,$EB$3:$EB294,1)))</f>
        <v>132</v>
      </c>
      <c r="ED144" s="1">
        <f t="shared" si="198"/>
        <v>10</v>
      </c>
      <c r="EG144" s="1">
        <f t="shared" si="199"/>
        <v>14.101419999999999</v>
      </c>
      <c r="EH144" s="1">
        <f>IF(EG144="","",IF(A144="","",RANK(EG144,$EG$3:$EG294,1)))</f>
        <v>142</v>
      </c>
      <c r="EI144" s="1">
        <f t="shared" si="200"/>
        <v>10</v>
      </c>
    </row>
    <row r="145" spans="1:139" ht="18.75">
      <c r="A145" s="1" t="s">
        <v>88</v>
      </c>
      <c r="B145" s="1">
        <v>20190618</v>
      </c>
      <c r="C145" s="1" t="s">
        <v>91</v>
      </c>
      <c r="D145" s="1">
        <v>2</v>
      </c>
      <c r="E145" s="30">
        <v>57.4</v>
      </c>
      <c r="F145" s="30">
        <v>42.2</v>
      </c>
      <c r="G145" s="30">
        <v>28.3</v>
      </c>
      <c r="H145" s="30">
        <v>14.2</v>
      </c>
      <c r="I145" s="30">
        <v>15.2</v>
      </c>
      <c r="J145" s="30">
        <v>13.9</v>
      </c>
      <c r="K145" s="30">
        <v>14.1</v>
      </c>
      <c r="L145" s="30">
        <v>14.2</v>
      </c>
      <c r="M145" s="1" t="str">
        <f t="shared" si="143"/>
        <v>2019/06/18</v>
      </c>
      <c r="N145" s="4" t="str">
        <f t="shared" si="144"/>
        <v/>
      </c>
      <c r="O145">
        <v>1.4300000000000031E-3</v>
      </c>
      <c r="P145" s="1" t="str">
        <f t="shared" si="145"/>
        <v/>
      </c>
      <c r="Q145" s="1" t="str">
        <f t="shared" si="146"/>
        <v/>
      </c>
      <c r="R145" s="1">
        <f t="shared" si="147"/>
        <v>2</v>
      </c>
      <c r="U145" s="1">
        <f t="shared" si="148"/>
        <v>57.401429999999998</v>
      </c>
      <c r="V145" s="1">
        <f t="shared" si="149"/>
        <v>108</v>
      </c>
      <c r="W145" s="1">
        <f t="shared" si="150"/>
        <v>2</v>
      </c>
      <c r="Z145" s="1" t="str">
        <f t="shared" si="151"/>
        <v/>
      </c>
      <c r="AA145" s="1" t="str">
        <f t="shared" si="152"/>
        <v/>
      </c>
      <c r="AB145" s="1">
        <f t="shared" si="153"/>
        <v>2</v>
      </c>
      <c r="AE145" s="1">
        <f t="shared" si="154"/>
        <v>42.201430000000002</v>
      </c>
      <c r="AF145" s="1">
        <f t="shared" si="155"/>
        <v>118</v>
      </c>
      <c r="AG145" s="1">
        <f t="shared" si="156"/>
        <v>2</v>
      </c>
      <c r="AJ145" s="1" t="str">
        <f t="shared" si="157"/>
        <v/>
      </c>
      <c r="AK145" s="1" t="str">
        <f t="shared" si="158"/>
        <v/>
      </c>
      <c r="AL145" s="1">
        <f t="shared" si="159"/>
        <v>2</v>
      </c>
      <c r="AO145" s="1">
        <f t="shared" si="160"/>
        <v>28.30143</v>
      </c>
      <c r="AP145" s="1">
        <f t="shared" si="161"/>
        <v>132</v>
      </c>
      <c r="AQ145" s="1">
        <f t="shared" si="162"/>
        <v>2</v>
      </c>
      <c r="AT145" s="1">
        <f t="shared" si="163"/>
        <v>1.2999999999999989</v>
      </c>
      <c r="AU145" s="1">
        <f t="shared" si="164"/>
        <v>-0.19999999999999929</v>
      </c>
      <c r="AV145" s="1">
        <f t="shared" si="165"/>
        <v>-9.9999999999999645E-2</v>
      </c>
      <c r="AW145" s="1">
        <f t="shared" si="166"/>
        <v>1</v>
      </c>
      <c r="AX145" s="1">
        <f t="shared" si="167"/>
        <v>0</v>
      </c>
      <c r="BC145" s="1">
        <f t="shared" si="168"/>
        <v>0</v>
      </c>
      <c r="BD145" s="1">
        <f t="shared" si="169"/>
        <v>149</v>
      </c>
      <c r="BE145" s="1">
        <f t="shared" si="170"/>
        <v>2</v>
      </c>
      <c r="BH145" s="1" t="str">
        <f t="shared" si="171"/>
        <v/>
      </c>
      <c r="BI145" s="1" t="str">
        <f>IF(A145="","",IF(BH145="","",RANK(BH145,$BH$3:$BH295,1)))</f>
        <v/>
      </c>
      <c r="BJ145" s="1">
        <f t="shared" si="172"/>
        <v>2</v>
      </c>
      <c r="BM145" s="1">
        <f t="shared" si="173"/>
        <v>0.25249999999999972</v>
      </c>
      <c r="BN145" s="1">
        <f>IF(A145="","",IF(BM145="","",RANK(BM145,$BM$3:$BM295,1)))</f>
        <v>6</v>
      </c>
      <c r="BO145" s="1">
        <f t="shared" si="174"/>
        <v>2</v>
      </c>
      <c r="BR145" s="1">
        <f t="shared" si="175"/>
        <v>2</v>
      </c>
      <c r="BS145" s="1" t="str">
        <f t="shared" si="176"/>
        <v>フェルトベルク　　　　　　　　　　　</v>
      </c>
      <c r="CD145" s="1" t="str">
        <f t="shared" si="177"/>
        <v/>
      </c>
      <c r="CE145" s="1" t="str">
        <f>IF(A145="","",IF(CD145="","",RANK(CD145,$CD$3:$CD295,1)))</f>
        <v/>
      </c>
      <c r="CF145" s="1">
        <f t="shared" si="178"/>
        <v>2</v>
      </c>
      <c r="CI145" s="1" t="str">
        <f t="shared" si="179"/>
        <v/>
      </c>
      <c r="CJ145" s="1" t="str">
        <f>IF(A145="","",IF(CI145="","",RANK(CI145,$CI$3:$CI295,1)))</f>
        <v/>
      </c>
      <c r="CK145" s="1">
        <f t="shared" si="180"/>
        <v>2</v>
      </c>
      <c r="CN145" s="1" t="str">
        <f t="shared" si="181"/>
        <v/>
      </c>
      <c r="CO145" s="1" t="str">
        <f>IF(A145="","",IF(CN145="","",RANK(CN145,$CN$3:$CN295,1)))</f>
        <v/>
      </c>
      <c r="CP145" s="1">
        <f t="shared" si="182"/>
        <v>2</v>
      </c>
      <c r="CS145" s="1" t="str">
        <f t="shared" si="183"/>
        <v/>
      </c>
      <c r="CT145" s="1" t="str">
        <f>IF(A145="","",IF(CS145="","",RANK(CS145,$CS$3:$CS295,1)))</f>
        <v/>
      </c>
      <c r="CU145" s="1">
        <f t="shared" si="184"/>
        <v>2</v>
      </c>
      <c r="CX145" s="1" t="str">
        <f t="shared" si="185"/>
        <v/>
      </c>
      <c r="CY145" s="1" t="str">
        <f>IF(CX145="","",IF(A145="","",RANK(CX145,$CX$3:$CX295,1)))</f>
        <v/>
      </c>
      <c r="CZ145" s="1">
        <f t="shared" si="186"/>
        <v>2</v>
      </c>
      <c r="DC145" s="1" t="str">
        <f t="shared" si="187"/>
        <v/>
      </c>
      <c r="DD145" s="1" t="str">
        <f>IF(DC145="","",IF(A145="","",RANK(DC145,$DC$3:$DC295,1)))</f>
        <v/>
      </c>
      <c r="DE145" s="1">
        <f t="shared" si="188"/>
        <v>2</v>
      </c>
      <c r="DH145" s="1" t="str">
        <f t="shared" si="189"/>
        <v/>
      </c>
      <c r="DI145" s="1" t="str">
        <f>IF(DH145="","",IF(A145="","",RANK(DH145,$DH$3:$DH295,1)))</f>
        <v/>
      </c>
      <c r="DJ145" s="1">
        <f t="shared" si="190"/>
        <v>2</v>
      </c>
      <c r="DM145" s="1" t="str">
        <f t="shared" si="191"/>
        <v/>
      </c>
      <c r="DN145" s="1" t="str">
        <f>IF(DM145="","",IF(A145="","",RANK(DM145,$DM$3:$DM295,1)))</f>
        <v/>
      </c>
      <c r="DO145" s="1">
        <f t="shared" si="192"/>
        <v>2</v>
      </c>
      <c r="DR145" s="1">
        <f t="shared" si="193"/>
        <v>15.201429999999998</v>
      </c>
      <c r="DS145" s="1">
        <f>IF(DR145="","",IF(A145="","",RANK(DR145,$DR$3:$DR295,1)))</f>
        <v>58</v>
      </c>
      <c r="DT145" s="1">
        <f t="shared" si="194"/>
        <v>2</v>
      </c>
      <c r="DW145" s="1">
        <f t="shared" si="195"/>
        <v>13.90143</v>
      </c>
      <c r="DX145" s="1">
        <f>IF(DW145="","",IF(A145="","",RANK(DW145,$DW$3:$DW295,1)))</f>
        <v>76</v>
      </c>
      <c r="DY145" s="1">
        <f t="shared" si="196"/>
        <v>2</v>
      </c>
      <c r="EB145" s="1">
        <f t="shared" si="197"/>
        <v>14.101429999999999</v>
      </c>
      <c r="EC145" s="1">
        <f>IF(EB145="","",IF(A145="","",RANK(EB145,$EB$3:$EB295,1)))</f>
        <v>126</v>
      </c>
      <c r="ED145" s="1">
        <f t="shared" si="198"/>
        <v>2</v>
      </c>
      <c r="EG145" s="1">
        <f t="shared" si="199"/>
        <v>14.201429999999998</v>
      </c>
      <c r="EH145" s="1">
        <f>IF(EG145="","",IF(A145="","",RANK(EG145,$EG$3:$EG295,1)))</f>
        <v>143</v>
      </c>
      <c r="EI145" s="1">
        <f t="shared" si="200"/>
        <v>2</v>
      </c>
    </row>
    <row r="146" spans="1:139" ht="18.75">
      <c r="A146" s="1" t="s">
        <v>88</v>
      </c>
      <c r="B146" s="1">
        <v>20190706</v>
      </c>
      <c r="C146" s="1" t="s">
        <v>94</v>
      </c>
      <c r="D146" s="1">
        <v>5</v>
      </c>
      <c r="E146" s="30">
        <v>63.8</v>
      </c>
      <c r="F146" s="30">
        <v>46.5</v>
      </c>
      <c r="G146" s="30">
        <v>30</v>
      </c>
      <c r="H146" s="30">
        <v>14.2</v>
      </c>
      <c r="I146" s="30">
        <v>17.3</v>
      </c>
      <c r="J146" s="30">
        <v>16.5</v>
      </c>
      <c r="K146" s="30">
        <v>15.8</v>
      </c>
      <c r="L146" s="30">
        <v>14.2</v>
      </c>
      <c r="M146" s="1" t="str">
        <f t="shared" si="143"/>
        <v>2019/07/06</v>
      </c>
      <c r="N146" s="4" t="str">
        <f t="shared" si="144"/>
        <v/>
      </c>
      <c r="O146">
        <v>1.4400000000000031E-3</v>
      </c>
      <c r="P146" s="1" t="str">
        <f t="shared" si="145"/>
        <v/>
      </c>
      <c r="Q146" s="1" t="str">
        <f t="shared" si="146"/>
        <v/>
      </c>
      <c r="R146" s="1">
        <f t="shared" si="147"/>
        <v>5</v>
      </c>
      <c r="U146" s="1">
        <f t="shared" si="148"/>
        <v>63.801439999999999</v>
      </c>
      <c r="V146" s="1">
        <f t="shared" si="149"/>
        <v>148</v>
      </c>
      <c r="W146" s="1">
        <f t="shared" si="150"/>
        <v>5</v>
      </c>
      <c r="Z146" s="1" t="str">
        <f t="shared" si="151"/>
        <v/>
      </c>
      <c r="AA146" s="1" t="str">
        <f t="shared" si="152"/>
        <v/>
      </c>
      <c r="AB146" s="1">
        <f t="shared" si="153"/>
        <v>5</v>
      </c>
      <c r="AE146" s="1">
        <f t="shared" si="154"/>
        <v>46.501440000000002</v>
      </c>
      <c r="AF146" s="1">
        <f t="shared" si="155"/>
        <v>150</v>
      </c>
      <c r="AG146" s="1">
        <f t="shared" si="156"/>
        <v>5</v>
      </c>
      <c r="AJ146" s="1" t="str">
        <f t="shared" si="157"/>
        <v/>
      </c>
      <c r="AK146" s="1" t="str">
        <f t="shared" si="158"/>
        <v/>
      </c>
      <c r="AL146" s="1">
        <f t="shared" si="159"/>
        <v>5</v>
      </c>
      <c r="AO146" s="1">
        <f t="shared" si="160"/>
        <v>30.001439999999999</v>
      </c>
      <c r="AP146" s="1">
        <f t="shared" si="161"/>
        <v>150</v>
      </c>
      <c r="AQ146" s="1">
        <f t="shared" si="162"/>
        <v>5</v>
      </c>
      <c r="AT146" s="1">
        <f t="shared" si="163"/>
        <v>0.80000000000000071</v>
      </c>
      <c r="AU146" s="1">
        <f t="shared" si="164"/>
        <v>0.69999999999999929</v>
      </c>
      <c r="AV146" s="1">
        <f t="shared" si="165"/>
        <v>1.6000000000000014</v>
      </c>
      <c r="AW146" s="1">
        <f t="shared" si="166"/>
        <v>3.1000000000000014</v>
      </c>
      <c r="AX146" s="1">
        <f t="shared" si="167"/>
        <v>1.034773333333334</v>
      </c>
      <c r="BC146" s="1">
        <f t="shared" si="168"/>
        <v>1.5014400000000001</v>
      </c>
      <c r="BD146" s="1">
        <f t="shared" si="169"/>
        <v>129</v>
      </c>
      <c r="BE146" s="1">
        <f t="shared" si="170"/>
        <v>5</v>
      </c>
      <c r="BH146" s="1" t="str">
        <f t="shared" si="171"/>
        <v/>
      </c>
      <c r="BI146" s="1" t="str">
        <f>IF(A146="","",IF(BH146="","",RANK(BH146,$BH$3:$BH296,1)))</f>
        <v/>
      </c>
      <c r="BJ146" s="1">
        <f t="shared" si="172"/>
        <v>5</v>
      </c>
      <c r="BM146" s="1">
        <f t="shared" si="173"/>
        <v>1.3025000000000011</v>
      </c>
      <c r="BN146" s="1">
        <f>IF(A146="","",IF(BM146="","",RANK(BM146,$BM$3:$BM296,1)))</f>
        <v>83</v>
      </c>
      <c r="BO146" s="1">
        <f t="shared" si="174"/>
        <v>5</v>
      </c>
      <c r="BR146" s="1">
        <f t="shared" si="175"/>
        <v>5</v>
      </c>
      <c r="BS146" s="1" t="str">
        <f t="shared" si="176"/>
        <v>シグナライズ　　　　　　　　　　　　</v>
      </c>
      <c r="CD146" s="1" t="str">
        <f t="shared" si="177"/>
        <v/>
      </c>
      <c r="CE146" s="1" t="str">
        <f>IF(A146="","",IF(CD146="","",RANK(CD146,$CD$3:$CD296,1)))</f>
        <v/>
      </c>
      <c r="CF146" s="1">
        <f t="shared" si="178"/>
        <v>5</v>
      </c>
      <c r="CI146" s="1" t="str">
        <f t="shared" si="179"/>
        <v/>
      </c>
      <c r="CJ146" s="1" t="str">
        <f>IF(A146="","",IF(CI146="","",RANK(CI146,$CI$3:$CI296,1)))</f>
        <v/>
      </c>
      <c r="CK146" s="1">
        <f t="shared" si="180"/>
        <v>5</v>
      </c>
      <c r="CN146" s="1" t="str">
        <f t="shared" si="181"/>
        <v/>
      </c>
      <c r="CO146" s="1" t="str">
        <f>IF(A146="","",IF(CN146="","",RANK(CN146,$CN$3:$CN296,1)))</f>
        <v/>
      </c>
      <c r="CP146" s="1">
        <f t="shared" si="182"/>
        <v>5</v>
      </c>
      <c r="CS146" s="1" t="str">
        <f t="shared" si="183"/>
        <v/>
      </c>
      <c r="CT146" s="1" t="str">
        <f>IF(A146="","",IF(CS146="","",RANK(CS146,$CS$3:$CS296,1)))</f>
        <v/>
      </c>
      <c r="CU146" s="1">
        <f t="shared" si="184"/>
        <v>5</v>
      </c>
      <c r="CX146" s="1" t="str">
        <f t="shared" si="185"/>
        <v/>
      </c>
      <c r="CY146" s="1" t="str">
        <f>IF(CX146="","",IF(A146="","",RANK(CX146,$CX$3:$CX296,1)))</f>
        <v/>
      </c>
      <c r="CZ146" s="1">
        <f t="shared" si="186"/>
        <v>5</v>
      </c>
      <c r="DC146" s="1" t="str">
        <f t="shared" si="187"/>
        <v/>
      </c>
      <c r="DD146" s="1" t="str">
        <f>IF(DC146="","",IF(A146="","",RANK(DC146,$DC$3:$DC296,1)))</f>
        <v/>
      </c>
      <c r="DE146" s="1">
        <f t="shared" si="188"/>
        <v>5</v>
      </c>
      <c r="DH146" s="1" t="str">
        <f t="shared" si="189"/>
        <v/>
      </c>
      <c r="DI146" s="1" t="str">
        <f>IF(DH146="","",IF(A146="","",RANK(DH146,$DH$3:$DH296,1)))</f>
        <v/>
      </c>
      <c r="DJ146" s="1">
        <f t="shared" si="190"/>
        <v>5</v>
      </c>
      <c r="DM146" s="1" t="str">
        <f t="shared" si="191"/>
        <v/>
      </c>
      <c r="DN146" s="1" t="str">
        <f>IF(DM146="","",IF(A146="","",RANK(DM146,$DM$3:$DM296,1)))</f>
        <v/>
      </c>
      <c r="DO146" s="1">
        <f t="shared" si="192"/>
        <v>5</v>
      </c>
      <c r="DR146" s="1">
        <f t="shared" si="193"/>
        <v>17.301439999999999</v>
      </c>
      <c r="DS146" s="1">
        <f>IF(DR146="","",IF(A146="","",RANK(DR146,$DR$3:$DR296,1)))</f>
        <v>130</v>
      </c>
      <c r="DT146" s="1">
        <f t="shared" si="194"/>
        <v>5</v>
      </c>
      <c r="DW146" s="1">
        <f t="shared" si="195"/>
        <v>16.501439999999999</v>
      </c>
      <c r="DX146" s="1">
        <f>IF(DW146="","",IF(A146="","",RANK(DW146,$DW$3:$DW296,1)))</f>
        <v>143</v>
      </c>
      <c r="DY146" s="1">
        <f t="shared" si="196"/>
        <v>5</v>
      </c>
      <c r="EB146" s="1">
        <f t="shared" si="197"/>
        <v>15.801440000000001</v>
      </c>
      <c r="EC146" s="1">
        <f>IF(EB146="","",IF(A146="","",RANK(EB146,$EB$3:$EB296,1)))</f>
        <v>150</v>
      </c>
      <c r="ED146" s="1">
        <f t="shared" si="198"/>
        <v>5</v>
      </c>
      <c r="EG146" s="1">
        <f t="shared" si="199"/>
        <v>14.20144</v>
      </c>
      <c r="EH146" s="1">
        <f>IF(EG146="","",IF(A146="","",RANK(EG146,$EG$3:$EG296,1)))</f>
        <v>144</v>
      </c>
      <c r="EI146" s="1">
        <f t="shared" si="200"/>
        <v>5</v>
      </c>
    </row>
    <row r="147" spans="1:139" ht="18.75">
      <c r="A147" s="1" t="s">
        <v>88</v>
      </c>
      <c r="B147" s="1">
        <v>20190510</v>
      </c>
      <c r="C147" s="1" t="s">
        <v>92</v>
      </c>
      <c r="D147" s="1">
        <v>3</v>
      </c>
      <c r="E147" s="30">
        <v>62.4</v>
      </c>
      <c r="F147" s="30">
        <v>44.8</v>
      </c>
      <c r="G147" s="30">
        <v>29</v>
      </c>
      <c r="H147" s="30">
        <v>14.3</v>
      </c>
      <c r="I147" s="30">
        <v>17.600000000000001</v>
      </c>
      <c r="J147" s="30">
        <v>15.8</v>
      </c>
      <c r="K147" s="30">
        <v>14.7</v>
      </c>
      <c r="L147" s="30">
        <v>14.3</v>
      </c>
      <c r="M147" s="1" t="str">
        <f t="shared" si="143"/>
        <v>2019/05/10</v>
      </c>
      <c r="N147" s="4" t="str">
        <f t="shared" si="144"/>
        <v/>
      </c>
      <c r="O147">
        <v>1.4500000000000032E-3</v>
      </c>
      <c r="P147" s="1" t="str">
        <f t="shared" si="145"/>
        <v/>
      </c>
      <c r="Q147" s="1" t="str">
        <f t="shared" si="146"/>
        <v/>
      </c>
      <c r="R147" s="1">
        <f t="shared" si="147"/>
        <v>3</v>
      </c>
      <c r="U147" s="1">
        <f t="shared" si="148"/>
        <v>62.401449999999997</v>
      </c>
      <c r="V147" s="1">
        <f t="shared" si="149"/>
        <v>142</v>
      </c>
      <c r="W147" s="1">
        <f t="shared" si="150"/>
        <v>3</v>
      </c>
      <c r="Z147" s="1" t="str">
        <f t="shared" si="151"/>
        <v/>
      </c>
      <c r="AA147" s="1" t="str">
        <f t="shared" si="152"/>
        <v/>
      </c>
      <c r="AB147" s="1">
        <f t="shared" si="153"/>
        <v>3</v>
      </c>
      <c r="AE147" s="1">
        <f t="shared" si="154"/>
        <v>44.801449999999996</v>
      </c>
      <c r="AF147" s="1">
        <f t="shared" si="155"/>
        <v>144</v>
      </c>
      <c r="AG147" s="1">
        <f t="shared" si="156"/>
        <v>3</v>
      </c>
      <c r="AJ147" s="1" t="str">
        <f t="shared" si="157"/>
        <v/>
      </c>
      <c r="AK147" s="1" t="str">
        <f t="shared" si="158"/>
        <v/>
      </c>
      <c r="AL147" s="1">
        <f t="shared" si="159"/>
        <v>3</v>
      </c>
      <c r="AO147" s="1">
        <f t="shared" si="160"/>
        <v>29.001449999999998</v>
      </c>
      <c r="AP147" s="1">
        <f t="shared" si="161"/>
        <v>144</v>
      </c>
      <c r="AQ147" s="1">
        <f t="shared" si="162"/>
        <v>3</v>
      </c>
      <c r="AT147" s="1">
        <f t="shared" si="163"/>
        <v>1.8000000000000007</v>
      </c>
      <c r="AU147" s="1">
        <f t="shared" si="164"/>
        <v>1.1000000000000014</v>
      </c>
      <c r="AV147" s="1">
        <f t="shared" si="165"/>
        <v>0.39999999999999858</v>
      </c>
      <c r="AW147" s="1">
        <f t="shared" si="166"/>
        <v>3.3000000000000007</v>
      </c>
      <c r="AX147" s="1">
        <f t="shared" si="167"/>
        <v>1.1014500000000003</v>
      </c>
      <c r="BC147" s="1">
        <f t="shared" si="168"/>
        <v>2.9014500000000023</v>
      </c>
      <c r="BD147" s="1">
        <f t="shared" si="169"/>
        <v>53</v>
      </c>
      <c r="BE147" s="1">
        <f t="shared" si="170"/>
        <v>3</v>
      </c>
      <c r="BH147" s="1" t="str">
        <f t="shared" si="171"/>
        <v/>
      </c>
      <c r="BI147" s="1" t="str">
        <f>IF(A147="","",IF(BH147="","",RANK(BH147,$BH$3:$BH297,1)))</f>
        <v/>
      </c>
      <c r="BJ147" s="1">
        <f t="shared" si="172"/>
        <v>3</v>
      </c>
      <c r="BM147" s="1">
        <f t="shared" si="173"/>
        <v>1.6350000000000016</v>
      </c>
      <c r="BN147" s="1">
        <f>IF(A147="","",IF(BM147="","",RANK(BM147,$BM$3:$BM297,1)))</f>
        <v>99</v>
      </c>
      <c r="BO147" s="1">
        <f t="shared" si="174"/>
        <v>3</v>
      </c>
      <c r="BR147" s="1">
        <f t="shared" si="175"/>
        <v>3</v>
      </c>
      <c r="BS147" s="1" t="str">
        <f t="shared" si="176"/>
        <v>ディアボレット　　　　　　　　　　　</v>
      </c>
      <c r="CD147" s="1" t="str">
        <f t="shared" si="177"/>
        <v/>
      </c>
      <c r="CE147" s="1" t="str">
        <f>IF(A147="","",IF(CD147="","",RANK(CD147,$CD$3:$CD297,1)))</f>
        <v/>
      </c>
      <c r="CF147" s="1">
        <f t="shared" si="178"/>
        <v>3</v>
      </c>
      <c r="CI147" s="1" t="str">
        <f t="shared" si="179"/>
        <v/>
      </c>
      <c r="CJ147" s="1" t="str">
        <f>IF(A147="","",IF(CI147="","",RANK(CI147,$CI$3:$CI297,1)))</f>
        <v/>
      </c>
      <c r="CK147" s="1">
        <f t="shared" si="180"/>
        <v>3</v>
      </c>
      <c r="CN147" s="1" t="str">
        <f t="shared" si="181"/>
        <v/>
      </c>
      <c r="CO147" s="1" t="str">
        <f>IF(A147="","",IF(CN147="","",RANK(CN147,$CN$3:$CN297,1)))</f>
        <v/>
      </c>
      <c r="CP147" s="1">
        <f t="shared" si="182"/>
        <v>3</v>
      </c>
      <c r="CS147" s="1" t="str">
        <f t="shared" si="183"/>
        <v/>
      </c>
      <c r="CT147" s="1" t="str">
        <f>IF(A147="","",IF(CS147="","",RANK(CS147,$CS$3:$CS297,1)))</f>
        <v/>
      </c>
      <c r="CU147" s="1">
        <f t="shared" si="184"/>
        <v>3</v>
      </c>
      <c r="CX147" s="1" t="str">
        <f t="shared" si="185"/>
        <v/>
      </c>
      <c r="CY147" s="1" t="str">
        <f>IF(CX147="","",IF(A147="","",RANK(CX147,$CX$3:$CX297,1)))</f>
        <v/>
      </c>
      <c r="CZ147" s="1">
        <f t="shared" si="186"/>
        <v>3</v>
      </c>
      <c r="DC147" s="1" t="str">
        <f t="shared" si="187"/>
        <v/>
      </c>
      <c r="DD147" s="1" t="str">
        <f>IF(DC147="","",IF(A147="","",RANK(DC147,$DC$3:$DC297,1)))</f>
        <v/>
      </c>
      <c r="DE147" s="1">
        <f t="shared" si="188"/>
        <v>3</v>
      </c>
      <c r="DH147" s="1" t="str">
        <f t="shared" si="189"/>
        <v/>
      </c>
      <c r="DI147" s="1" t="str">
        <f>IF(DH147="","",IF(A147="","",RANK(DH147,$DH$3:$DH297,1)))</f>
        <v/>
      </c>
      <c r="DJ147" s="1">
        <f t="shared" si="190"/>
        <v>3</v>
      </c>
      <c r="DM147" s="1" t="str">
        <f t="shared" si="191"/>
        <v/>
      </c>
      <c r="DN147" s="1" t="str">
        <f>IF(DM147="","",IF(A147="","",RANK(DM147,$DM$3:$DM297,1)))</f>
        <v/>
      </c>
      <c r="DO147" s="1">
        <f t="shared" si="192"/>
        <v>3</v>
      </c>
      <c r="DR147" s="1">
        <f t="shared" si="193"/>
        <v>17.60145</v>
      </c>
      <c r="DS147" s="1">
        <f>IF(DR147="","",IF(A147="","",RANK(DR147,$DR$3:$DR297,1)))</f>
        <v>136</v>
      </c>
      <c r="DT147" s="1">
        <f t="shared" si="194"/>
        <v>3</v>
      </c>
      <c r="DW147" s="1">
        <f t="shared" si="195"/>
        <v>15.801450000000001</v>
      </c>
      <c r="DX147" s="1">
        <f>IF(DW147="","",IF(A147="","",RANK(DW147,$DW$3:$DW297,1)))</f>
        <v>135</v>
      </c>
      <c r="DY147" s="1">
        <f t="shared" si="196"/>
        <v>3</v>
      </c>
      <c r="EB147" s="1">
        <f t="shared" si="197"/>
        <v>14.701449999999999</v>
      </c>
      <c r="EC147" s="1">
        <f>IF(EB147="","",IF(A147="","",RANK(EB147,$EB$3:$EB297,1)))</f>
        <v>141</v>
      </c>
      <c r="ED147" s="1">
        <f t="shared" si="198"/>
        <v>3</v>
      </c>
      <c r="EG147" s="1">
        <f t="shared" si="199"/>
        <v>14.301450000000001</v>
      </c>
      <c r="EH147" s="1">
        <f>IF(EG147="","",IF(A147="","",RANK(EG147,$EG$3:$EG297,1)))</f>
        <v>145</v>
      </c>
      <c r="EI147" s="1">
        <f t="shared" si="200"/>
        <v>3</v>
      </c>
    </row>
    <row r="148" spans="1:139" ht="18.75">
      <c r="A148" s="1" t="s">
        <v>88</v>
      </c>
      <c r="B148" s="1">
        <v>20190517</v>
      </c>
      <c r="C148" s="1" t="s">
        <v>92</v>
      </c>
      <c r="D148" s="1">
        <v>3</v>
      </c>
      <c r="E148" s="30">
        <v>65</v>
      </c>
      <c r="F148" s="30">
        <v>46.2</v>
      </c>
      <c r="G148" s="30">
        <v>29.5</v>
      </c>
      <c r="H148" s="30">
        <v>14.3</v>
      </c>
      <c r="I148" s="30">
        <v>18.8</v>
      </c>
      <c r="J148" s="30">
        <v>16.7</v>
      </c>
      <c r="K148" s="30">
        <v>15.2</v>
      </c>
      <c r="L148" s="30">
        <v>14.3</v>
      </c>
      <c r="M148" s="1" t="str">
        <f t="shared" si="143"/>
        <v>2019/05/17</v>
      </c>
      <c r="N148" s="4" t="str">
        <f t="shared" si="144"/>
        <v/>
      </c>
      <c r="O148">
        <v>1.4600000000000032E-3</v>
      </c>
      <c r="P148" s="1" t="str">
        <f t="shared" si="145"/>
        <v/>
      </c>
      <c r="Q148" s="1" t="str">
        <f t="shared" si="146"/>
        <v/>
      </c>
      <c r="R148" s="1">
        <f t="shared" si="147"/>
        <v>3</v>
      </c>
      <c r="U148" s="1">
        <f t="shared" si="148"/>
        <v>65.001459999999994</v>
      </c>
      <c r="V148" s="1">
        <f t="shared" si="149"/>
        <v>150</v>
      </c>
      <c r="W148" s="1">
        <f t="shared" si="150"/>
        <v>3</v>
      </c>
      <c r="Z148" s="1" t="str">
        <f t="shared" si="151"/>
        <v/>
      </c>
      <c r="AA148" s="1" t="str">
        <f t="shared" si="152"/>
        <v/>
      </c>
      <c r="AB148" s="1">
        <f t="shared" si="153"/>
        <v>3</v>
      </c>
      <c r="AE148" s="1">
        <f t="shared" si="154"/>
        <v>46.201460000000004</v>
      </c>
      <c r="AF148" s="1">
        <f t="shared" si="155"/>
        <v>149</v>
      </c>
      <c r="AG148" s="1">
        <f t="shared" si="156"/>
        <v>3</v>
      </c>
      <c r="AJ148" s="1" t="str">
        <f t="shared" si="157"/>
        <v/>
      </c>
      <c r="AK148" s="1" t="str">
        <f t="shared" si="158"/>
        <v/>
      </c>
      <c r="AL148" s="1">
        <f t="shared" si="159"/>
        <v>3</v>
      </c>
      <c r="AO148" s="1">
        <f t="shared" si="160"/>
        <v>29.501460000000002</v>
      </c>
      <c r="AP148" s="1">
        <f t="shared" si="161"/>
        <v>149</v>
      </c>
      <c r="AQ148" s="1">
        <f t="shared" si="162"/>
        <v>3</v>
      </c>
      <c r="AT148" s="1">
        <f t="shared" si="163"/>
        <v>2.1000000000000014</v>
      </c>
      <c r="AU148" s="1">
        <f t="shared" si="164"/>
        <v>1.5</v>
      </c>
      <c r="AV148" s="1">
        <f t="shared" si="165"/>
        <v>0.89999999999999858</v>
      </c>
      <c r="AW148" s="1">
        <f t="shared" si="166"/>
        <v>4.5</v>
      </c>
      <c r="AX148" s="1">
        <f t="shared" si="167"/>
        <v>1.50146</v>
      </c>
      <c r="BC148" s="1">
        <f t="shared" si="168"/>
        <v>3.6014600000000012</v>
      </c>
      <c r="BD148" s="1">
        <f t="shared" si="169"/>
        <v>32</v>
      </c>
      <c r="BE148" s="1">
        <f t="shared" si="170"/>
        <v>3</v>
      </c>
      <c r="BH148" s="1" t="str">
        <f t="shared" si="171"/>
        <v/>
      </c>
      <c r="BI148" s="1" t="str">
        <f>IF(A148="","",IF(BH148="","",RANK(BH148,$BH$3:$BH298,1)))</f>
        <v/>
      </c>
      <c r="BJ148" s="1">
        <f t="shared" si="172"/>
        <v>3</v>
      </c>
      <c r="BM148" s="1">
        <f t="shared" si="173"/>
        <v>2.9025000000000318</v>
      </c>
      <c r="BN148" s="1">
        <f>IF(A148="","",IF(BM148="","",RANK(BM148,$BM$3:$BM298,1)))</f>
        <v>131</v>
      </c>
      <c r="BO148" s="1">
        <f t="shared" si="174"/>
        <v>3</v>
      </c>
      <c r="BR148" s="1">
        <f t="shared" si="175"/>
        <v>3</v>
      </c>
      <c r="BS148" s="1" t="str">
        <f t="shared" si="176"/>
        <v>ディアボレット　　　　　　　　　　　</v>
      </c>
      <c r="CD148" s="1" t="str">
        <f t="shared" si="177"/>
        <v/>
      </c>
      <c r="CE148" s="1" t="str">
        <f>IF(A148="","",IF(CD148="","",RANK(CD148,$CD$3:$CD298,1)))</f>
        <v/>
      </c>
      <c r="CF148" s="1">
        <f t="shared" si="178"/>
        <v>3</v>
      </c>
      <c r="CI148" s="1" t="str">
        <f t="shared" si="179"/>
        <v/>
      </c>
      <c r="CJ148" s="1" t="str">
        <f>IF(A148="","",IF(CI148="","",RANK(CI148,$CI$3:$CI298,1)))</f>
        <v/>
      </c>
      <c r="CK148" s="1">
        <f t="shared" si="180"/>
        <v>3</v>
      </c>
      <c r="CN148" s="1" t="str">
        <f t="shared" si="181"/>
        <v/>
      </c>
      <c r="CO148" s="1" t="str">
        <f>IF(A148="","",IF(CN148="","",RANK(CN148,$CN$3:$CN298,1)))</f>
        <v/>
      </c>
      <c r="CP148" s="1">
        <f t="shared" si="182"/>
        <v>3</v>
      </c>
      <c r="CS148" s="1" t="str">
        <f t="shared" si="183"/>
        <v/>
      </c>
      <c r="CT148" s="1" t="str">
        <f>IF(A148="","",IF(CS148="","",RANK(CS148,$CS$3:$CS298,1)))</f>
        <v/>
      </c>
      <c r="CU148" s="1">
        <f t="shared" si="184"/>
        <v>3</v>
      </c>
      <c r="CX148" s="1" t="str">
        <f t="shared" si="185"/>
        <v/>
      </c>
      <c r="CY148" s="1" t="str">
        <f>IF(CX148="","",IF(A148="","",RANK(CX148,$CX$3:$CX298,1)))</f>
        <v/>
      </c>
      <c r="CZ148" s="1">
        <f t="shared" si="186"/>
        <v>3</v>
      </c>
      <c r="DC148" s="1" t="str">
        <f t="shared" si="187"/>
        <v/>
      </c>
      <c r="DD148" s="1" t="str">
        <f>IF(DC148="","",IF(A148="","",RANK(DC148,$DC$3:$DC298,1)))</f>
        <v/>
      </c>
      <c r="DE148" s="1">
        <f t="shared" si="188"/>
        <v>3</v>
      </c>
      <c r="DH148" s="1" t="str">
        <f t="shared" si="189"/>
        <v/>
      </c>
      <c r="DI148" s="1" t="str">
        <f>IF(DH148="","",IF(A148="","",RANK(DH148,$DH$3:$DH298,1)))</f>
        <v/>
      </c>
      <c r="DJ148" s="1">
        <f t="shared" si="190"/>
        <v>3</v>
      </c>
      <c r="DM148" s="1" t="str">
        <f t="shared" si="191"/>
        <v/>
      </c>
      <c r="DN148" s="1" t="str">
        <f>IF(DM148="","",IF(A148="","",RANK(DM148,$DM$3:$DM298,1)))</f>
        <v/>
      </c>
      <c r="DO148" s="1">
        <f t="shared" si="192"/>
        <v>3</v>
      </c>
      <c r="DR148" s="1">
        <f t="shared" si="193"/>
        <v>18.801460000000002</v>
      </c>
      <c r="DS148" s="1">
        <f>IF(DR148="","",IF(A148="","",RANK(DR148,$DR$3:$DR298,1)))</f>
        <v>144</v>
      </c>
      <c r="DT148" s="1">
        <f t="shared" si="194"/>
        <v>3</v>
      </c>
      <c r="DW148" s="1">
        <f t="shared" si="195"/>
        <v>16.701460000000001</v>
      </c>
      <c r="DX148" s="1">
        <f>IF(DW148="","",IF(A148="","",RANK(DW148,$DW$3:$DW298,1)))</f>
        <v>147</v>
      </c>
      <c r="DY148" s="1">
        <f t="shared" si="196"/>
        <v>3</v>
      </c>
      <c r="EB148" s="1">
        <f t="shared" si="197"/>
        <v>15.201459999999999</v>
      </c>
      <c r="EC148" s="1">
        <f>IF(EB148="","",IF(A148="","",RANK(EB148,$EB$3:$EB298,1)))</f>
        <v>148</v>
      </c>
      <c r="ED148" s="1">
        <f t="shared" si="198"/>
        <v>3</v>
      </c>
      <c r="EG148" s="1">
        <f t="shared" si="199"/>
        <v>14.301460000000001</v>
      </c>
      <c r="EH148" s="1">
        <f>IF(EG148="","",IF(A148="","",RANK(EG148,$EG$3:$EG298,1)))</f>
        <v>146</v>
      </c>
      <c r="EI148" s="1">
        <f t="shared" si="200"/>
        <v>3</v>
      </c>
    </row>
    <row r="149" spans="1:139" ht="18.75">
      <c r="A149" s="1" t="s">
        <v>88</v>
      </c>
      <c r="B149" s="1">
        <v>20190707</v>
      </c>
      <c r="C149" s="1" t="s">
        <v>95</v>
      </c>
      <c r="D149" s="1">
        <v>6</v>
      </c>
      <c r="E149" s="30">
        <v>61.5</v>
      </c>
      <c r="F149" s="30">
        <v>45</v>
      </c>
      <c r="G149" s="30">
        <v>29.3</v>
      </c>
      <c r="H149" s="30">
        <v>14.3</v>
      </c>
      <c r="I149" s="30">
        <v>16.5</v>
      </c>
      <c r="J149" s="30">
        <v>15.7</v>
      </c>
      <c r="K149" s="30">
        <v>15</v>
      </c>
      <c r="L149" s="30">
        <v>14.3</v>
      </c>
      <c r="M149" s="1" t="str">
        <f t="shared" si="143"/>
        <v>2019/07/07</v>
      </c>
      <c r="N149" s="4" t="str">
        <f t="shared" si="144"/>
        <v/>
      </c>
      <c r="O149">
        <v>1.4700000000000032E-3</v>
      </c>
      <c r="P149" s="1" t="str">
        <f t="shared" si="145"/>
        <v/>
      </c>
      <c r="Q149" s="1" t="str">
        <f t="shared" si="146"/>
        <v/>
      </c>
      <c r="R149" s="1">
        <f t="shared" si="147"/>
        <v>6</v>
      </c>
      <c r="U149" s="1">
        <f t="shared" si="148"/>
        <v>61.501469999999998</v>
      </c>
      <c r="V149" s="1">
        <f t="shared" si="149"/>
        <v>133</v>
      </c>
      <c r="W149" s="1">
        <f t="shared" si="150"/>
        <v>6</v>
      </c>
      <c r="Z149" s="1" t="str">
        <f t="shared" si="151"/>
        <v/>
      </c>
      <c r="AA149" s="1" t="str">
        <f t="shared" si="152"/>
        <v/>
      </c>
      <c r="AB149" s="1">
        <f t="shared" si="153"/>
        <v>6</v>
      </c>
      <c r="AE149" s="1">
        <f t="shared" si="154"/>
        <v>45.001469999999998</v>
      </c>
      <c r="AF149" s="1">
        <f t="shared" si="155"/>
        <v>145</v>
      </c>
      <c r="AG149" s="1">
        <f t="shared" si="156"/>
        <v>6</v>
      </c>
      <c r="AJ149" s="1" t="str">
        <f t="shared" si="157"/>
        <v/>
      </c>
      <c r="AK149" s="1" t="str">
        <f t="shared" si="158"/>
        <v/>
      </c>
      <c r="AL149" s="1">
        <f t="shared" si="159"/>
        <v>6</v>
      </c>
      <c r="AO149" s="1">
        <f t="shared" si="160"/>
        <v>29.301470000000002</v>
      </c>
      <c r="AP149" s="1">
        <f t="shared" si="161"/>
        <v>148</v>
      </c>
      <c r="AQ149" s="1">
        <f t="shared" si="162"/>
        <v>6</v>
      </c>
      <c r="AT149" s="1">
        <f t="shared" si="163"/>
        <v>0.80000000000000071</v>
      </c>
      <c r="AU149" s="1">
        <f t="shared" si="164"/>
        <v>0.69999999999999929</v>
      </c>
      <c r="AV149" s="1">
        <f t="shared" si="165"/>
        <v>0.69999999999999929</v>
      </c>
      <c r="AW149" s="1">
        <f t="shared" si="166"/>
        <v>2.1999999999999993</v>
      </c>
      <c r="AX149" s="1">
        <f t="shared" si="167"/>
        <v>0.73480333333333303</v>
      </c>
      <c r="BC149" s="1">
        <f t="shared" si="168"/>
        <v>1.5014700000000001</v>
      </c>
      <c r="BD149" s="1">
        <f t="shared" si="169"/>
        <v>128</v>
      </c>
      <c r="BE149" s="1">
        <f t="shared" si="170"/>
        <v>6</v>
      </c>
      <c r="BH149" s="1" t="str">
        <f t="shared" si="171"/>
        <v/>
      </c>
      <c r="BI149" s="1" t="str">
        <f>IF(A149="","",IF(BH149="","",RANK(BH149,$BH$3:$BH299,1)))</f>
        <v/>
      </c>
      <c r="BJ149" s="1">
        <f t="shared" si="172"/>
        <v>6</v>
      </c>
      <c r="BM149" s="1">
        <f t="shared" si="173"/>
        <v>0.66687499999999955</v>
      </c>
      <c r="BN149" s="1">
        <f>IF(A149="","",IF(BM149="","",RANK(BM149,$BM$3:$BM299,1)))</f>
        <v>37</v>
      </c>
      <c r="BO149" s="1">
        <f t="shared" si="174"/>
        <v>6</v>
      </c>
      <c r="BR149" s="1">
        <f t="shared" si="175"/>
        <v>6</v>
      </c>
      <c r="BS149" s="1" t="str">
        <f t="shared" si="176"/>
        <v>ミカエルシチー　　　　　　　　　　　</v>
      </c>
      <c r="CD149" s="1" t="str">
        <f t="shared" si="177"/>
        <v/>
      </c>
      <c r="CE149" s="1" t="str">
        <f>IF(A149="","",IF(CD149="","",RANK(CD149,$CD$3:$CD299,1)))</f>
        <v/>
      </c>
      <c r="CF149" s="1">
        <f t="shared" si="178"/>
        <v>6</v>
      </c>
      <c r="CI149" s="1" t="str">
        <f t="shared" si="179"/>
        <v/>
      </c>
      <c r="CJ149" s="1" t="str">
        <f>IF(A149="","",IF(CI149="","",RANK(CI149,$CI$3:$CI299,1)))</f>
        <v/>
      </c>
      <c r="CK149" s="1">
        <f t="shared" si="180"/>
        <v>6</v>
      </c>
      <c r="CN149" s="1" t="str">
        <f t="shared" si="181"/>
        <v/>
      </c>
      <c r="CO149" s="1" t="str">
        <f>IF(A149="","",IF(CN149="","",RANK(CN149,$CN$3:$CN299,1)))</f>
        <v/>
      </c>
      <c r="CP149" s="1">
        <f t="shared" si="182"/>
        <v>6</v>
      </c>
      <c r="CS149" s="1" t="str">
        <f t="shared" si="183"/>
        <v/>
      </c>
      <c r="CT149" s="1" t="str">
        <f>IF(A149="","",IF(CS149="","",RANK(CS149,$CS$3:$CS299,1)))</f>
        <v/>
      </c>
      <c r="CU149" s="1">
        <f t="shared" si="184"/>
        <v>6</v>
      </c>
      <c r="CX149" s="1" t="str">
        <f t="shared" si="185"/>
        <v/>
      </c>
      <c r="CY149" s="1" t="str">
        <f>IF(CX149="","",IF(A149="","",RANK(CX149,$CX$3:$CX299,1)))</f>
        <v/>
      </c>
      <c r="CZ149" s="1">
        <f t="shared" si="186"/>
        <v>6</v>
      </c>
      <c r="DC149" s="1" t="str">
        <f t="shared" si="187"/>
        <v/>
      </c>
      <c r="DD149" s="1" t="str">
        <f>IF(DC149="","",IF(A149="","",RANK(DC149,$DC$3:$DC299,1)))</f>
        <v/>
      </c>
      <c r="DE149" s="1">
        <f t="shared" si="188"/>
        <v>6</v>
      </c>
      <c r="DH149" s="1" t="str">
        <f t="shared" si="189"/>
        <v/>
      </c>
      <c r="DI149" s="1" t="str">
        <f>IF(DH149="","",IF(A149="","",RANK(DH149,$DH$3:$DH299,1)))</f>
        <v/>
      </c>
      <c r="DJ149" s="1">
        <f t="shared" si="190"/>
        <v>6</v>
      </c>
      <c r="DM149" s="1" t="str">
        <f t="shared" si="191"/>
        <v/>
      </c>
      <c r="DN149" s="1" t="str">
        <f>IF(DM149="","",IF(A149="","",RANK(DM149,$DM$3:$DM299,1)))</f>
        <v/>
      </c>
      <c r="DO149" s="1">
        <f t="shared" si="192"/>
        <v>6</v>
      </c>
      <c r="DR149" s="1">
        <f t="shared" si="193"/>
        <v>16.501470000000001</v>
      </c>
      <c r="DS149" s="1">
        <f>IF(DR149="","",IF(A149="","",RANK(DR149,$DR$3:$DR299,1)))</f>
        <v>115</v>
      </c>
      <c r="DT149" s="1">
        <f t="shared" si="194"/>
        <v>6</v>
      </c>
      <c r="DW149" s="1">
        <f t="shared" si="195"/>
        <v>15.701469999999999</v>
      </c>
      <c r="DX149" s="1">
        <f>IF(DW149="","",IF(A149="","",RANK(DW149,$DW$3:$DW299,1)))</f>
        <v>131</v>
      </c>
      <c r="DY149" s="1">
        <f t="shared" si="196"/>
        <v>6</v>
      </c>
      <c r="EB149" s="1">
        <f t="shared" si="197"/>
        <v>15.001469999999999</v>
      </c>
      <c r="EC149" s="1">
        <f>IF(EB149="","",IF(A149="","",RANK(EB149,$EB$3:$EB299,1)))</f>
        <v>146</v>
      </c>
      <c r="ED149" s="1">
        <f t="shared" si="198"/>
        <v>6</v>
      </c>
      <c r="EG149" s="1">
        <f t="shared" si="199"/>
        <v>14.30147</v>
      </c>
      <c r="EH149" s="1">
        <f>IF(EG149="","",IF(A149="","",RANK(EG149,$EG$3:$EG299,1)))</f>
        <v>147</v>
      </c>
      <c r="EI149" s="1">
        <f t="shared" si="200"/>
        <v>6</v>
      </c>
    </row>
    <row r="150" spans="1:139" ht="18.75">
      <c r="A150" s="1" t="s">
        <v>88</v>
      </c>
      <c r="B150" s="1">
        <v>20190707</v>
      </c>
      <c r="C150" s="1" t="s">
        <v>98</v>
      </c>
      <c r="D150" s="1">
        <v>9</v>
      </c>
      <c r="E150" s="30">
        <v>60.4</v>
      </c>
      <c r="F150" s="30">
        <v>43.4</v>
      </c>
      <c r="G150" s="30">
        <v>28.3</v>
      </c>
      <c r="H150" s="30">
        <v>14.3</v>
      </c>
      <c r="I150" s="30">
        <v>17</v>
      </c>
      <c r="J150" s="30">
        <v>15.1</v>
      </c>
      <c r="K150" s="30">
        <v>14</v>
      </c>
      <c r="L150" s="30">
        <v>14.3</v>
      </c>
      <c r="M150" s="1" t="str">
        <f t="shared" si="143"/>
        <v>2019/07/07</v>
      </c>
      <c r="N150" s="4" t="str">
        <f t="shared" si="144"/>
        <v/>
      </c>
      <c r="O150">
        <v>1.4800000000000032E-3</v>
      </c>
      <c r="P150" s="1" t="str">
        <f t="shared" si="145"/>
        <v/>
      </c>
      <c r="Q150" s="1" t="str">
        <f t="shared" si="146"/>
        <v/>
      </c>
      <c r="R150" s="1">
        <f t="shared" si="147"/>
        <v>9</v>
      </c>
      <c r="U150" s="1">
        <f t="shared" si="148"/>
        <v>60.401479999999999</v>
      </c>
      <c r="V150" s="1">
        <f t="shared" si="149"/>
        <v>132</v>
      </c>
      <c r="W150" s="1">
        <f t="shared" si="150"/>
        <v>9</v>
      </c>
      <c r="Z150" s="1" t="str">
        <f t="shared" si="151"/>
        <v/>
      </c>
      <c r="AA150" s="1" t="str">
        <f t="shared" si="152"/>
        <v/>
      </c>
      <c r="AB150" s="1">
        <f t="shared" si="153"/>
        <v>9</v>
      </c>
      <c r="AE150" s="1">
        <f t="shared" si="154"/>
        <v>43.401479999999999</v>
      </c>
      <c r="AF150" s="1">
        <f t="shared" si="155"/>
        <v>133</v>
      </c>
      <c r="AG150" s="1">
        <f t="shared" si="156"/>
        <v>9</v>
      </c>
      <c r="AJ150" s="1" t="str">
        <f t="shared" si="157"/>
        <v/>
      </c>
      <c r="AK150" s="1" t="str">
        <f t="shared" si="158"/>
        <v/>
      </c>
      <c r="AL150" s="1">
        <f t="shared" si="159"/>
        <v>9</v>
      </c>
      <c r="AO150" s="1">
        <f t="shared" si="160"/>
        <v>28.301480000000002</v>
      </c>
      <c r="AP150" s="1">
        <f t="shared" si="161"/>
        <v>133</v>
      </c>
      <c r="AQ150" s="1">
        <f t="shared" si="162"/>
        <v>9</v>
      </c>
      <c r="AT150" s="1">
        <f t="shared" si="163"/>
        <v>1.9000000000000004</v>
      </c>
      <c r="AU150" s="1">
        <f t="shared" si="164"/>
        <v>1.0999999999999996</v>
      </c>
      <c r="AV150" s="1">
        <f t="shared" si="165"/>
        <v>-0.30000000000000071</v>
      </c>
      <c r="AW150" s="1">
        <f t="shared" si="166"/>
        <v>2.6999999999999993</v>
      </c>
      <c r="AX150" s="1">
        <f t="shared" si="167"/>
        <v>0</v>
      </c>
      <c r="BC150" s="1">
        <f t="shared" si="168"/>
        <v>3.0014799999999999</v>
      </c>
      <c r="BD150" s="1">
        <f t="shared" si="169"/>
        <v>48</v>
      </c>
      <c r="BE150" s="1">
        <f t="shared" si="170"/>
        <v>9</v>
      </c>
      <c r="BH150" s="1" t="str">
        <f t="shared" si="171"/>
        <v/>
      </c>
      <c r="BI150" s="1" t="str">
        <f>IF(A150="","",IF(BH150="","",RANK(BH150,$BH$3:$BH300,1)))</f>
        <v/>
      </c>
      <c r="BJ150" s="1">
        <f t="shared" si="172"/>
        <v>9</v>
      </c>
      <c r="BM150" s="1">
        <f t="shared" si="173"/>
        <v>1.3649999999999998</v>
      </c>
      <c r="BN150" s="1">
        <f>IF(A150="","",IF(BM150="","",RANK(BM150,$BM$3:$BM300,1)))</f>
        <v>90</v>
      </c>
      <c r="BO150" s="1">
        <f t="shared" si="174"/>
        <v>9</v>
      </c>
      <c r="BR150" s="1">
        <f t="shared" si="175"/>
        <v>9</v>
      </c>
      <c r="BS150" s="1" t="str">
        <f t="shared" si="176"/>
        <v>メイショウイサナ　　　　　　　　　　</v>
      </c>
      <c r="CD150" s="1" t="str">
        <f t="shared" si="177"/>
        <v/>
      </c>
      <c r="CE150" s="1" t="str">
        <f>IF(A150="","",IF(CD150="","",RANK(CD150,$CD$3:$CD300,1)))</f>
        <v/>
      </c>
      <c r="CF150" s="1">
        <f t="shared" si="178"/>
        <v>9</v>
      </c>
      <c r="CI150" s="1" t="str">
        <f t="shared" si="179"/>
        <v/>
      </c>
      <c r="CJ150" s="1" t="str">
        <f>IF(A150="","",IF(CI150="","",RANK(CI150,$CI$3:$CI300,1)))</f>
        <v/>
      </c>
      <c r="CK150" s="1">
        <f t="shared" si="180"/>
        <v>9</v>
      </c>
      <c r="CN150" s="1" t="str">
        <f t="shared" si="181"/>
        <v/>
      </c>
      <c r="CO150" s="1" t="str">
        <f>IF(A150="","",IF(CN150="","",RANK(CN150,$CN$3:$CN300,1)))</f>
        <v/>
      </c>
      <c r="CP150" s="1">
        <f t="shared" si="182"/>
        <v>9</v>
      </c>
      <c r="CS150" s="1" t="str">
        <f t="shared" si="183"/>
        <v/>
      </c>
      <c r="CT150" s="1" t="str">
        <f>IF(A150="","",IF(CS150="","",RANK(CS150,$CS$3:$CS300,1)))</f>
        <v/>
      </c>
      <c r="CU150" s="1">
        <f t="shared" si="184"/>
        <v>9</v>
      </c>
      <c r="CX150" s="1" t="str">
        <f t="shared" si="185"/>
        <v/>
      </c>
      <c r="CY150" s="1" t="str">
        <f>IF(CX150="","",IF(A150="","",RANK(CX150,$CX$3:$CX300,1)))</f>
        <v/>
      </c>
      <c r="CZ150" s="1">
        <f t="shared" si="186"/>
        <v>9</v>
      </c>
      <c r="DC150" s="1" t="str">
        <f t="shared" si="187"/>
        <v/>
      </c>
      <c r="DD150" s="1" t="str">
        <f>IF(DC150="","",IF(A150="","",RANK(DC150,$DC$3:$DC300,1)))</f>
        <v/>
      </c>
      <c r="DE150" s="1">
        <f t="shared" si="188"/>
        <v>9</v>
      </c>
      <c r="DH150" s="1" t="str">
        <f t="shared" si="189"/>
        <v/>
      </c>
      <c r="DI150" s="1" t="str">
        <f>IF(DH150="","",IF(A150="","",RANK(DH150,$DH$3:$DH300,1)))</f>
        <v/>
      </c>
      <c r="DJ150" s="1">
        <f t="shared" si="190"/>
        <v>9</v>
      </c>
      <c r="DM150" s="1" t="str">
        <f t="shared" si="191"/>
        <v/>
      </c>
      <c r="DN150" s="1" t="str">
        <f>IF(DM150="","",IF(A150="","",RANK(DM150,$DM$3:$DM300,1)))</f>
        <v/>
      </c>
      <c r="DO150" s="1">
        <f t="shared" si="192"/>
        <v>9</v>
      </c>
      <c r="DR150" s="1">
        <f t="shared" si="193"/>
        <v>17.001480000000001</v>
      </c>
      <c r="DS150" s="1">
        <f>IF(DR150="","",IF(A150="","",RANK(DR150,$DR$3:$DR300,1)))</f>
        <v>123</v>
      </c>
      <c r="DT150" s="1">
        <f t="shared" si="194"/>
        <v>9</v>
      </c>
      <c r="DW150" s="1">
        <f t="shared" si="195"/>
        <v>15.10148</v>
      </c>
      <c r="DX150" s="1">
        <f>IF(DW150="","",IF(A150="","",RANK(DW150,$DW$3:$DW300,1)))</f>
        <v>123</v>
      </c>
      <c r="DY150" s="1">
        <f t="shared" si="196"/>
        <v>9</v>
      </c>
      <c r="EB150" s="1">
        <f t="shared" si="197"/>
        <v>14.001480000000001</v>
      </c>
      <c r="EC150" s="1">
        <f>IF(EB150="","",IF(A150="","",RANK(EB150,$EB$3:$EB300,1)))</f>
        <v>125</v>
      </c>
      <c r="ED150" s="1">
        <f t="shared" si="198"/>
        <v>9</v>
      </c>
      <c r="EG150" s="1">
        <f t="shared" si="199"/>
        <v>14.301480000000002</v>
      </c>
      <c r="EH150" s="1">
        <f>IF(EG150="","",IF(A150="","",RANK(EG150,$EG$3:$EG300,1)))</f>
        <v>148</v>
      </c>
      <c r="EI150" s="1">
        <f t="shared" si="200"/>
        <v>9</v>
      </c>
    </row>
    <row r="151" spans="1:139" ht="18.75">
      <c r="A151" s="1" t="s">
        <v>88</v>
      </c>
      <c r="B151" s="1">
        <v>20190707</v>
      </c>
      <c r="C151" s="1" t="s">
        <v>96</v>
      </c>
      <c r="D151" s="1">
        <v>7</v>
      </c>
      <c r="E151" s="30">
        <v>66.400000000000006</v>
      </c>
      <c r="F151" s="30">
        <v>47.6</v>
      </c>
      <c r="G151" s="30">
        <v>30.3</v>
      </c>
      <c r="H151" s="30">
        <v>14.3</v>
      </c>
      <c r="I151" s="30">
        <v>18.8</v>
      </c>
      <c r="J151" s="30">
        <v>17.3</v>
      </c>
      <c r="K151" s="30">
        <v>16</v>
      </c>
      <c r="L151" s="30">
        <v>14.3</v>
      </c>
      <c r="M151" s="1" t="str">
        <f t="shared" si="143"/>
        <v>2019/07/07</v>
      </c>
      <c r="N151" s="4" t="str">
        <f t="shared" si="144"/>
        <v/>
      </c>
      <c r="O151">
        <v>1.4900000000000033E-3</v>
      </c>
      <c r="P151" s="1" t="str">
        <f t="shared" si="145"/>
        <v/>
      </c>
      <c r="Q151" s="1" t="str">
        <f t="shared" si="146"/>
        <v/>
      </c>
      <c r="R151" s="1">
        <f t="shared" si="147"/>
        <v>7</v>
      </c>
      <c r="U151" s="1">
        <f t="shared" si="148"/>
        <v>66.40149000000001</v>
      </c>
      <c r="V151" s="1">
        <f t="shared" si="149"/>
        <v>151</v>
      </c>
      <c r="W151" s="1">
        <f t="shared" si="150"/>
        <v>7</v>
      </c>
      <c r="Z151" s="1" t="str">
        <f t="shared" si="151"/>
        <v/>
      </c>
      <c r="AA151" s="1" t="str">
        <f t="shared" si="152"/>
        <v/>
      </c>
      <c r="AB151" s="1">
        <f t="shared" si="153"/>
        <v>7</v>
      </c>
      <c r="AE151" s="1">
        <f t="shared" si="154"/>
        <v>47.601489999999998</v>
      </c>
      <c r="AF151" s="1">
        <f t="shared" si="155"/>
        <v>151</v>
      </c>
      <c r="AG151" s="1">
        <f t="shared" si="156"/>
        <v>7</v>
      </c>
      <c r="AJ151" s="1" t="str">
        <f t="shared" si="157"/>
        <v/>
      </c>
      <c r="AK151" s="1" t="str">
        <f t="shared" si="158"/>
        <v/>
      </c>
      <c r="AL151" s="1">
        <f t="shared" si="159"/>
        <v>7</v>
      </c>
      <c r="AO151" s="1">
        <f t="shared" si="160"/>
        <v>30.301490000000001</v>
      </c>
      <c r="AP151" s="1">
        <f t="shared" si="161"/>
        <v>151</v>
      </c>
      <c r="AQ151" s="1">
        <f t="shared" si="162"/>
        <v>7</v>
      </c>
      <c r="AT151" s="1">
        <f t="shared" si="163"/>
        <v>1.5</v>
      </c>
      <c r="AU151" s="1">
        <f t="shared" si="164"/>
        <v>1.3000000000000007</v>
      </c>
      <c r="AV151" s="1">
        <f t="shared" si="165"/>
        <v>1.6999999999999993</v>
      </c>
      <c r="AW151" s="1">
        <f t="shared" si="166"/>
        <v>4.5</v>
      </c>
      <c r="AX151" s="1">
        <f t="shared" si="167"/>
        <v>1.50149</v>
      </c>
      <c r="BC151" s="1">
        <f t="shared" si="168"/>
        <v>2.8014900000000007</v>
      </c>
      <c r="BD151" s="1">
        <f t="shared" si="169"/>
        <v>56</v>
      </c>
      <c r="BE151" s="1">
        <f t="shared" si="170"/>
        <v>7</v>
      </c>
      <c r="BH151" s="1" t="str">
        <f t="shared" si="171"/>
        <v/>
      </c>
      <c r="BI151" s="1" t="str">
        <f>IF(A151="","",IF(BH151="","",RANK(BH151,$BH$3:$BH301,1)))</f>
        <v/>
      </c>
      <c r="BJ151" s="1">
        <f t="shared" si="172"/>
        <v>7</v>
      </c>
      <c r="BM151" s="1">
        <f t="shared" si="173"/>
        <v>2.7450000000000006</v>
      </c>
      <c r="BN151" s="1">
        <f>IF(A151="","",IF(BM151="","",RANK(BM151,$BM$3:$BM301,1)))</f>
        <v>128</v>
      </c>
      <c r="BO151" s="1">
        <f t="shared" si="174"/>
        <v>7</v>
      </c>
      <c r="BR151" s="1">
        <f t="shared" si="175"/>
        <v>7</v>
      </c>
      <c r="BS151" s="1" t="str">
        <f t="shared" si="176"/>
        <v>サヤカチャン　　　　　　　　　　　　</v>
      </c>
      <c r="CD151" s="1" t="str">
        <f t="shared" si="177"/>
        <v/>
      </c>
      <c r="CE151" s="1" t="str">
        <f>IF(A151="","",IF(CD151="","",RANK(CD151,$CD$3:$CD301,1)))</f>
        <v/>
      </c>
      <c r="CF151" s="1">
        <f t="shared" si="178"/>
        <v>7</v>
      </c>
      <c r="CI151" s="1" t="str">
        <f t="shared" si="179"/>
        <v/>
      </c>
      <c r="CJ151" s="1" t="str">
        <f>IF(A151="","",IF(CI151="","",RANK(CI151,$CI$3:$CI301,1)))</f>
        <v/>
      </c>
      <c r="CK151" s="1">
        <f t="shared" si="180"/>
        <v>7</v>
      </c>
      <c r="CN151" s="1" t="str">
        <f t="shared" si="181"/>
        <v/>
      </c>
      <c r="CO151" s="1" t="str">
        <f>IF(A151="","",IF(CN151="","",RANK(CN151,$CN$3:$CN301,1)))</f>
        <v/>
      </c>
      <c r="CP151" s="1">
        <f t="shared" si="182"/>
        <v>7</v>
      </c>
      <c r="CS151" s="1" t="str">
        <f t="shared" si="183"/>
        <v/>
      </c>
      <c r="CT151" s="1" t="str">
        <f>IF(A151="","",IF(CS151="","",RANK(CS151,$CS$3:$CS301,1)))</f>
        <v/>
      </c>
      <c r="CU151" s="1">
        <f t="shared" si="184"/>
        <v>7</v>
      </c>
      <c r="CX151" s="1" t="str">
        <f t="shared" si="185"/>
        <v/>
      </c>
      <c r="CY151" s="1" t="str">
        <f>IF(CX151="","",IF(A151="","",RANK(CX151,$CX$3:$CX301,1)))</f>
        <v/>
      </c>
      <c r="CZ151" s="1">
        <f t="shared" si="186"/>
        <v>7</v>
      </c>
      <c r="DC151" s="1" t="str">
        <f t="shared" si="187"/>
        <v/>
      </c>
      <c r="DD151" s="1" t="str">
        <f>IF(DC151="","",IF(A151="","",RANK(DC151,$DC$3:$DC301,1)))</f>
        <v/>
      </c>
      <c r="DE151" s="1">
        <f t="shared" si="188"/>
        <v>7</v>
      </c>
      <c r="DH151" s="1" t="str">
        <f t="shared" si="189"/>
        <v/>
      </c>
      <c r="DI151" s="1" t="str">
        <f>IF(DH151="","",IF(A151="","",RANK(DH151,$DH$3:$DH301,1)))</f>
        <v/>
      </c>
      <c r="DJ151" s="1">
        <f t="shared" si="190"/>
        <v>7</v>
      </c>
      <c r="DM151" s="1" t="str">
        <f t="shared" si="191"/>
        <v/>
      </c>
      <c r="DN151" s="1" t="str">
        <f>IF(DM151="","",IF(A151="","",RANK(DM151,$DM$3:$DM301,1)))</f>
        <v/>
      </c>
      <c r="DO151" s="1">
        <f t="shared" si="192"/>
        <v>7</v>
      </c>
      <c r="DR151" s="1">
        <f t="shared" si="193"/>
        <v>18.801490000000001</v>
      </c>
      <c r="DS151" s="1">
        <f>IF(DR151="","",IF(A151="","",RANK(DR151,$DR$3:$DR301,1)))</f>
        <v>145</v>
      </c>
      <c r="DT151" s="1">
        <f t="shared" si="194"/>
        <v>7</v>
      </c>
      <c r="DW151" s="1">
        <f t="shared" si="195"/>
        <v>17.301490000000001</v>
      </c>
      <c r="DX151" s="1">
        <f>IF(DW151="","",IF(A151="","",RANK(DW151,$DW$3:$DW301,1)))</f>
        <v>149</v>
      </c>
      <c r="DY151" s="1">
        <f t="shared" si="196"/>
        <v>7</v>
      </c>
      <c r="EB151" s="1">
        <f t="shared" si="197"/>
        <v>16.00149</v>
      </c>
      <c r="EC151" s="1">
        <f>IF(EB151="","",IF(A151="","",RANK(EB151,$EB$3:$EB301,1)))</f>
        <v>151</v>
      </c>
      <c r="ED151" s="1">
        <f t="shared" si="198"/>
        <v>7</v>
      </c>
      <c r="EG151" s="1">
        <f t="shared" si="199"/>
        <v>14.301490000000001</v>
      </c>
      <c r="EH151" s="1">
        <f>IF(EG151="","",IF(A151="","",RANK(EG151,$EG$3:$EG301,1)))</f>
        <v>149</v>
      </c>
      <c r="EI151" s="1">
        <f t="shared" si="200"/>
        <v>7</v>
      </c>
    </row>
    <row r="152" spans="1:139" ht="18.75">
      <c r="A152" s="1" t="s">
        <v>88</v>
      </c>
      <c r="B152" s="1">
        <v>20190505</v>
      </c>
      <c r="C152" s="1" t="s">
        <v>91</v>
      </c>
      <c r="D152" s="1">
        <v>2</v>
      </c>
      <c r="E152" s="30">
        <v>59.8</v>
      </c>
      <c r="F152" s="30">
        <v>44</v>
      </c>
      <c r="G152" s="30">
        <v>29.1</v>
      </c>
      <c r="H152" s="30">
        <v>14.4</v>
      </c>
      <c r="I152" s="30">
        <v>15.8</v>
      </c>
      <c r="J152" s="30">
        <v>14.9</v>
      </c>
      <c r="K152" s="30">
        <v>14.7</v>
      </c>
      <c r="L152" s="30">
        <v>14.4</v>
      </c>
      <c r="M152" s="1" t="str">
        <f t="shared" si="143"/>
        <v>2019/05/05</v>
      </c>
      <c r="N152" s="4" t="str">
        <f t="shared" si="144"/>
        <v/>
      </c>
      <c r="O152">
        <v>1.5000000000000033E-3</v>
      </c>
      <c r="P152" s="1" t="str">
        <f t="shared" si="145"/>
        <v/>
      </c>
      <c r="Q152" s="1" t="str">
        <f t="shared" si="146"/>
        <v/>
      </c>
      <c r="R152" s="1">
        <f t="shared" si="147"/>
        <v>2</v>
      </c>
      <c r="U152" s="1">
        <f t="shared" si="148"/>
        <v>59.801499999999997</v>
      </c>
      <c r="V152" s="1">
        <f t="shared" si="149"/>
        <v>128</v>
      </c>
      <c r="W152" s="1">
        <f t="shared" si="150"/>
        <v>2</v>
      </c>
      <c r="Z152" s="1" t="str">
        <f t="shared" si="151"/>
        <v/>
      </c>
      <c r="AA152" s="1" t="str">
        <f t="shared" si="152"/>
        <v/>
      </c>
      <c r="AB152" s="1">
        <f t="shared" si="153"/>
        <v>2</v>
      </c>
      <c r="AE152" s="1">
        <f t="shared" si="154"/>
        <v>44.0015</v>
      </c>
      <c r="AF152" s="1">
        <f t="shared" si="155"/>
        <v>138</v>
      </c>
      <c r="AG152" s="1">
        <f t="shared" si="156"/>
        <v>2</v>
      </c>
      <c r="AJ152" s="1" t="str">
        <f t="shared" si="157"/>
        <v/>
      </c>
      <c r="AK152" s="1" t="str">
        <f t="shared" si="158"/>
        <v/>
      </c>
      <c r="AL152" s="1">
        <f t="shared" si="159"/>
        <v>2</v>
      </c>
      <c r="AO152" s="1">
        <f t="shared" si="160"/>
        <v>29.101500000000001</v>
      </c>
      <c r="AP152" s="1">
        <f t="shared" si="161"/>
        <v>145</v>
      </c>
      <c r="AQ152" s="1">
        <f t="shared" si="162"/>
        <v>2</v>
      </c>
      <c r="AT152" s="1">
        <f t="shared" si="163"/>
        <v>0.90000000000000036</v>
      </c>
      <c r="AU152" s="1">
        <f t="shared" si="164"/>
        <v>0.20000000000000107</v>
      </c>
      <c r="AV152" s="1">
        <f t="shared" si="165"/>
        <v>0.29999999999999893</v>
      </c>
      <c r="AW152" s="1">
        <f t="shared" si="166"/>
        <v>1.4000000000000004</v>
      </c>
      <c r="AX152" s="1">
        <f t="shared" si="167"/>
        <v>0.46816666666666679</v>
      </c>
      <c r="BC152" s="1">
        <f t="shared" si="168"/>
        <v>1.1015000000000015</v>
      </c>
      <c r="BD152" s="1">
        <f t="shared" si="169"/>
        <v>141</v>
      </c>
      <c r="BE152" s="1">
        <f t="shared" si="170"/>
        <v>2</v>
      </c>
      <c r="BH152" s="1" t="str">
        <f t="shared" si="171"/>
        <v/>
      </c>
      <c r="BI152" s="1" t="str">
        <f>IF(A152="","",IF(BH152="","",RANK(BH152,$BH$3:$BH302,1)))</f>
        <v/>
      </c>
      <c r="BJ152" s="1">
        <f t="shared" si="172"/>
        <v>2</v>
      </c>
      <c r="BM152" s="1">
        <f t="shared" si="173"/>
        <v>0.2725000000000003</v>
      </c>
      <c r="BN152" s="1">
        <f>IF(A152="","",IF(BM152="","",RANK(BM152,$BM$3:$BM302,1)))</f>
        <v>7</v>
      </c>
      <c r="BO152" s="1">
        <f t="shared" si="174"/>
        <v>2</v>
      </c>
      <c r="BR152" s="1">
        <f t="shared" si="175"/>
        <v>2</v>
      </c>
      <c r="BS152" s="1" t="str">
        <f t="shared" si="176"/>
        <v>フェルトベルク　　　　　　　　　　　</v>
      </c>
      <c r="CD152" s="1" t="str">
        <f t="shared" si="177"/>
        <v/>
      </c>
      <c r="CE152" s="1" t="str">
        <f>IF(A152="","",IF(CD152="","",RANK(CD152,$CD$3:$CD302,1)))</f>
        <v/>
      </c>
      <c r="CF152" s="1">
        <f t="shared" si="178"/>
        <v>2</v>
      </c>
      <c r="CI152" s="1" t="str">
        <f t="shared" si="179"/>
        <v/>
      </c>
      <c r="CJ152" s="1" t="str">
        <f>IF(A152="","",IF(CI152="","",RANK(CI152,$CI$3:$CI302,1)))</f>
        <v/>
      </c>
      <c r="CK152" s="1">
        <f t="shared" si="180"/>
        <v>2</v>
      </c>
      <c r="CN152" s="1" t="str">
        <f t="shared" si="181"/>
        <v/>
      </c>
      <c r="CO152" s="1" t="str">
        <f>IF(A152="","",IF(CN152="","",RANK(CN152,$CN$3:$CN302,1)))</f>
        <v/>
      </c>
      <c r="CP152" s="1">
        <f t="shared" si="182"/>
        <v>2</v>
      </c>
      <c r="CS152" s="1" t="str">
        <f t="shared" si="183"/>
        <v/>
      </c>
      <c r="CT152" s="1" t="str">
        <f>IF(A152="","",IF(CS152="","",RANK(CS152,$CS$3:$CS302,1)))</f>
        <v/>
      </c>
      <c r="CU152" s="1">
        <f t="shared" si="184"/>
        <v>2</v>
      </c>
      <c r="CX152" s="1" t="str">
        <f t="shared" si="185"/>
        <v/>
      </c>
      <c r="CY152" s="1" t="str">
        <f>IF(CX152="","",IF(A152="","",RANK(CX152,$CX$3:$CX302,1)))</f>
        <v/>
      </c>
      <c r="CZ152" s="1">
        <f t="shared" si="186"/>
        <v>2</v>
      </c>
      <c r="DC152" s="1" t="str">
        <f t="shared" si="187"/>
        <v/>
      </c>
      <c r="DD152" s="1" t="str">
        <f>IF(DC152="","",IF(A152="","",RANK(DC152,$DC$3:$DC302,1)))</f>
        <v/>
      </c>
      <c r="DE152" s="1">
        <f t="shared" si="188"/>
        <v>2</v>
      </c>
      <c r="DH152" s="1" t="str">
        <f t="shared" si="189"/>
        <v/>
      </c>
      <c r="DI152" s="1" t="str">
        <f>IF(DH152="","",IF(A152="","",RANK(DH152,$DH$3:$DH302,1)))</f>
        <v/>
      </c>
      <c r="DJ152" s="1">
        <f t="shared" si="190"/>
        <v>2</v>
      </c>
      <c r="DM152" s="1" t="str">
        <f t="shared" si="191"/>
        <v/>
      </c>
      <c r="DN152" s="1" t="str">
        <f>IF(DM152="","",IF(A152="","",RANK(DM152,$DM$3:$DM302,1)))</f>
        <v/>
      </c>
      <c r="DO152" s="1">
        <f t="shared" si="192"/>
        <v>2</v>
      </c>
      <c r="DR152" s="1">
        <f t="shared" si="193"/>
        <v>15.801500000000001</v>
      </c>
      <c r="DS152" s="1">
        <f>IF(DR152="","",IF(A152="","",RANK(DR152,$DR$3:$DR302,1)))</f>
        <v>92</v>
      </c>
      <c r="DT152" s="1">
        <f t="shared" si="194"/>
        <v>2</v>
      </c>
      <c r="DW152" s="1">
        <f t="shared" si="195"/>
        <v>14.9015</v>
      </c>
      <c r="DX152" s="1">
        <f>IF(DW152="","",IF(A152="","",RANK(DW152,$DW$3:$DW302,1)))</f>
        <v>116</v>
      </c>
      <c r="DY152" s="1">
        <f t="shared" si="196"/>
        <v>2</v>
      </c>
      <c r="EB152" s="1">
        <f t="shared" si="197"/>
        <v>14.701499999999999</v>
      </c>
      <c r="EC152" s="1">
        <f>IF(EB152="","",IF(A152="","",RANK(EB152,$EB$3:$EB302,1)))</f>
        <v>142</v>
      </c>
      <c r="ED152" s="1">
        <f t="shared" si="198"/>
        <v>2</v>
      </c>
      <c r="EG152" s="1">
        <f t="shared" si="199"/>
        <v>14.4015</v>
      </c>
      <c r="EH152" s="1">
        <f>IF(EG152="","",IF(A152="","",RANK(EG152,$EG$3:$EG302,1)))</f>
        <v>150</v>
      </c>
      <c r="EI152" s="1">
        <f t="shared" si="200"/>
        <v>2</v>
      </c>
    </row>
    <row r="153" spans="1:139" ht="18.75">
      <c r="A153" s="1" t="s">
        <v>88</v>
      </c>
      <c r="B153" s="1">
        <v>20190519</v>
      </c>
      <c r="C153" s="1" t="s">
        <v>97</v>
      </c>
      <c r="D153" s="1">
        <v>8</v>
      </c>
      <c r="E153" s="30">
        <v>58.4</v>
      </c>
      <c r="F153" s="30">
        <v>43.2</v>
      </c>
      <c r="G153" s="30">
        <v>28.6</v>
      </c>
      <c r="H153" s="30">
        <v>14.4</v>
      </c>
      <c r="I153" s="30">
        <v>15.2</v>
      </c>
      <c r="J153" s="30">
        <v>14.6</v>
      </c>
      <c r="K153" s="30">
        <v>14.2</v>
      </c>
      <c r="L153" s="30">
        <v>14.4</v>
      </c>
      <c r="M153" s="1" t="str">
        <f t="shared" si="143"/>
        <v>2019/05/19</v>
      </c>
      <c r="N153" s="4" t="str">
        <f t="shared" si="144"/>
        <v/>
      </c>
      <c r="O153">
        <v>1.5100000000000033E-3</v>
      </c>
      <c r="P153" s="1" t="str">
        <f t="shared" si="145"/>
        <v/>
      </c>
      <c r="Q153" s="1" t="str">
        <f t="shared" si="146"/>
        <v/>
      </c>
      <c r="R153" s="1">
        <f t="shared" si="147"/>
        <v>8</v>
      </c>
      <c r="U153" s="1">
        <f t="shared" si="148"/>
        <v>58.401510000000002</v>
      </c>
      <c r="V153" s="1">
        <f t="shared" si="149"/>
        <v>118</v>
      </c>
      <c r="W153" s="1">
        <f t="shared" si="150"/>
        <v>8</v>
      </c>
      <c r="Z153" s="1" t="str">
        <f t="shared" si="151"/>
        <v/>
      </c>
      <c r="AA153" s="1" t="str">
        <f t="shared" si="152"/>
        <v/>
      </c>
      <c r="AB153" s="1">
        <f t="shared" si="153"/>
        <v>8</v>
      </c>
      <c r="AE153" s="1">
        <f t="shared" si="154"/>
        <v>43.201510000000006</v>
      </c>
      <c r="AF153" s="1">
        <f t="shared" si="155"/>
        <v>132</v>
      </c>
      <c r="AG153" s="1">
        <f t="shared" si="156"/>
        <v>8</v>
      </c>
      <c r="AJ153" s="1" t="str">
        <f t="shared" si="157"/>
        <v/>
      </c>
      <c r="AK153" s="1" t="str">
        <f t="shared" si="158"/>
        <v/>
      </c>
      <c r="AL153" s="1">
        <f t="shared" si="159"/>
        <v>8</v>
      </c>
      <c r="AO153" s="1">
        <f t="shared" si="160"/>
        <v>28.601510000000001</v>
      </c>
      <c r="AP153" s="1">
        <f t="shared" si="161"/>
        <v>140</v>
      </c>
      <c r="AQ153" s="1">
        <f t="shared" si="162"/>
        <v>8</v>
      </c>
      <c r="AT153" s="1">
        <f t="shared" si="163"/>
        <v>0.59999999999999964</v>
      </c>
      <c r="AU153" s="1">
        <f t="shared" si="164"/>
        <v>0.40000000000000036</v>
      </c>
      <c r="AV153" s="1">
        <f t="shared" si="165"/>
        <v>-0.20000000000000107</v>
      </c>
      <c r="AW153" s="1">
        <f t="shared" si="166"/>
        <v>0.79999999999999893</v>
      </c>
      <c r="AX153" s="1">
        <f t="shared" si="167"/>
        <v>0</v>
      </c>
      <c r="BC153" s="1">
        <f t="shared" si="168"/>
        <v>1.0015099999999999</v>
      </c>
      <c r="BD153" s="1">
        <f t="shared" si="169"/>
        <v>145</v>
      </c>
      <c r="BE153" s="1">
        <f t="shared" si="170"/>
        <v>8</v>
      </c>
      <c r="BH153" s="1" t="str">
        <f t="shared" si="171"/>
        <v/>
      </c>
      <c r="BI153" s="1" t="str">
        <f>IF(A153="","",IF(BH153="","",RANK(BH153,$BH$3:$BH303,1)))</f>
        <v/>
      </c>
      <c r="BJ153" s="1">
        <f t="shared" si="172"/>
        <v>8</v>
      </c>
      <c r="BM153" s="1">
        <f t="shared" si="173"/>
        <v>0.1399999999999999</v>
      </c>
      <c r="BN153" s="1">
        <f>IF(A153="","",IF(BM153="","",RANK(BM153,$BM$3:$BM303,1)))</f>
        <v>1</v>
      </c>
      <c r="BO153" s="1">
        <f t="shared" si="174"/>
        <v>8</v>
      </c>
      <c r="BR153" s="1">
        <f t="shared" si="175"/>
        <v>8</v>
      </c>
      <c r="BS153" s="1" t="str">
        <f t="shared" si="176"/>
        <v>タマモメイトウ　　　　　　　　　　　</v>
      </c>
      <c r="CD153" s="1" t="str">
        <f t="shared" si="177"/>
        <v/>
      </c>
      <c r="CE153" s="1" t="str">
        <f>IF(A153="","",IF(CD153="","",RANK(CD153,$CD$3:$CD303,1)))</f>
        <v/>
      </c>
      <c r="CF153" s="1">
        <f t="shared" si="178"/>
        <v>8</v>
      </c>
      <c r="CI153" s="1" t="str">
        <f t="shared" si="179"/>
        <v/>
      </c>
      <c r="CJ153" s="1" t="str">
        <f>IF(A153="","",IF(CI153="","",RANK(CI153,$CI$3:$CI303,1)))</f>
        <v/>
      </c>
      <c r="CK153" s="1">
        <f t="shared" si="180"/>
        <v>8</v>
      </c>
      <c r="CN153" s="1" t="str">
        <f t="shared" si="181"/>
        <v/>
      </c>
      <c r="CO153" s="1" t="str">
        <f>IF(A153="","",IF(CN153="","",RANK(CN153,$CN$3:$CN303,1)))</f>
        <v/>
      </c>
      <c r="CP153" s="1">
        <f t="shared" si="182"/>
        <v>8</v>
      </c>
      <c r="CS153" s="1" t="str">
        <f t="shared" si="183"/>
        <v/>
      </c>
      <c r="CT153" s="1" t="str">
        <f>IF(A153="","",IF(CS153="","",RANK(CS153,$CS$3:$CS303,1)))</f>
        <v/>
      </c>
      <c r="CU153" s="1">
        <f t="shared" si="184"/>
        <v>8</v>
      </c>
      <c r="CX153" s="1" t="str">
        <f t="shared" si="185"/>
        <v/>
      </c>
      <c r="CY153" s="1" t="str">
        <f>IF(CX153="","",IF(A153="","",RANK(CX153,$CX$3:$CX303,1)))</f>
        <v/>
      </c>
      <c r="CZ153" s="1">
        <f t="shared" si="186"/>
        <v>8</v>
      </c>
      <c r="DC153" s="1" t="str">
        <f t="shared" si="187"/>
        <v/>
      </c>
      <c r="DD153" s="1" t="str">
        <f>IF(DC153="","",IF(A153="","",RANK(DC153,$DC$3:$DC303,1)))</f>
        <v/>
      </c>
      <c r="DE153" s="1">
        <f t="shared" si="188"/>
        <v>8</v>
      </c>
      <c r="DH153" s="1" t="str">
        <f t="shared" si="189"/>
        <v/>
      </c>
      <c r="DI153" s="1" t="str">
        <f>IF(DH153="","",IF(A153="","",RANK(DH153,$DH$3:$DH303,1)))</f>
        <v/>
      </c>
      <c r="DJ153" s="1">
        <f t="shared" si="190"/>
        <v>8</v>
      </c>
      <c r="DM153" s="1" t="str">
        <f t="shared" si="191"/>
        <v/>
      </c>
      <c r="DN153" s="1" t="str">
        <f>IF(DM153="","",IF(A153="","",RANK(DM153,$DM$3:$DM303,1)))</f>
        <v/>
      </c>
      <c r="DO153" s="1">
        <f t="shared" si="192"/>
        <v>8</v>
      </c>
      <c r="DR153" s="1">
        <f t="shared" si="193"/>
        <v>15.201509999999999</v>
      </c>
      <c r="DS153" s="1">
        <f>IF(DR153="","",IF(A153="","",RANK(DR153,$DR$3:$DR303,1)))</f>
        <v>59</v>
      </c>
      <c r="DT153" s="1">
        <f t="shared" si="194"/>
        <v>8</v>
      </c>
      <c r="DW153" s="1">
        <f t="shared" si="195"/>
        <v>14.601509999999999</v>
      </c>
      <c r="DX153" s="1">
        <f>IF(DW153="","",IF(A153="","",RANK(DW153,$DW$3:$DW303,1)))</f>
        <v>109</v>
      </c>
      <c r="DY153" s="1">
        <f t="shared" si="196"/>
        <v>8</v>
      </c>
      <c r="EB153" s="1">
        <f t="shared" si="197"/>
        <v>14.201509999999999</v>
      </c>
      <c r="EC153" s="1">
        <f>IF(EB153="","",IF(A153="","",RANK(EB153,$EB$3:$EB303,1)))</f>
        <v>129</v>
      </c>
      <c r="ED153" s="1">
        <f t="shared" si="198"/>
        <v>8</v>
      </c>
      <c r="EG153" s="1">
        <f t="shared" si="199"/>
        <v>14.40151</v>
      </c>
      <c r="EH153" s="1">
        <f>IF(EG153="","",IF(A153="","",RANK(EG153,$EG$3:$EG303,1)))</f>
        <v>151</v>
      </c>
      <c r="EI153" s="1">
        <f t="shared" si="200"/>
        <v>8</v>
      </c>
    </row>
    <row r="154" spans="1:139">
      <c r="A154" s="1" t="s">
        <v>88</v>
      </c>
      <c r="B154" s="1">
        <v>20190526</v>
      </c>
      <c r="C154" s="1" t="s">
        <v>92</v>
      </c>
      <c r="D154" s="1">
        <v>3</v>
      </c>
      <c r="E154" s="30">
        <v>63.8</v>
      </c>
      <c r="F154" s="30">
        <v>45.9</v>
      </c>
      <c r="G154" s="30">
        <v>29.9</v>
      </c>
      <c r="H154" s="30">
        <v>14.4</v>
      </c>
      <c r="I154" s="30">
        <v>17.899999999999999</v>
      </c>
      <c r="J154" s="30">
        <v>16</v>
      </c>
      <c r="K154" s="30">
        <v>15.5</v>
      </c>
      <c r="L154" s="30">
        <v>14.4</v>
      </c>
      <c r="N154" s="4"/>
      <c r="BR154" s="1">
        <f t="shared" si="175"/>
        <v>3</v>
      </c>
      <c r="BS154" s="1" t="str">
        <f t="shared" si="176"/>
        <v>ディアボレット　　　　　　　　　　　</v>
      </c>
    </row>
    <row r="155" spans="1:139">
      <c r="A155" s="1" t="s">
        <v>88</v>
      </c>
      <c r="B155" s="1">
        <v>20190630</v>
      </c>
      <c r="C155" s="1" t="s">
        <v>94</v>
      </c>
      <c r="D155" s="1">
        <v>5</v>
      </c>
      <c r="E155" s="30">
        <v>58.9</v>
      </c>
      <c r="F155" s="30">
        <v>43.4</v>
      </c>
      <c r="G155" s="30">
        <v>28.9</v>
      </c>
      <c r="H155" s="30">
        <v>14.4</v>
      </c>
      <c r="I155" s="30">
        <v>15.5</v>
      </c>
      <c r="J155" s="30">
        <v>14.5</v>
      </c>
      <c r="K155" s="30">
        <v>14.5</v>
      </c>
      <c r="L155" s="30">
        <v>14.4</v>
      </c>
      <c r="N155" s="4"/>
      <c r="BR155" s="1">
        <f t="shared" si="175"/>
        <v>5</v>
      </c>
      <c r="BS155" s="1" t="str">
        <f t="shared" si="176"/>
        <v>シグナライズ　　　　　　　　　　　　</v>
      </c>
    </row>
    <row r="156" spans="1:139">
      <c r="A156" s="1" t="s">
        <v>88</v>
      </c>
      <c r="B156" s="1">
        <v>20190712</v>
      </c>
      <c r="C156" s="1" t="s">
        <v>95</v>
      </c>
      <c r="D156" s="1">
        <v>6</v>
      </c>
      <c r="E156" s="30">
        <v>60</v>
      </c>
      <c r="F156" s="30">
        <v>44.3</v>
      </c>
      <c r="G156" s="30">
        <v>29.1</v>
      </c>
      <c r="H156" s="30">
        <v>14.4</v>
      </c>
      <c r="I156" s="30">
        <v>15.7</v>
      </c>
      <c r="J156" s="30">
        <v>15.2</v>
      </c>
      <c r="K156" s="30">
        <v>14.7</v>
      </c>
      <c r="L156" s="30">
        <v>14.4</v>
      </c>
      <c r="N156" s="4"/>
      <c r="BR156" s="1">
        <f t="shared" si="175"/>
        <v>6</v>
      </c>
      <c r="BS156" s="1" t="str">
        <f t="shared" si="176"/>
        <v>ミカエルシチー　　　　　　　　　　　</v>
      </c>
    </row>
    <row r="157" spans="1:139">
      <c r="A157" s="1" t="s">
        <v>88</v>
      </c>
      <c r="B157" s="1">
        <v>20190305</v>
      </c>
      <c r="C157" s="1" t="s">
        <v>92</v>
      </c>
      <c r="D157" s="1">
        <v>3</v>
      </c>
      <c r="E157" s="30">
        <v>63.6</v>
      </c>
      <c r="F157" s="30">
        <v>45.8</v>
      </c>
      <c r="G157" s="30">
        <v>29.8</v>
      </c>
      <c r="H157" s="30">
        <v>14.5</v>
      </c>
      <c r="I157" s="30">
        <v>17.8</v>
      </c>
      <c r="J157" s="30">
        <v>16</v>
      </c>
      <c r="K157" s="30">
        <v>15.3</v>
      </c>
      <c r="L157" s="30">
        <v>14.5</v>
      </c>
      <c r="N157" s="4"/>
      <c r="BR157" s="1">
        <f t="shared" si="175"/>
        <v>3</v>
      </c>
      <c r="BS157" s="1" t="str">
        <f t="shared" si="176"/>
        <v>ディアボレット　　　　　　　　　　　</v>
      </c>
    </row>
    <row r="158" spans="1:139">
      <c r="A158" s="1" t="s">
        <v>88</v>
      </c>
      <c r="B158" s="1">
        <v>20190305</v>
      </c>
      <c r="C158" s="1" t="s">
        <v>94</v>
      </c>
      <c r="D158" s="1">
        <v>5</v>
      </c>
      <c r="E158" s="30">
        <v>60.3</v>
      </c>
      <c r="F158" s="30">
        <v>44.5</v>
      </c>
      <c r="G158" s="30">
        <v>29</v>
      </c>
      <c r="H158" s="30">
        <v>14.5</v>
      </c>
      <c r="I158" s="30">
        <v>15.8</v>
      </c>
      <c r="J158" s="30">
        <v>15.5</v>
      </c>
      <c r="K158" s="30">
        <v>14.5</v>
      </c>
      <c r="L158" s="30">
        <v>14.5</v>
      </c>
      <c r="N158" s="4"/>
      <c r="BR158" s="1">
        <f t="shared" si="175"/>
        <v>5</v>
      </c>
      <c r="BS158" s="1" t="str">
        <f t="shared" si="176"/>
        <v>シグナライズ　　　　　　　　　　　　</v>
      </c>
    </row>
    <row r="159" spans="1:139">
      <c r="A159" s="1" t="s">
        <v>88</v>
      </c>
      <c r="B159" s="1">
        <v>20190322</v>
      </c>
      <c r="C159" s="1" t="s">
        <v>91</v>
      </c>
      <c r="D159" s="1">
        <v>2</v>
      </c>
      <c r="E159" s="30">
        <v>62.1</v>
      </c>
      <c r="F159" s="30">
        <v>45.4</v>
      </c>
      <c r="G159" s="30">
        <v>29.6</v>
      </c>
      <c r="H159" s="30">
        <v>14.5</v>
      </c>
      <c r="I159" s="30">
        <v>16.7</v>
      </c>
      <c r="J159" s="30">
        <v>15.8</v>
      </c>
      <c r="K159" s="30">
        <v>15.1</v>
      </c>
      <c r="L159" s="30">
        <v>14.5</v>
      </c>
      <c r="N159" s="4"/>
      <c r="BR159" s="1">
        <f t="shared" si="175"/>
        <v>2</v>
      </c>
      <c r="BS159" s="1" t="str">
        <f t="shared" si="176"/>
        <v>フェルトベルク　　　　　　　　　　　</v>
      </c>
    </row>
    <row r="160" spans="1:139">
      <c r="A160" s="1" t="s">
        <v>88</v>
      </c>
      <c r="B160" s="1">
        <v>20190428</v>
      </c>
      <c r="C160" s="1" t="s">
        <v>92</v>
      </c>
      <c r="D160" s="1">
        <v>3</v>
      </c>
      <c r="E160" s="30">
        <v>60.7</v>
      </c>
      <c r="F160" s="30">
        <v>44</v>
      </c>
      <c r="G160" s="30">
        <v>29.2</v>
      </c>
      <c r="H160" s="30">
        <v>14.5</v>
      </c>
      <c r="I160" s="30">
        <v>16.7</v>
      </c>
      <c r="J160" s="30">
        <v>14.8</v>
      </c>
      <c r="K160" s="30">
        <v>14.7</v>
      </c>
      <c r="L160" s="30">
        <v>14.5</v>
      </c>
      <c r="N160" s="4"/>
      <c r="BR160" s="1">
        <f t="shared" si="175"/>
        <v>3</v>
      </c>
      <c r="BS160" s="1" t="str">
        <f t="shared" si="176"/>
        <v>ディアボレット　　　　　　　　　　　</v>
      </c>
    </row>
    <row r="161" spans="1:71">
      <c r="A161" s="1" t="s">
        <v>88</v>
      </c>
      <c r="B161" s="1">
        <v>20190519</v>
      </c>
      <c r="C161" s="1" t="s">
        <v>91</v>
      </c>
      <c r="D161" s="1">
        <v>2</v>
      </c>
      <c r="E161" s="30">
        <v>60.2</v>
      </c>
      <c r="F161" s="30">
        <v>43.9</v>
      </c>
      <c r="G161" s="30">
        <v>29.3</v>
      </c>
      <c r="H161" s="30">
        <v>14.5</v>
      </c>
      <c r="I161" s="30">
        <v>16.3</v>
      </c>
      <c r="J161" s="30">
        <v>14.6</v>
      </c>
      <c r="K161" s="30">
        <v>14.8</v>
      </c>
      <c r="L161" s="30">
        <v>14.5</v>
      </c>
      <c r="N161" s="4"/>
      <c r="BR161" s="1">
        <f t="shared" si="175"/>
        <v>2</v>
      </c>
      <c r="BS161" s="1" t="str">
        <f t="shared" si="176"/>
        <v>フェルトベルク　　　　　　　　　　　</v>
      </c>
    </row>
    <row r="162" spans="1:71">
      <c r="A162" s="1" t="s">
        <v>88</v>
      </c>
      <c r="B162" s="1">
        <v>20190614</v>
      </c>
      <c r="C162" s="1" t="s">
        <v>91</v>
      </c>
      <c r="D162" s="1">
        <v>2</v>
      </c>
      <c r="E162" s="30">
        <v>60.8</v>
      </c>
      <c r="F162" s="30">
        <v>45.3</v>
      </c>
      <c r="G162" s="30">
        <v>30</v>
      </c>
      <c r="H162" s="30">
        <v>14.5</v>
      </c>
      <c r="I162" s="30">
        <v>15.5</v>
      </c>
      <c r="J162" s="30">
        <v>15.3</v>
      </c>
      <c r="K162" s="30">
        <v>15.5</v>
      </c>
      <c r="L162" s="30">
        <v>14.5</v>
      </c>
      <c r="N162" s="4"/>
      <c r="BR162" s="1">
        <f t="shared" si="175"/>
        <v>2</v>
      </c>
      <c r="BS162" s="1" t="str">
        <f t="shared" si="176"/>
        <v>フェルトベルク　　　　　　　　　　　</v>
      </c>
    </row>
    <row r="163" spans="1:71">
      <c r="A163" s="1" t="s">
        <v>88</v>
      </c>
      <c r="B163" s="1">
        <v>20190322</v>
      </c>
      <c r="C163" s="1" t="s">
        <v>96</v>
      </c>
      <c r="D163" s="1">
        <v>7</v>
      </c>
      <c r="E163" s="30">
        <v>68.7</v>
      </c>
      <c r="F163" s="30">
        <v>48.7</v>
      </c>
      <c r="G163" s="30">
        <v>30.9</v>
      </c>
      <c r="H163" s="30">
        <v>14.6</v>
      </c>
      <c r="I163" s="30">
        <v>20</v>
      </c>
      <c r="J163" s="30">
        <v>17.8</v>
      </c>
      <c r="K163" s="30">
        <v>16.3</v>
      </c>
      <c r="L163" s="30">
        <v>14.6</v>
      </c>
      <c r="N163" s="4"/>
      <c r="BR163" s="1">
        <f t="shared" si="175"/>
        <v>7</v>
      </c>
      <c r="BS163" s="1" t="str">
        <f t="shared" si="176"/>
        <v>サヤカチャン　　　　　　　　　　　　</v>
      </c>
    </row>
    <row r="164" spans="1:71">
      <c r="A164" s="1" t="s">
        <v>88</v>
      </c>
      <c r="B164" s="1">
        <v>20190427</v>
      </c>
      <c r="C164" s="1" t="s">
        <v>91</v>
      </c>
      <c r="D164" s="1">
        <v>2</v>
      </c>
      <c r="E164" s="30">
        <v>61.1</v>
      </c>
      <c r="F164" s="30">
        <v>44.8</v>
      </c>
      <c r="G164" s="30">
        <v>28.8</v>
      </c>
      <c r="H164" s="30">
        <v>14.6</v>
      </c>
      <c r="I164" s="30">
        <v>16.3</v>
      </c>
      <c r="J164" s="30">
        <v>16</v>
      </c>
      <c r="K164" s="30">
        <v>14.2</v>
      </c>
      <c r="L164" s="30">
        <v>14.6</v>
      </c>
      <c r="N164" s="4"/>
      <c r="BR164" s="1">
        <f t="shared" si="175"/>
        <v>2</v>
      </c>
      <c r="BS164" s="1" t="str">
        <f t="shared" si="176"/>
        <v>フェルトベルク　　　　　　　　　　　</v>
      </c>
    </row>
    <row r="165" spans="1:71">
      <c r="A165" s="1" t="s">
        <v>88</v>
      </c>
      <c r="B165" s="1">
        <v>20190607</v>
      </c>
      <c r="C165" s="1" t="s">
        <v>95</v>
      </c>
      <c r="D165" s="1">
        <v>6</v>
      </c>
      <c r="E165" s="30">
        <v>64.7</v>
      </c>
      <c r="F165" s="30">
        <v>46.5</v>
      </c>
      <c r="G165" s="30">
        <v>30.1</v>
      </c>
      <c r="H165" s="30">
        <v>14.6</v>
      </c>
      <c r="I165" s="30">
        <v>18.2</v>
      </c>
      <c r="J165" s="30">
        <v>16.399999999999999</v>
      </c>
      <c r="K165" s="30">
        <v>15.5</v>
      </c>
      <c r="L165" s="30">
        <v>14.6</v>
      </c>
      <c r="N165" s="4"/>
      <c r="BR165" s="1">
        <f t="shared" si="175"/>
        <v>6</v>
      </c>
      <c r="BS165" s="1" t="str">
        <f t="shared" si="176"/>
        <v>ミカエルシチー　　　　　　　　　　　</v>
      </c>
    </row>
    <row r="166" spans="1:71">
      <c r="A166" s="1" t="s">
        <v>88</v>
      </c>
      <c r="B166" s="1">
        <v>20190616</v>
      </c>
      <c r="C166" s="1" t="s">
        <v>96</v>
      </c>
      <c r="D166" s="1">
        <v>7</v>
      </c>
      <c r="E166" s="30">
        <v>71.2</v>
      </c>
      <c r="F166" s="30">
        <v>50.6</v>
      </c>
      <c r="G166" s="30">
        <v>31.9</v>
      </c>
      <c r="H166" s="30">
        <v>14.6</v>
      </c>
      <c r="I166" s="30">
        <v>20.6</v>
      </c>
      <c r="J166" s="30">
        <v>18.7</v>
      </c>
      <c r="K166" s="30">
        <v>17.3</v>
      </c>
      <c r="L166" s="30">
        <v>14.6</v>
      </c>
      <c r="N166" s="4"/>
      <c r="BR166" s="1">
        <f t="shared" si="175"/>
        <v>7</v>
      </c>
      <c r="BS166" s="1" t="str">
        <f t="shared" si="176"/>
        <v>サヤカチャン　　　　　　　　　　　　</v>
      </c>
    </row>
    <row r="167" spans="1:71">
      <c r="A167" s="1" t="s">
        <v>88</v>
      </c>
      <c r="B167" s="1">
        <v>20190630</v>
      </c>
      <c r="C167" s="1" t="s">
        <v>99</v>
      </c>
      <c r="D167" s="1">
        <v>10</v>
      </c>
      <c r="E167" s="30">
        <v>63</v>
      </c>
      <c r="F167" s="30">
        <v>46.4</v>
      </c>
      <c r="G167" s="30">
        <v>30.3</v>
      </c>
      <c r="H167" s="30">
        <v>14.6</v>
      </c>
      <c r="I167" s="30">
        <v>16.600000000000001</v>
      </c>
      <c r="J167" s="30">
        <v>16.100000000000001</v>
      </c>
      <c r="K167" s="30">
        <v>15.7</v>
      </c>
      <c r="L167" s="30">
        <v>14.6</v>
      </c>
      <c r="N167" s="4"/>
      <c r="BR167" s="1">
        <f t="shared" si="175"/>
        <v>10</v>
      </c>
      <c r="BS167" s="1" t="str">
        <f t="shared" si="176"/>
        <v>コンパウンダー　　　　　　　　　　　</v>
      </c>
    </row>
    <row r="168" spans="1:71">
      <c r="A168" s="1" t="s">
        <v>88</v>
      </c>
      <c r="B168" s="1">
        <v>20190202</v>
      </c>
      <c r="C168" s="1" t="s">
        <v>99</v>
      </c>
      <c r="D168" s="1">
        <v>10</v>
      </c>
      <c r="E168" s="30">
        <v>59.9</v>
      </c>
      <c r="F168" s="30">
        <v>44.3</v>
      </c>
      <c r="G168" s="30">
        <v>29.5</v>
      </c>
      <c r="H168" s="30">
        <v>14.7</v>
      </c>
      <c r="I168" s="30">
        <v>15.6</v>
      </c>
      <c r="J168" s="30">
        <v>14.8</v>
      </c>
      <c r="K168" s="30">
        <v>14.8</v>
      </c>
      <c r="L168" s="30">
        <v>14.7</v>
      </c>
      <c r="N168" s="4"/>
      <c r="BR168" s="1">
        <f t="shared" si="175"/>
        <v>10</v>
      </c>
      <c r="BS168" s="1" t="str">
        <f t="shared" si="176"/>
        <v>コンパウンダー　　　　　　　　　　　</v>
      </c>
    </row>
    <row r="169" spans="1:71">
      <c r="A169" s="1" t="s">
        <v>88</v>
      </c>
      <c r="B169" s="1">
        <v>20190505</v>
      </c>
      <c r="C169" s="1" t="s">
        <v>92</v>
      </c>
      <c r="D169" s="1">
        <v>3</v>
      </c>
      <c r="E169" s="30">
        <v>61.9</v>
      </c>
      <c r="F169" s="30">
        <v>45</v>
      </c>
      <c r="G169" s="30">
        <v>29.8</v>
      </c>
      <c r="H169" s="30">
        <v>14.7</v>
      </c>
      <c r="I169" s="30">
        <v>16.899999999999999</v>
      </c>
      <c r="J169" s="30">
        <v>15.2</v>
      </c>
      <c r="K169" s="30">
        <v>15.1</v>
      </c>
      <c r="L169" s="30">
        <v>14.7</v>
      </c>
      <c r="N169" s="4"/>
      <c r="BR169" s="1">
        <f t="shared" si="175"/>
        <v>3</v>
      </c>
      <c r="BS169" s="1" t="str">
        <f t="shared" si="176"/>
        <v>ディアボレット　　　　　　　　　　　</v>
      </c>
    </row>
    <row r="170" spans="1:71">
      <c r="A170" s="1" t="s">
        <v>88</v>
      </c>
      <c r="B170" s="1">
        <v>20190602</v>
      </c>
      <c r="C170" s="1" t="s">
        <v>99</v>
      </c>
      <c r="D170" s="1">
        <v>10</v>
      </c>
      <c r="E170" s="30">
        <v>58.8</v>
      </c>
      <c r="F170" s="30">
        <v>43.9</v>
      </c>
      <c r="G170" s="30">
        <v>29.3</v>
      </c>
      <c r="H170" s="30">
        <v>14.7</v>
      </c>
      <c r="I170" s="30">
        <v>14.9</v>
      </c>
      <c r="J170" s="30">
        <v>14.6</v>
      </c>
      <c r="K170" s="30">
        <v>14.6</v>
      </c>
      <c r="L170" s="30">
        <v>14.7</v>
      </c>
      <c r="N170" s="4"/>
      <c r="BR170" s="1">
        <f t="shared" si="175"/>
        <v>10</v>
      </c>
      <c r="BS170" s="1" t="str">
        <f t="shared" si="176"/>
        <v>コンパウンダー　　　　　　　　　　　</v>
      </c>
    </row>
    <row r="171" spans="1:71">
      <c r="A171" s="1" t="s">
        <v>88</v>
      </c>
      <c r="B171" s="1">
        <v>20190602</v>
      </c>
      <c r="C171" s="1" t="s">
        <v>99</v>
      </c>
      <c r="D171" s="1">
        <v>10</v>
      </c>
      <c r="E171" s="30">
        <v>58.8</v>
      </c>
      <c r="F171" s="30">
        <v>43.9</v>
      </c>
      <c r="G171" s="30">
        <v>29.3</v>
      </c>
      <c r="H171" s="30">
        <v>14.7</v>
      </c>
      <c r="I171" s="30">
        <v>14.9</v>
      </c>
      <c r="J171" s="30">
        <v>14.6</v>
      </c>
      <c r="K171" s="30">
        <v>14.6</v>
      </c>
      <c r="L171" s="30">
        <v>14.7</v>
      </c>
      <c r="N171" s="4"/>
      <c r="BR171" s="1">
        <f t="shared" si="175"/>
        <v>10</v>
      </c>
      <c r="BS171" s="1" t="str">
        <f t="shared" si="176"/>
        <v>コンパウンダー　　　　　　　　　　　</v>
      </c>
    </row>
    <row r="172" spans="1:71">
      <c r="A172" s="1" t="s">
        <v>88</v>
      </c>
      <c r="B172" s="1">
        <v>20190614</v>
      </c>
      <c r="C172" s="1" t="s">
        <v>92</v>
      </c>
      <c r="D172" s="1">
        <v>3</v>
      </c>
      <c r="E172" s="30">
        <v>63.5</v>
      </c>
      <c r="F172" s="30">
        <v>46.2</v>
      </c>
      <c r="G172" s="30">
        <v>30.3</v>
      </c>
      <c r="H172" s="30">
        <v>14.7</v>
      </c>
      <c r="I172" s="30">
        <v>17.3</v>
      </c>
      <c r="J172" s="30">
        <v>15.9</v>
      </c>
      <c r="K172" s="30">
        <v>15.6</v>
      </c>
      <c r="L172" s="30">
        <v>14.7</v>
      </c>
      <c r="N172" s="4"/>
      <c r="BR172" s="1">
        <f t="shared" si="175"/>
        <v>3</v>
      </c>
      <c r="BS172" s="1" t="str">
        <f t="shared" si="176"/>
        <v>ディアボレット　　　　　　　　　　　</v>
      </c>
    </row>
    <row r="173" spans="1:71">
      <c r="A173" s="1" t="s">
        <v>88</v>
      </c>
      <c r="B173" s="1">
        <v>20190319</v>
      </c>
      <c r="C173" s="1" t="s">
        <v>91</v>
      </c>
      <c r="D173" s="1">
        <v>2</v>
      </c>
      <c r="E173" s="30">
        <v>62.7</v>
      </c>
      <c r="F173" s="30">
        <v>46.2</v>
      </c>
      <c r="G173" s="30">
        <v>30.4</v>
      </c>
      <c r="H173" s="30">
        <v>14.8</v>
      </c>
      <c r="I173" s="30">
        <v>16.5</v>
      </c>
      <c r="J173" s="30">
        <v>15.8</v>
      </c>
      <c r="K173" s="30">
        <v>15.6</v>
      </c>
      <c r="L173" s="30">
        <v>14.8</v>
      </c>
      <c r="N173" s="4"/>
      <c r="BR173" s="1">
        <f t="shared" si="175"/>
        <v>2</v>
      </c>
      <c r="BS173" s="1" t="str">
        <f t="shared" si="176"/>
        <v>フェルトベルク　　　　　　　　　　　</v>
      </c>
    </row>
    <row r="174" spans="1:71">
      <c r="A174" s="1" t="s">
        <v>88</v>
      </c>
      <c r="B174" s="1">
        <v>20190329</v>
      </c>
      <c r="C174" s="1" t="s">
        <v>91</v>
      </c>
      <c r="D174" s="1">
        <v>2</v>
      </c>
      <c r="E174" s="30">
        <v>63.5</v>
      </c>
      <c r="F174" s="30">
        <v>45.7</v>
      </c>
      <c r="G174" s="30">
        <v>29.9</v>
      </c>
      <c r="H174" s="30">
        <v>14.8</v>
      </c>
      <c r="I174" s="30">
        <v>17.8</v>
      </c>
      <c r="J174" s="30">
        <v>15.8</v>
      </c>
      <c r="K174" s="30">
        <v>15.1</v>
      </c>
      <c r="L174" s="30">
        <v>14.8</v>
      </c>
      <c r="N174" s="4"/>
      <c r="BR174" s="1">
        <f t="shared" si="175"/>
        <v>2</v>
      </c>
      <c r="BS174" s="1" t="str">
        <f t="shared" si="176"/>
        <v>フェルトベルク　　　　　　　　　　　</v>
      </c>
    </row>
    <row r="175" spans="1:71">
      <c r="A175" s="1" t="s">
        <v>88</v>
      </c>
      <c r="B175" s="1">
        <v>20190519</v>
      </c>
      <c r="C175" s="1" t="s">
        <v>92</v>
      </c>
      <c r="D175" s="1">
        <v>3</v>
      </c>
      <c r="E175" s="30">
        <v>68.5</v>
      </c>
      <c r="F175" s="30">
        <v>48.8</v>
      </c>
      <c r="G175" s="30">
        <v>31.6</v>
      </c>
      <c r="H175" s="30">
        <v>14.8</v>
      </c>
      <c r="I175" s="30">
        <v>19.7</v>
      </c>
      <c r="J175" s="30">
        <v>17.2</v>
      </c>
      <c r="K175" s="30">
        <v>16.8</v>
      </c>
      <c r="L175" s="30">
        <v>14.8</v>
      </c>
      <c r="N175" s="4"/>
      <c r="BR175" s="1">
        <f t="shared" si="175"/>
        <v>3</v>
      </c>
      <c r="BS175" s="1" t="str">
        <f t="shared" si="176"/>
        <v>ディアボレット　　　　　　　　　　　</v>
      </c>
    </row>
    <row r="176" spans="1:71">
      <c r="A176" s="1" t="s">
        <v>88</v>
      </c>
      <c r="B176" s="1">
        <v>20190611</v>
      </c>
      <c r="C176" s="1" t="s">
        <v>91</v>
      </c>
      <c r="D176" s="1">
        <v>2</v>
      </c>
      <c r="E176" s="30">
        <v>60.1</v>
      </c>
      <c r="F176" s="30">
        <v>44.6</v>
      </c>
      <c r="G176" s="30">
        <v>29.9</v>
      </c>
      <c r="H176" s="30">
        <v>14.8</v>
      </c>
      <c r="I176" s="30">
        <v>15.5</v>
      </c>
      <c r="J176" s="30">
        <v>14.7</v>
      </c>
      <c r="K176" s="30">
        <v>15.1</v>
      </c>
      <c r="L176" s="30">
        <v>14.8</v>
      </c>
      <c r="N176" s="4"/>
      <c r="BR176" s="1">
        <f t="shared" si="175"/>
        <v>2</v>
      </c>
      <c r="BS176" s="1" t="str">
        <f t="shared" si="176"/>
        <v>フェルトベルク　　　　　　　　　　　</v>
      </c>
    </row>
    <row r="177" spans="1:71">
      <c r="A177" s="1" t="s">
        <v>88</v>
      </c>
      <c r="B177" s="1">
        <v>20190611</v>
      </c>
      <c r="C177" s="1" t="s">
        <v>99</v>
      </c>
      <c r="D177" s="1">
        <v>10</v>
      </c>
      <c r="E177" s="30">
        <v>59.3</v>
      </c>
      <c r="F177" s="30">
        <v>44.3</v>
      </c>
      <c r="G177" s="30">
        <v>29.6</v>
      </c>
      <c r="H177" s="30">
        <v>14.8</v>
      </c>
      <c r="I177" s="30">
        <v>15</v>
      </c>
      <c r="J177" s="30">
        <v>14.7</v>
      </c>
      <c r="K177" s="30">
        <v>14.8</v>
      </c>
      <c r="L177" s="30">
        <v>14.8</v>
      </c>
      <c r="N177" s="4"/>
      <c r="BR177" s="1">
        <f t="shared" si="175"/>
        <v>10</v>
      </c>
      <c r="BS177" s="1" t="str">
        <f t="shared" si="176"/>
        <v>コンパウンダー　　　　　　　　　　　</v>
      </c>
    </row>
    <row r="178" spans="1:71">
      <c r="A178" s="1" t="s">
        <v>88</v>
      </c>
      <c r="B178" s="1">
        <v>20190625</v>
      </c>
      <c r="C178" s="1" t="s">
        <v>91</v>
      </c>
      <c r="D178" s="1">
        <v>2</v>
      </c>
      <c r="E178" s="30">
        <v>61.7</v>
      </c>
      <c r="F178" s="30">
        <v>45.1</v>
      </c>
      <c r="G178" s="30">
        <v>29.8</v>
      </c>
      <c r="H178" s="30">
        <v>14.8</v>
      </c>
      <c r="I178" s="30">
        <v>16.600000000000001</v>
      </c>
      <c r="J178" s="30">
        <v>15.3</v>
      </c>
      <c r="K178" s="30">
        <v>15</v>
      </c>
      <c r="L178" s="30">
        <v>14.8</v>
      </c>
      <c r="N178" s="4"/>
      <c r="BR178" s="1">
        <f t="shared" si="175"/>
        <v>2</v>
      </c>
      <c r="BS178" s="1" t="str">
        <f t="shared" si="176"/>
        <v>フェルトベルク　　　　　　　　　　　</v>
      </c>
    </row>
    <row r="179" spans="1:71">
      <c r="A179" s="1" t="s">
        <v>88</v>
      </c>
      <c r="B179" s="1">
        <v>20190702</v>
      </c>
      <c r="C179" s="1" t="s">
        <v>92</v>
      </c>
      <c r="D179" s="1">
        <v>3</v>
      </c>
      <c r="E179" s="30">
        <v>63.3</v>
      </c>
      <c r="F179" s="30">
        <v>45.5</v>
      </c>
      <c r="G179" s="30">
        <v>29.8</v>
      </c>
      <c r="H179" s="30">
        <v>14.8</v>
      </c>
      <c r="I179" s="30">
        <v>17.8</v>
      </c>
      <c r="J179" s="30">
        <v>15.7</v>
      </c>
      <c r="K179" s="30">
        <v>15</v>
      </c>
      <c r="L179" s="30">
        <v>14.8</v>
      </c>
      <c r="N179" s="4"/>
      <c r="BR179" s="1">
        <f t="shared" si="175"/>
        <v>3</v>
      </c>
      <c r="BS179" s="1" t="str">
        <f t="shared" si="176"/>
        <v>ディアボレット　　　　　　　　　　　</v>
      </c>
    </row>
    <row r="180" spans="1:71">
      <c r="A180" s="1" t="s">
        <v>88</v>
      </c>
      <c r="B180" s="1">
        <v>20190122</v>
      </c>
      <c r="C180" s="1" t="s">
        <v>97</v>
      </c>
      <c r="D180" s="1">
        <v>8</v>
      </c>
      <c r="E180" s="30">
        <v>62.3</v>
      </c>
      <c r="F180" s="30">
        <v>46.2</v>
      </c>
      <c r="G180" s="30">
        <v>29.8</v>
      </c>
      <c r="H180" s="30">
        <v>14.9</v>
      </c>
      <c r="I180" s="30">
        <v>16.100000000000001</v>
      </c>
      <c r="J180" s="30">
        <v>16.399999999999999</v>
      </c>
      <c r="K180" s="30">
        <v>14.9</v>
      </c>
      <c r="L180" s="30">
        <v>14.9</v>
      </c>
      <c r="N180" s="4"/>
      <c r="BR180" s="1">
        <f t="shared" si="175"/>
        <v>8</v>
      </c>
      <c r="BS180" s="1" t="str">
        <f t="shared" si="176"/>
        <v>タマモメイトウ　　　　　　　　　　　</v>
      </c>
    </row>
    <row r="181" spans="1:71">
      <c r="A181" s="1" t="s">
        <v>88</v>
      </c>
      <c r="B181" s="1">
        <v>20190413</v>
      </c>
      <c r="C181" s="1" t="s">
        <v>91</v>
      </c>
      <c r="D181" s="1">
        <v>2</v>
      </c>
      <c r="E181" s="30">
        <v>61.7</v>
      </c>
      <c r="F181" s="30">
        <v>45</v>
      </c>
      <c r="G181" s="30">
        <v>29.8</v>
      </c>
      <c r="H181" s="30">
        <v>14.9</v>
      </c>
      <c r="I181" s="30">
        <v>16.7</v>
      </c>
      <c r="J181" s="30">
        <v>15.2</v>
      </c>
      <c r="K181" s="30">
        <v>14.9</v>
      </c>
      <c r="L181" s="30">
        <v>14.9</v>
      </c>
      <c r="N181" s="4"/>
      <c r="BR181" s="1">
        <f t="shared" si="175"/>
        <v>2</v>
      </c>
      <c r="BS181" s="1" t="str">
        <f t="shared" si="176"/>
        <v>フェルトベルク　　　　　　　　　　　</v>
      </c>
    </row>
    <row r="182" spans="1:71">
      <c r="A182" s="1" t="s">
        <v>88</v>
      </c>
      <c r="B182" s="1">
        <v>20190620</v>
      </c>
      <c r="C182" s="1" t="s">
        <v>91</v>
      </c>
      <c r="D182" s="1">
        <v>2</v>
      </c>
      <c r="E182" s="30">
        <v>64.099999999999994</v>
      </c>
      <c r="F182" s="30">
        <v>46.1</v>
      </c>
      <c r="G182" s="30">
        <v>30.2</v>
      </c>
      <c r="H182" s="30">
        <v>14.9</v>
      </c>
      <c r="I182" s="30">
        <v>18</v>
      </c>
      <c r="J182" s="30">
        <v>15.9</v>
      </c>
      <c r="K182" s="30">
        <v>15.3</v>
      </c>
      <c r="L182" s="30">
        <v>14.9</v>
      </c>
      <c r="N182" s="4"/>
      <c r="BR182" s="1">
        <f t="shared" si="175"/>
        <v>2</v>
      </c>
      <c r="BS182" s="1" t="str">
        <f t="shared" si="176"/>
        <v>フェルトベルク　　　　　　　　　　　</v>
      </c>
    </row>
    <row r="183" spans="1:71">
      <c r="A183" s="1" t="s">
        <v>88</v>
      </c>
      <c r="B183" s="1">
        <v>20190124</v>
      </c>
      <c r="C183" s="1" t="s">
        <v>98</v>
      </c>
      <c r="D183" s="1">
        <v>9</v>
      </c>
      <c r="E183" s="30">
        <v>65</v>
      </c>
      <c r="F183" s="30">
        <v>46.5</v>
      </c>
      <c r="G183" s="30">
        <v>29.7</v>
      </c>
      <c r="H183" s="30">
        <v>15</v>
      </c>
      <c r="I183" s="30">
        <v>18.5</v>
      </c>
      <c r="J183" s="30">
        <v>16.8</v>
      </c>
      <c r="K183" s="30">
        <v>14.7</v>
      </c>
      <c r="L183" s="30">
        <v>15</v>
      </c>
      <c r="N183" s="4"/>
      <c r="BR183" s="1">
        <f t="shared" si="175"/>
        <v>9</v>
      </c>
      <c r="BS183" s="1" t="str">
        <f t="shared" si="176"/>
        <v>メイショウイサナ　　　　　　　　　　</v>
      </c>
    </row>
    <row r="184" spans="1:71">
      <c r="A184" s="1" t="s">
        <v>88</v>
      </c>
      <c r="B184" s="1">
        <v>20190216</v>
      </c>
      <c r="C184" s="1" t="s">
        <v>94</v>
      </c>
      <c r="D184" s="1">
        <v>5</v>
      </c>
      <c r="E184" s="30">
        <v>65.5</v>
      </c>
      <c r="F184" s="30">
        <v>47.4</v>
      </c>
      <c r="G184" s="30">
        <v>30.9</v>
      </c>
      <c r="H184" s="30">
        <v>15</v>
      </c>
      <c r="I184" s="30">
        <v>18.100000000000001</v>
      </c>
      <c r="J184" s="30">
        <v>16.5</v>
      </c>
      <c r="K184" s="30">
        <v>15.9</v>
      </c>
      <c r="L184" s="30">
        <v>15</v>
      </c>
      <c r="N184" s="4"/>
      <c r="BR184" s="1">
        <f t="shared" si="175"/>
        <v>5</v>
      </c>
      <c r="BS184" s="1" t="str">
        <f t="shared" si="176"/>
        <v>シグナライズ　　　　　　　　　　　　</v>
      </c>
    </row>
    <row r="185" spans="1:71">
      <c r="A185" s="1" t="s">
        <v>88</v>
      </c>
      <c r="B185" s="1">
        <v>20190331</v>
      </c>
      <c r="C185" s="1" t="s">
        <v>91</v>
      </c>
      <c r="D185" s="1">
        <v>2</v>
      </c>
      <c r="E185" s="30">
        <v>62.4</v>
      </c>
      <c r="F185" s="30">
        <v>45.7</v>
      </c>
      <c r="G185" s="30">
        <v>30.2</v>
      </c>
      <c r="H185" s="30">
        <v>15</v>
      </c>
      <c r="I185" s="30">
        <v>16.7</v>
      </c>
      <c r="J185" s="30">
        <v>15.5</v>
      </c>
      <c r="K185" s="30">
        <v>15.2</v>
      </c>
      <c r="L185" s="30">
        <v>15</v>
      </c>
      <c r="N185" s="4"/>
      <c r="BR185" s="1">
        <f t="shared" si="175"/>
        <v>2</v>
      </c>
      <c r="BS185" s="1" t="str">
        <f t="shared" si="176"/>
        <v>フェルトベルク　　　　　　　　　　　</v>
      </c>
    </row>
    <row r="186" spans="1:71">
      <c r="A186" s="1" t="s">
        <v>88</v>
      </c>
      <c r="B186" s="1">
        <v>20190402</v>
      </c>
      <c r="C186" s="1" t="s">
        <v>91</v>
      </c>
      <c r="D186" s="1">
        <v>2</v>
      </c>
      <c r="E186" s="30">
        <v>63.6</v>
      </c>
      <c r="F186" s="30">
        <v>46.9</v>
      </c>
      <c r="G186" s="30">
        <v>31</v>
      </c>
      <c r="H186" s="30">
        <v>15</v>
      </c>
      <c r="I186" s="30">
        <v>16.7</v>
      </c>
      <c r="J186" s="30">
        <v>15.9</v>
      </c>
      <c r="K186" s="30">
        <v>16</v>
      </c>
      <c r="L186" s="30">
        <v>15</v>
      </c>
      <c r="N186" s="4"/>
      <c r="BR186" s="1">
        <f t="shared" si="175"/>
        <v>2</v>
      </c>
      <c r="BS186" s="1" t="str">
        <f t="shared" si="176"/>
        <v>フェルトベルク　　　　　　　　　　　</v>
      </c>
    </row>
    <row r="187" spans="1:71">
      <c r="A187" s="1" t="s">
        <v>88</v>
      </c>
      <c r="B187" s="1">
        <v>20190621</v>
      </c>
      <c r="C187" s="1" t="s">
        <v>91</v>
      </c>
      <c r="D187" s="1">
        <v>2</v>
      </c>
      <c r="E187" s="30">
        <v>63</v>
      </c>
      <c r="F187" s="30">
        <v>46.9</v>
      </c>
      <c r="G187" s="30">
        <v>30.8</v>
      </c>
      <c r="H187" s="30">
        <v>15</v>
      </c>
      <c r="I187" s="30">
        <v>16.100000000000001</v>
      </c>
      <c r="J187" s="30">
        <v>16.100000000000001</v>
      </c>
      <c r="K187" s="30">
        <v>15.8</v>
      </c>
      <c r="L187" s="30">
        <v>15</v>
      </c>
      <c r="N187" s="4"/>
      <c r="BR187" s="1">
        <f t="shared" si="175"/>
        <v>2</v>
      </c>
      <c r="BS187" s="1" t="str">
        <f t="shared" si="176"/>
        <v>フェルトベルク　　　　　　　　　　　</v>
      </c>
    </row>
    <row r="188" spans="1:71">
      <c r="A188" s="1" t="s">
        <v>88</v>
      </c>
      <c r="B188" s="1">
        <v>20190621</v>
      </c>
      <c r="C188" s="1" t="s">
        <v>99</v>
      </c>
      <c r="D188" s="1">
        <v>10</v>
      </c>
      <c r="E188" s="30">
        <v>63</v>
      </c>
      <c r="F188" s="30">
        <v>47</v>
      </c>
      <c r="G188" s="30">
        <v>30.8</v>
      </c>
      <c r="H188" s="30">
        <v>15</v>
      </c>
      <c r="I188" s="30">
        <v>16</v>
      </c>
      <c r="J188" s="30">
        <v>16.2</v>
      </c>
      <c r="K188" s="30">
        <v>15.8</v>
      </c>
      <c r="L188" s="30">
        <v>15</v>
      </c>
      <c r="N188" s="4"/>
      <c r="BR188" s="1">
        <f t="shared" si="175"/>
        <v>10</v>
      </c>
      <c r="BS188" s="1" t="str">
        <f t="shared" si="176"/>
        <v>コンパウンダー　　　　　　　　　　　</v>
      </c>
    </row>
    <row r="189" spans="1:71">
      <c r="A189" s="1" t="s">
        <v>88</v>
      </c>
      <c r="B189" s="1">
        <v>20190628</v>
      </c>
      <c r="C189" s="1" t="s">
        <v>94</v>
      </c>
      <c r="D189" s="1">
        <v>5</v>
      </c>
      <c r="E189" s="30">
        <v>63.8</v>
      </c>
      <c r="F189" s="30">
        <v>46.9</v>
      </c>
      <c r="G189" s="30">
        <v>31</v>
      </c>
      <c r="H189" s="30">
        <v>15</v>
      </c>
      <c r="I189" s="30">
        <v>16.899999999999999</v>
      </c>
      <c r="J189" s="30">
        <v>15.9</v>
      </c>
      <c r="K189" s="30">
        <v>16</v>
      </c>
      <c r="L189" s="30">
        <v>15</v>
      </c>
      <c r="N189" s="4"/>
      <c r="BR189" s="1">
        <f t="shared" si="175"/>
        <v>5</v>
      </c>
      <c r="BS189" s="1" t="str">
        <f t="shared" si="176"/>
        <v>シグナライズ　　　　　　　　　　　　</v>
      </c>
    </row>
    <row r="190" spans="1:71">
      <c r="A190" s="1" t="s">
        <v>88</v>
      </c>
      <c r="B190" s="1">
        <v>20190630</v>
      </c>
      <c r="C190" s="1" t="s">
        <v>92</v>
      </c>
      <c r="D190" s="1">
        <v>3</v>
      </c>
      <c r="E190" s="30">
        <v>67.8</v>
      </c>
      <c r="F190" s="30">
        <v>48.7</v>
      </c>
      <c r="G190" s="30">
        <v>31.5</v>
      </c>
      <c r="H190" s="30">
        <v>15</v>
      </c>
      <c r="I190" s="30">
        <v>19.100000000000001</v>
      </c>
      <c r="J190" s="30">
        <v>17.2</v>
      </c>
      <c r="K190" s="30">
        <v>16.5</v>
      </c>
      <c r="L190" s="30">
        <v>15</v>
      </c>
      <c r="N190" s="4"/>
      <c r="BR190" s="1">
        <f t="shared" si="175"/>
        <v>3</v>
      </c>
      <c r="BS190" s="1" t="str">
        <f t="shared" si="176"/>
        <v>ディアボレット　　　　　　　　　　　</v>
      </c>
    </row>
    <row r="191" spans="1:71">
      <c r="A191" s="1" t="s">
        <v>88</v>
      </c>
      <c r="B191" s="1">
        <v>20190707</v>
      </c>
      <c r="C191" s="1" t="s">
        <v>91</v>
      </c>
      <c r="D191" s="1">
        <v>2</v>
      </c>
      <c r="E191" s="30">
        <v>63.4</v>
      </c>
      <c r="F191" s="30">
        <v>46.3</v>
      </c>
      <c r="G191" s="30">
        <v>30.4</v>
      </c>
      <c r="H191" s="30">
        <v>15</v>
      </c>
      <c r="I191" s="30">
        <v>17.100000000000001</v>
      </c>
      <c r="J191" s="30">
        <v>15.9</v>
      </c>
      <c r="K191" s="30">
        <v>15.4</v>
      </c>
      <c r="L191" s="30">
        <v>15</v>
      </c>
      <c r="N191" s="4"/>
      <c r="BR191" s="1">
        <f t="shared" si="175"/>
        <v>2</v>
      </c>
      <c r="BS191" s="1" t="str">
        <f t="shared" si="176"/>
        <v>フェルトベルク　　　　　　　　　　　</v>
      </c>
    </row>
    <row r="192" spans="1:71">
      <c r="A192" s="1" t="s">
        <v>88</v>
      </c>
      <c r="B192" s="1">
        <v>20190713</v>
      </c>
      <c r="C192" s="1" t="s">
        <v>91</v>
      </c>
      <c r="D192" s="1">
        <v>2</v>
      </c>
      <c r="E192" s="30">
        <v>64.400000000000006</v>
      </c>
      <c r="F192" s="30">
        <v>46.6</v>
      </c>
      <c r="G192" s="30">
        <v>30.5</v>
      </c>
      <c r="H192" s="30">
        <v>15</v>
      </c>
      <c r="I192" s="30">
        <v>17.8</v>
      </c>
      <c r="J192" s="30">
        <v>16.100000000000001</v>
      </c>
      <c r="K192" s="30">
        <v>15.5</v>
      </c>
      <c r="L192" s="30">
        <v>15</v>
      </c>
      <c r="N192" s="4"/>
      <c r="BR192" s="1">
        <f t="shared" si="175"/>
        <v>2</v>
      </c>
      <c r="BS192" s="1" t="str">
        <f t="shared" si="176"/>
        <v>フェルトベルク　　　　　　　　　　　</v>
      </c>
    </row>
    <row r="193" spans="1:71">
      <c r="A193" s="1" t="s">
        <v>88</v>
      </c>
      <c r="B193" s="1">
        <v>20190226</v>
      </c>
      <c r="C193" s="1" t="s">
        <v>92</v>
      </c>
      <c r="D193" s="1">
        <v>3</v>
      </c>
      <c r="E193" s="30">
        <v>62.5</v>
      </c>
      <c r="F193" s="30">
        <v>46.2</v>
      </c>
      <c r="G193" s="30">
        <v>31</v>
      </c>
      <c r="H193" s="30">
        <v>15.1</v>
      </c>
      <c r="I193" s="30">
        <v>16.3</v>
      </c>
      <c r="J193" s="30">
        <v>15.2</v>
      </c>
      <c r="K193" s="30">
        <v>15.9</v>
      </c>
      <c r="L193" s="30">
        <v>15.1</v>
      </c>
      <c r="N193" s="4"/>
      <c r="BR193" s="1">
        <f t="shared" si="175"/>
        <v>3</v>
      </c>
      <c r="BS193" s="1" t="str">
        <f t="shared" si="176"/>
        <v>ディアボレット　　　　　　　　　　　</v>
      </c>
    </row>
    <row r="194" spans="1:71">
      <c r="A194" s="1" t="s">
        <v>88</v>
      </c>
      <c r="B194" s="1">
        <v>20190330</v>
      </c>
      <c r="C194" s="1" t="s">
        <v>91</v>
      </c>
      <c r="D194" s="1">
        <v>2</v>
      </c>
      <c r="E194" s="30">
        <v>63.5</v>
      </c>
      <c r="F194" s="30">
        <v>46.5</v>
      </c>
      <c r="G194" s="30">
        <v>30.5</v>
      </c>
      <c r="H194" s="30">
        <v>15.1</v>
      </c>
      <c r="I194" s="30">
        <v>17</v>
      </c>
      <c r="J194" s="30">
        <v>16</v>
      </c>
      <c r="K194" s="30">
        <v>15.4</v>
      </c>
      <c r="L194" s="30">
        <v>15.1</v>
      </c>
      <c r="N194" s="4"/>
      <c r="BR194" s="1">
        <f t="shared" si="175"/>
        <v>2</v>
      </c>
      <c r="BS194" s="1" t="str">
        <f t="shared" si="176"/>
        <v>フェルトベルク　　　　　　　　　　　</v>
      </c>
    </row>
    <row r="195" spans="1:71">
      <c r="A195" s="1" t="s">
        <v>88</v>
      </c>
      <c r="B195" s="1">
        <v>20190420</v>
      </c>
      <c r="C195" s="1" t="s">
        <v>97</v>
      </c>
      <c r="D195" s="1">
        <v>8</v>
      </c>
      <c r="E195" s="30">
        <v>62.7</v>
      </c>
      <c r="F195" s="30">
        <v>46.2</v>
      </c>
      <c r="G195" s="30">
        <v>30.1</v>
      </c>
      <c r="H195" s="30">
        <v>15.1</v>
      </c>
      <c r="I195" s="30">
        <v>16.5</v>
      </c>
      <c r="J195" s="30">
        <v>16.100000000000001</v>
      </c>
      <c r="K195" s="30">
        <v>15</v>
      </c>
      <c r="L195" s="30">
        <v>15.1</v>
      </c>
      <c r="N195" s="4"/>
      <c r="BR195" s="1">
        <f t="shared" si="175"/>
        <v>8</v>
      </c>
      <c r="BS195" s="1" t="str">
        <f t="shared" si="176"/>
        <v>タマモメイトウ　　　　　　　　　　　</v>
      </c>
    </row>
    <row r="196" spans="1:71">
      <c r="A196" s="1" t="s">
        <v>88</v>
      </c>
      <c r="B196" s="1">
        <v>20190507</v>
      </c>
      <c r="C196" s="1" t="s">
        <v>92</v>
      </c>
      <c r="D196" s="1">
        <v>3</v>
      </c>
      <c r="E196" s="30">
        <v>65.3</v>
      </c>
      <c r="F196" s="30">
        <v>47</v>
      </c>
      <c r="G196" s="30">
        <v>30.7</v>
      </c>
      <c r="H196" s="30">
        <v>15.1</v>
      </c>
      <c r="I196" s="30">
        <v>18.3</v>
      </c>
      <c r="J196" s="30">
        <v>16.3</v>
      </c>
      <c r="K196" s="30">
        <v>15.6</v>
      </c>
      <c r="L196" s="30">
        <v>15.1</v>
      </c>
      <c r="N196" s="4"/>
      <c r="BR196" s="1">
        <f t="shared" ref="BR196:BR259" si="201">D196</f>
        <v>3</v>
      </c>
      <c r="BS196" s="1" t="str">
        <f t="shared" ref="BS196:BS259" si="202">C196</f>
        <v>ディアボレット　　　　　　　　　　　</v>
      </c>
    </row>
    <row r="197" spans="1:71">
      <c r="A197" s="1" t="s">
        <v>88</v>
      </c>
      <c r="B197" s="1">
        <v>20190524</v>
      </c>
      <c r="C197" s="1" t="s">
        <v>91</v>
      </c>
      <c r="D197" s="1">
        <v>2</v>
      </c>
      <c r="E197" s="30">
        <v>61.6</v>
      </c>
      <c r="F197" s="30">
        <v>45</v>
      </c>
      <c r="G197" s="30">
        <v>30.1</v>
      </c>
      <c r="H197" s="30">
        <v>15.1</v>
      </c>
      <c r="I197" s="30">
        <v>16.600000000000001</v>
      </c>
      <c r="J197" s="30">
        <v>14.9</v>
      </c>
      <c r="K197" s="30">
        <v>15</v>
      </c>
      <c r="L197" s="30">
        <v>15.1</v>
      </c>
      <c r="N197" s="4"/>
      <c r="BR197" s="1">
        <f t="shared" si="201"/>
        <v>2</v>
      </c>
      <c r="BS197" s="1" t="str">
        <f t="shared" si="202"/>
        <v>フェルトベルク　　　　　　　　　　　</v>
      </c>
    </row>
    <row r="198" spans="1:71">
      <c r="A198" s="1" t="s">
        <v>88</v>
      </c>
      <c r="B198" s="1">
        <v>20190614</v>
      </c>
      <c r="C198" s="1" t="s">
        <v>95</v>
      </c>
      <c r="D198" s="1">
        <v>6</v>
      </c>
      <c r="E198" s="30">
        <v>61.8</v>
      </c>
      <c r="F198" s="30">
        <v>45.6</v>
      </c>
      <c r="G198" s="30">
        <v>30.1</v>
      </c>
      <c r="H198" s="30">
        <v>15.1</v>
      </c>
      <c r="I198" s="30">
        <v>16.2</v>
      </c>
      <c r="J198" s="30">
        <v>15.5</v>
      </c>
      <c r="K198" s="30">
        <v>15</v>
      </c>
      <c r="L198" s="30">
        <v>15.1</v>
      </c>
      <c r="N198" s="4"/>
      <c r="BR198" s="1">
        <f t="shared" si="201"/>
        <v>6</v>
      </c>
      <c r="BS198" s="1" t="str">
        <f t="shared" si="202"/>
        <v>ミカエルシチー　　　　　　　　　　　</v>
      </c>
    </row>
    <row r="199" spans="1:71">
      <c r="A199" s="1" t="s">
        <v>88</v>
      </c>
      <c r="B199" s="1">
        <v>20190621</v>
      </c>
      <c r="C199" s="1" t="s">
        <v>95</v>
      </c>
      <c r="D199" s="1">
        <v>6</v>
      </c>
      <c r="E199" s="30">
        <v>62.8</v>
      </c>
      <c r="F199" s="30">
        <v>46</v>
      </c>
      <c r="G199" s="30">
        <v>30.4</v>
      </c>
      <c r="H199" s="30">
        <v>15.1</v>
      </c>
      <c r="I199" s="30">
        <v>16.8</v>
      </c>
      <c r="J199" s="30">
        <v>15.6</v>
      </c>
      <c r="K199" s="30">
        <v>15.3</v>
      </c>
      <c r="L199" s="30">
        <v>15.1</v>
      </c>
      <c r="N199" s="4"/>
      <c r="BR199" s="1">
        <f t="shared" si="201"/>
        <v>6</v>
      </c>
      <c r="BS199" s="1" t="str">
        <f t="shared" si="202"/>
        <v>ミカエルシチー　　　　　　　　　　　</v>
      </c>
    </row>
    <row r="200" spans="1:71">
      <c r="A200" s="1" t="s">
        <v>88</v>
      </c>
      <c r="B200" s="1">
        <v>20190622</v>
      </c>
      <c r="C200" s="1" t="s">
        <v>94</v>
      </c>
      <c r="D200" s="1">
        <v>5</v>
      </c>
      <c r="E200" s="30">
        <v>65.599999999999994</v>
      </c>
      <c r="F200" s="30">
        <v>48.7</v>
      </c>
      <c r="G200" s="30">
        <v>31.3</v>
      </c>
      <c r="H200" s="30">
        <v>15.1</v>
      </c>
      <c r="I200" s="30">
        <v>16.899999999999999</v>
      </c>
      <c r="J200" s="30">
        <v>17.399999999999999</v>
      </c>
      <c r="K200" s="30">
        <v>16.2</v>
      </c>
      <c r="L200" s="30">
        <v>15.1</v>
      </c>
      <c r="N200" s="4"/>
      <c r="BR200" s="1">
        <f t="shared" si="201"/>
        <v>5</v>
      </c>
      <c r="BS200" s="1" t="str">
        <f t="shared" si="202"/>
        <v>シグナライズ　　　　　　　　　　　　</v>
      </c>
    </row>
    <row r="201" spans="1:71">
      <c r="A201" s="1" t="s">
        <v>88</v>
      </c>
      <c r="B201" s="1">
        <v>20190705</v>
      </c>
      <c r="C201" s="1" t="s">
        <v>94</v>
      </c>
      <c r="D201" s="1">
        <v>5</v>
      </c>
      <c r="E201" s="30">
        <v>64.599999999999994</v>
      </c>
      <c r="F201" s="30">
        <v>47.1</v>
      </c>
      <c r="G201" s="30">
        <v>31</v>
      </c>
      <c r="H201" s="30">
        <v>15.1</v>
      </c>
      <c r="I201" s="30">
        <v>17.5</v>
      </c>
      <c r="J201" s="30">
        <v>16.100000000000001</v>
      </c>
      <c r="K201" s="30">
        <v>15.9</v>
      </c>
      <c r="L201" s="30">
        <v>15.1</v>
      </c>
      <c r="N201" s="4"/>
      <c r="BR201" s="1">
        <f t="shared" si="201"/>
        <v>5</v>
      </c>
      <c r="BS201" s="1" t="str">
        <f t="shared" si="202"/>
        <v>シグナライズ　　　　　　　　　　　　</v>
      </c>
    </row>
    <row r="202" spans="1:71">
      <c r="A202" s="1" t="s">
        <v>88</v>
      </c>
      <c r="B202" s="1">
        <v>20190712</v>
      </c>
      <c r="C202" s="1" t="s">
        <v>94</v>
      </c>
      <c r="D202" s="1">
        <v>5</v>
      </c>
      <c r="E202" s="30">
        <v>63.5</v>
      </c>
      <c r="F202" s="30">
        <v>46.1</v>
      </c>
      <c r="G202" s="30">
        <v>30.4</v>
      </c>
      <c r="H202" s="30">
        <v>15.1</v>
      </c>
      <c r="I202" s="30">
        <v>17.399999999999999</v>
      </c>
      <c r="J202" s="30">
        <v>15.7</v>
      </c>
      <c r="K202" s="30">
        <v>15.3</v>
      </c>
      <c r="L202" s="30">
        <v>15.1</v>
      </c>
      <c r="N202" s="4"/>
      <c r="BR202" s="1">
        <f t="shared" si="201"/>
        <v>5</v>
      </c>
      <c r="BS202" s="1" t="str">
        <f t="shared" si="202"/>
        <v>シグナライズ　　　　　　　　　　　　</v>
      </c>
    </row>
    <row r="203" spans="1:71">
      <c r="A203" s="1" t="s">
        <v>88</v>
      </c>
      <c r="B203" s="1">
        <v>20190219</v>
      </c>
      <c r="C203" s="1" t="s">
        <v>94</v>
      </c>
      <c r="D203" s="1">
        <v>5</v>
      </c>
      <c r="E203" s="30">
        <v>64.599999999999994</v>
      </c>
      <c r="F203" s="30">
        <v>47.2</v>
      </c>
      <c r="G203" s="30">
        <v>30.3</v>
      </c>
      <c r="H203" s="30">
        <v>15.2</v>
      </c>
      <c r="I203" s="30">
        <v>17.399999999999999</v>
      </c>
      <c r="J203" s="30">
        <v>16.899999999999999</v>
      </c>
      <c r="K203" s="30">
        <v>15.1</v>
      </c>
      <c r="L203" s="30">
        <v>15.2</v>
      </c>
      <c r="N203" s="4"/>
      <c r="BR203" s="1">
        <f t="shared" si="201"/>
        <v>5</v>
      </c>
      <c r="BS203" s="1" t="str">
        <f t="shared" si="202"/>
        <v>シグナライズ　　　　　　　　　　　　</v>
      </c>
    </row>
    <row r="204" spans="1:71">
      <c r="A204" s="1" t="s">
        <v>88</v>
      </c>
      <c r="B204" s="1">
        <v>20190308</v>
      </c>
      <c r="C204" s="1" t="s">
        <v>96</v>
      </c>
      <c r="D204" s="1">
        <v>7</v>
      </c>
      <c r="E204" s="30">
        <v>65.8</v>
      </c>
      <c r="F204" s="30">
        <v>47.3</v>
      </c>
      <c r="G204" s="30">
        <v>30.6</v>
      </c>
      <c r="H204" s="30">
        <v>15.2</v>
      </c>
      <c r="I204" s="30">
        <v>18.5</v>
      </c>
      <c r="J204" s="30">
        <v>16.7</v>
      </c>
      <c r="K204" s="30">
        <v>15.4</v>
      </c>
      <c r="L204" s="30">
        <v>15.2</v>
      </c>
      <c r="N204" s="4"/>
      <c r="BR204" s="1">
        <f t="shared" si="201"/>
        <v>7</v>
      </c>
      <c r="BS204" s="1" t="str">
        <f t="shared" si="202"/>
        <v>サヤカチャン　　　　　　　　　　　　</v>
      </c>
    </row>
    <row r="205" spans="1:71">
      <c r="A205" s="1" t="s">
        <v>88</v>
      </c>
      <c r="B205" s="1">
        <v>20190504</v>
      </c>
      <c r="C205" s="1" t="s">
        <v>91</v>
      </c>
      <c r="D205" s="1">
        <v>2</v>
      </c>
      <c r="E205" s="30">
        <v>62.9</v>
      </c>
      <c r="F205" s="30">
        <v>46.5</v>
      </c>
      <c r="G205" s="30">
        <v>30.7</v>
      </c>
      <c r="H205" s="30">
        <v>15.2</v>
      </c>
      <c r="I205" s="30">
        <v>16.399999999999999</v>
      </c>
      <c r="J205" s="30">
        <v>15.8</v>
      </c>
      <c r="K205" s="30">
        <v>15.5</v>
      </c>
      <c r="L205" s="30">
        <v>15.2</v>
      </c>
      <c r="N205" s="4"/>
      <c r="BR205" s="1">
        <f t="shared" si="201"/>
        <v>2</v>
      </c>
      <c r="BS205" s="1" t="str">
        <f t="shared" si="202"/>
        <v>フェルトベルク　　　　　　　　　　　</v>
      </c>
    </row>
    <row r="206" spans="1:71">
      <c r="A206" s="1" t="s">
        <v>88</v>
      </c>
      <c r="B206" s="1">
        <v>20190521</v>
      </c>
      <c r="C206" s="1" t="s">
        <v>91</v>
      </c>
      <c r="D206" s="1">
        <v>2</v>
      </c>
      <c r="E206" s="30">
        <v>63.7</v>
      </c>
      <c r="F206" s="30">
        <v>46.8</v>
      </c>
      <c r="G206" s="30">
        <v>31</v>
      </c>
      <c r="H206" s="30">
        <v>15.2</v>
      </c>
      <c r="I206" s="30">
        <v>16.899999999999999</v>
      </c>
      <c r="J206" s="30">
        <v>15.8</v>
      </c>
      <c r="K206" s="30">
        <v>15.8</v>
      </c>
      <c r="L206" s="30">
        <v>15.2</v>
      </c>
      <c r="N206" s="4"/>
      <c r="BR206" s="1">
        <f t="shared" si="201"/>
        <v>2</v>
      </c>
      <c r="BS206" s="1" t="str">
        <f t="shared" si="202"/>
        <v>フェルトベルク　　　　　　　　　　　</v>
      </c>
    </row>
    <row r="207" spans="1:71">
      <c r="A207" s="1" t="s">
        <v>88</v>
      </c>
      <c r="B207" s="1">
        <v>20190531</v>
      </c>
      <c r="C207" s="1" t="s">
        <v>91</v>
      </c>
      <c r="D207" s="1">
        <v>2</v>
      </c>
      <c r="E207" s="30">
        <v>63.7</v>
      </c>
      <c r="F207" s="30">
        <v>46.5</v>
      </c>
      <c r="G207" s="30">
        <v>30.8</v>
      </c>
      <c r="H207" s="30">
        <v>15.2</v>
      </c>
      <c r="I207" s="30">
        <v>17.2</v>
      </c>
      <c r="J207" s="30">
        <v>15.7</v>
      </c>
      <c r="K207" s="30">
        <v>15.6</v>
      </c>
      <c r="L207" s="30">
        <v>15.2</v>
      </c>
      <c r="N207" s="4"/>
      <c r="BR207" s="1">
        <f t="shared" si="201"/>
        <v>2</v>
      </c>
      <c r="BS207" s="1" t="str">
        <f t="shared" si="202"/>
        <v>フェルトベルク　　　　　　　　　　　</v>
      </c>
    </row>
    <row r="208" spans="1:71">
      <c r="A208" s="1" t="s">
        <v>88</v>
      </c>
      <c r="B208" s="1">
        <v>20190609</v>
      </c>
      <c r="C208" s="1" t="s">
        <v>91</v>
      </c>
      <c r="D208" s="1">
        <v>2</v>
      </c>
      <c r="E208" s="30">
        <v>61.1</v>
      </c>
      <c r="F208" s="30">
        <v>45.5</v>
      </c>
      <c r="G208" s="30">
        <v>30.4</v>
      </c>
      <c r="H208" s="30">
        <v>15.2</v>
      </c>
      <c r="I208" s="30">
        <v>15.6</v>
      </c>
      <c r="J208" s="30">
        <v>15.1</v>
      </c>
      <c r="K208" s="30">
        <v>15.2</v>
      </c>
      <c r="L208" s="30">
        <v>15.2</v>
      </c>
      <c r="N208" s="4"/>
      <c r="BR208" s="1">
        <f t="shared" si="201"/>
        <v>2</v>
      </c>
      <c r="BS208" s="1" t="str">
        <f t="shared" si="202"/>
        <v>フェルトベルク　　　　　　　　　　　</v>
      </c>
    </row>
    <row r="209" spans="1:71">
      <c r="A209" s="1" t="s">
        <v>88</v>
      </c>
      <c r="B209" s="1">
        <v>20190609</v>
      </c>
      <c r="C209" s="1" t="s">
        <v>91</v>
      </c>
      <c r="D209" s="1">
        <v>2</v>
      </c>
      <c r="E209" s="30">
        <v>61.1</v>
      </c>
      <c r="F209" s="30">
        <v>45.5</v>
      </c>
      <c r="G209" s="30">
        <v>30.4</v>
      </c>
      <c r="H209" s="30">
        <v>15.2</v>
      </c>
      <c r="I209" s="30">
        <v>15.6</v>
      </c>
      <c r="J209" s="30">
        <v>15.1</v>
      </c>
      <c r="K209" s="30">
        <v>15.2</v>
      </c>
      <c r="L209" s="30">
        <v>15.2</v>
      </c>
      <c r="N209" s="4"/>
      <c r="BR209" s="1">
        <f t="shared" si="201"/>
        <v>2</v>
      </c>
      <c r="BS209" s="1" t="str">
        <f t="shared" si="202"/>
        <v>フェルトベルク　　　　　　　　　　　</v>
      </c>
    </row>
    <row r="210" spans="1:71">
      <c r="A210" s="1" t="s">
        <v>88</v>
      </c>
      <c r="B210" s="1">
        <v>20190621</v>
      </c>
      <c r="C210" s="1" t="s">
        <v>92</v>
      </c>
      <c r="D210" s="1">
        <v>3</v>
      </c>
      <c r="E210" s="30">
        <v>63.5</v>
      </c>
      <c r="F210" s="30">
        <v>46.5</v>
      </c>
      <c r="G210" s="30">
        <v>30.8</v>
      </c>
      <c r="H210" s="30">
        <v>15.2</v>
      </c>
      <c r="I210" s="30">
        <v>17</v>
      </c>
      <c r="J210" s="30">
        <v>15.7</v>
      </c>
      <c r="K210" s="30">
        <v>15.6</v>
      </c>
      <c r="L210" s="30">
        <v>15.2</v>
      </c>
      <c r="N210" s="4"/>
      <c r="BR210" s="1">
        <f t="shared" si="201"/>
        <v>3</v>
      </c>
      <c r="BS210" s="1" t="str">
        <f t="shared" si="202"/>
        <v>ディアボレット　　　　　　　　　　　</v>
      </c>
    </row>
    <row r="211" spans="1:71">
      <c r="A211" s="1" t="s">
        <v>88</v>
      </c>
      <c r="B211" s="1">
        <v>20190622</v>
      </c>
      <c r="C211" s="1" t="s">
        <v>91</v>
      </c>
      <c r="D211" s="1">
        <v>2</v>
      </c>
      <c r="E211" s="30">
        <v>64.900000000000006</v>
      </c>
      <c r="F211" s="30">
        <v>46.5</v>
      </c>
      <c r="G211" s="30">
        <v>30.7</v>
      </c>
      <c r="H211" s="30">
        <v>15.2</v>
      </c>
      <c r="I211" s="30">
        <v>18.399999999999999</v>
      </c>
      <c r="J211" s="30">
        <v>15.8</v>
      </c>
      <c r="K211" s="30">
        <v>15.5</v>
      </c>
      <c r="L211" s="30">
        <v>15.2</v>
      </c>
      <c r="N211" s="4"/>
      <c r="BR211" s="1">
        <f t="shared" si="201"/>
        <v>2</v>
      </c>
      <c r="BS211" s="1" t="str">
        <f t="shared" si="202"/>
        <v>フェルトベルク　　　　　　　　　　　</v>
      </c>
    </row>
    <row r="212" spans="1:71">
      <c r="A212" s="1" t="s">
        <v>88</v>
      </c>
      <c r="B212" s="1">
        <v>20190629</v>
      </c>
      <c r="C212" s="1" t="s">
        <v>99</v>
      </c>
      <c r="D212" s="1">
        <v>10</v>
      </c>
      <c r="E212" s="30">
        <v>65.5</v>
      </c>
      <c r="F212" s="30">
        <v>47.9</v>
      </c>
      <c r="G212" s="30">
        <v>31.6</v>
      </c>
      <c r="H212" s="30">
        <v>15.2</v>
      </c>
      <c r="I212" s="30">
        <v>17.600000000000001</v>
      </c>
      <c r="J212" s="30">
        <v>16.3</v>
      </c>
      <c r="K212" s="30">
        <v>16.399999999999999</v>
      </c>
      <c r="L212" s="30">
        <v>15.2</v>
      </c>
      <c r="N212" s="4"/>
      <c r="BR212" s="1">
        <f t="shared" si="201"/>
        <v>10</v>
      </c>
      <c r="BS212" s="1" t="str">
        <f t="shared" si="202"/>
        <v>コンパウンダー　　　　　　　　　　　</v>
      </c>
    </row>
    <row r="213" spans="1:71">
      <c r="A213" s="1" t="s">
        <v>88</v>
      </c>
      <c r="B213" s="1">
        <v>20190702</v>
      </c>
      <c r="C213" s="1" t="s">
        <v>99</v>
      </c>
      <c r="D213" s="1">
        <v>10</v>
      </c>
      <c r="E213" s="30">
        <v>62.1</v>
      </c>
      <c r="F213" s="30">
        <v>46</v>
      </c>
      <c r="G213" s="30">
        <v>30.3</v>
      </c>
      <c r="H213" s="30">
        <v>15.2</v>
      </c>
      <c r="I213" s="30">
        <v>16.100000000000001</v>
      </c>
      <c r="J213" s="30">
        <v>15.7</v>
      </c>
      <c r="K213" s="30">
        <v>15.1</v>
      </c>
      <c r="L213" s="30">
        <v>15.2</v>
      </c>
      <c r="N213" s="4"/>
      <c r="BR213" s="1">
        <f t="shared" si="201"/>
        <v>10</v>
      </c>
      <c r="BS213" s="1" t="str">
        <f t="shared" si="202"/>
        <v>コンパウンダー　　　　　　　　　　　</v>
      </c>
    </row>
    <row r="214" spans="1:71">
      <c r="A214" s="1" t="s">
        <v>88</v>
      </c>
      <c r="B214" s="1">
        <v>20190703</v>
      </c>
      <c r="C214" s="1" t="s">
        <v>95</v>
      </c>
      <c r="D214" s="1">
        <v>6</v>
      </c>
      <c r="E214" s="30">
        <v>65</v>
      </c>
      <c r="F214" s="30">
        <v>47.2</v>
      </c>
      <c r="G214" s="30">
        <v>30.7</v>
      </c>
      <c r="H214" s="30">
        <v>15.2</v>
      </c>
      <c r="I214" s="30">
        <v>17.8</v>
      </c>
      <c r="J214" s="30">
        <v>16.5</v>
      </c>
      <c r="K214" s="30">
        <v>15.5</v>
      </c>
      <c r="L214" s="30">
        <v>15.2</v>
      </c>
      <c r="N214" s="4"/>
      <c r="BR214" s="1">
        <f t="shared" si="201"/>
        <v>6</v>
      </c>
      <c r="BS214" s="1" t="str">
        <f t="shared" si="202"/>
        <v>ミカエルシチー　　　　　　　　　　　</v>
      </c>
    </row>
    <row r="215" spans="1:71">
      <c r="A215" s="1" t="s">
        <v>88</v>
      </c>
      <c r="B215" s="1">
        <v>20190706</v>
      </c>
      <c r="C215" s="1" t="s">
        <v>92</v>
      </c>
      <c r="D215" s="1">
        <v>3</v>
      </c>
      <c r="E215" s="30">
        <v>66.5</v>
      </c>
      <c r="F215" s="30">
        <v>47.7</v>
      </c>
      <c r="G215" s="30">
        <v>31</v>
      </c>
      <c r="H215" s="30">
        <v>15.2</v>
      </c>
      <c r="I215" s="30">
        <v>18.8</v>
      </c>
      <c r="J215" s="30">
        <v>16.7</v>
      </c>
      <c r="K215" s="30">
        <v>15.8</v>
      </c>
      <c r="L215" s="30">
        <v>15.2</v>
      </c>
      <c r="N215" s="4"/>
      <c r="BR215" s="1">
        <f t="shared" si="201"/>
        <v>3</v>
      </c>
      <c r="BS215" s="1" t="str">
        <f t="shared" si="202"/>
        <v>ディアボレット　　　　　　　　　　　</v>
      </c>
    </row>
    <row r="216" spans="1:71">
      <c r="A216" s="1" t="s">
        <v>88</v>
      </c>
      <c r="B216" s="1">
        <v>20190709</v>
      </c>
      <c r="C216" s="1" t="s">
        <v>91</v>
      </c>
      <c r="D216" s="1">
        <v>2</v>
      </c>
      <c r="E216" s="30">
        <v>64.8</v>
      </c>
      <c r="F216" s="30">
        <v>47.7</v>
      </c>
      <c r="G216" s="30">
        <v>31.2</v>
      </c>
      <c r="H216" s="30">
        <v>15.2</v>
      </c>
      <c r="I216" s="30">
        <v>17.100000000000001</v>
      </c>
      <c r="J216" s="30">
        <v>16.5</v>
      </c>
      <c r="K216" s="30">
        <v>16</v>
      </c>
      <c r="L216" s="30">
        <v>15.2</v>
      </c>
      <c r="N216" s="4"/>
      <c r="BR216" s="1">
        <f t="shared" si="201"/>
        <v>2</v>
      </c>
      <c r="BS216" s="1" t="str">
        <f t="shared" si="202"/>
        <v>フェルトベルク　　　　　　　　　　　</v>
      </c>
    </row>
    <row r="217" spans="1:71">
      <c r="A217" s="1" t="s">
        <v>88</v>
      </c>
      <c r="B217" s="1">
        <v>20190120</v>
      </c>
      <c r="C217" s="1" t="s">
        <v>97</v>
      </c>
      <c r="D217" s="1">
        <v>8</v>
      </c>
      <c r="E217" s="30">
        <v>64</v>
      </c>
      <c r="F217" s="30">
        <v>47.6</v>
      </c>
      <c r="G217" s="30">
        <v>31.2</v>
      </c>
      <c r="H217" s="30">
        <v>15.3</v>
      </c>
      <c r="I217" s="30">
        <v>16.399999999999999</v>
      </c>
      <c r="J217" s="30">
        <v>16.399999999999999</v>
      </c>
      <c r="K217" s="30">
        <v>15.9</v>
      </c>
      <c r="L217" s="30">
        <v>15.3</v>
      </c>
      <c r="N217" s="4"/>
      <c r="BR217" s="1">
        <f t="shared" si="201"/>
        <v>8</v>
      </c>
      <c r="BS217" s="1" t="str">
        <f t="shared" si="202"/>
        <v>タマモメイトウ　　　　　　　　　　　</v>
      </c>
    </row>
    <row r="218" spans="1:71">
      <c r="A218" s="1" t="s">
        <v>88</v>
      </c>
      <c r="B218" s="1">
        <v>20190414</v>
      </c>
      <c r="C218" s="1" t="s">
        <v>91</v>
      </c>
      <c r="D218" s="1">
        <v>2</v>
      </c>
      <c r="E218" s="30">
        <v>62.1</v>
      </c>
      <c r="F218" s="30">
        <v>45.9</v>
      </c>
      <c r="G218" s="30">
        <v>30.5</v>
      </c>
      <c r="H218" s="30">
        <v>15.3</v>
      </c>
      <c r="I218" s="30">
        <v>16.2</v>
      </c>
      <c r="J218" s="30">
        <v>15.4</v>
      </c>
      <c r="K218" s="30">
        <v>15.2</v>
      </c>
      <c r="L218" s="30">
        <v>15.3</v>
      </c>
      <c r="N218" s="4"/>
      <c r="BR218" s="1">
        <f t="shared" si="201"/>
        <v>2</v>
      </c>
      <c r="BS218" s="1" t="str">
        <f t="shared" si="202"/>
        <v>フェルトベルク　　　　　　　　　　　</v>
      </c>
    </row>
    <row r="219" spans="1:71">
      <c r="A219" s="1" t="s">
        <v>88</v>
      </c>
      <c r="B219" s="1">
        <v>20190419</v>
      </c>
      <c r="C219" s="1" t="s">
        <v>91</v>
      </c>
      <c r="D219" s="1">
        <v>2</v>
      </c>
      <c r="E219" s="30">
        <v>62.5</v>
      </c>
      <c r="F219" s="30">
        <v>45.9</v>
      </c>
      <c r="G219" s="30">
        <v>30.6</v>
      </c>
      <c r="H219" s="30">
        <v>15.3</v>
      </c>
      <c r="I219" s="30">
        <v>16.600000000000001</v>
      </c>
      <c r="J219" s="30">
        <v>15.3</v>
      </c>
      <c r="K219" s="30">
        <v>15.3</v>
      </c>
      <c r="L219" s="30">
        <v>15.3</v>
      </c>
      <c r="N219" s="4"/>
      <c r="BR219" s="1">
        <f t="shared" si="201"/>
        <v>2</v>
      </c>
      <c r="BS219" s="1" t="str">
        <f t="shared" si="202"/>
        <v>フェルトベルク　　　　　　　　　　　</v>
      </c>
    </row>
    <row r="220" spans="1:71">
      <c r="A220" s="1" t="s">
        <v>88</v>
      </c>
      <c r="B220" s="1">
        <v>20190510</v>
      </c>
      <c r="C220" s="1" t="s">
        <v>91</v>
      </c>
      <c r="D220" s="1">
        <v>2</v>
      </c>
      <c r="E220" s="30">
        <v>60</v>
      </c>
      <c r="F220" s="30">
        <v>44.4</v>
      </c>
      <c r="G220" s="30">
        <v>29.9</v>
      </c>
      <c r="H220" s="30">
        <v>15.3</v>
      </c>
      <c r="I220" s="30">
        <v>15.6</v>
      </c>
      <c r="J220" s="30">
        <v>14.5</v>
      </c>
      <c r="K220" s="30">
        <v>14.6</v>
      </c>
      <c r="L220" s="30">
        <v>15.3</v>
      </c>
      <c r="N220" s="4"/>
      <c r="BR220" s="1">
        <f t="shared" si="201"/>
        <v>2</v>
      </c>
      <c r="BS220" s="1" t="str">
        <f t="shared" si="202"/>
        <v>フェルトベルク　　　　　　　　　　　</v>
      </c>
    </row>
    <row r="221" spans="1:71">
      <c r="A221" s="1" t="s">
        <v>88</v>
      </c>
      <c r="B221" s="1">
        <v>20190517</v>
      </c>
      <c r="C221" s="1" t="s">
        <v>95</v>
      </c>
      <c r="D221" s="1">
        <v>6</v>
      </c>
      <c r="E221" s="30">
        <v>62.7</v>
      </c>
      <c r="F221" s="30">
        <v>46.3</v>
      </c>
      <c r="G221" s="30">
        <v>30.5</v>
      </c>
      <c r="H221" s="30">
        <v>15.3</v>
      </c>
      <c r="I221" s="30">
        <v>16.399999999999999</v>
      </c>
      <c r="J221" s="30">
        <v>15.8</v>
      </c>
      <c r="K221" s="30">
        <v>15.2</v>
      </c>
      <c r="L221" s="30">
        <v>15.3</v>
      </c>
      <c r="N221" s="4"/>
      <c r="BR221" s="1">
        <f t="shared" si="201"/>
        <v>6</v>
      </c>
      <c r="BS221" s="1" t="str">
        <f t="shared" si="202"/>
        <v>ミカエルシチー　　　　　　　　　　　</v>
      </c>
    </row>
    <row r="222" spans="1:71">
      <c r="A222" s="1" t="s">
        <v>88</v>
      </c>
      <c r="B222" s="1">
        <v>20190518</v>
      </c>
      <c r="C222" s="1" t="s">
        <v>92</v>
      </c>
      <c r="D222" s="1">
        <v>3</v>
      </c>
      <c r="E222" s="30">
        <v>68.7</v>
      </c>
      <c r="F222" s="30">
        <v>49.2</v>
      </c>
      <c r="G222" s="30">
        <v>31.8</v>
      </c>
      <c r="H222" s="30">
        <v>15.3</v>
      </c>
      <c r="I222" s="30">
        <v>19.5</v>
      </c>
      <c r="J222" s="30">
        <v>17.399999999999999</v>
      </c>
      <c r="K222" s="30">
        <v>16.5</v>
      </c>
      <c r="L222" s="30">
        <v>15.3</v>
      </c>
      <c r="N222" s="4"/>
      <c r="BR222" s="1">
        <f t="shared" si="201"/>
        <v>3</v>
      </c>
      <c r="BS222" s="1" t="str">
        <f t="shared" si="202"/>
        <v>ディアボレット　　　　　　　　　　　</v>
      </c>
    </row>
    <row r="223" spans="1:71">
      <c r="A223" s="1" t="s">
        <v>88</v>
      </c>
      <c r="B223" s="1">
        <v>20190524</v>
      </c>
      <c r="C223" s="1" t="s">
        <v>95</v>
      </c>
      <c r="D223" s="1">
        <v>6</v>
      </c>
      <c r="E223" s="30">
        <v>63.6</v>
      </c>
      <c r="F223" s="30">
        <v>46.7</v>
      </c>
      <c r="G223" s="30">
        <v>30.8</v>
      </c>
      <c r="H223" s="30">
        <v>15.3</v>
      </c>
      <c r="I223" s="30">
        <v>16.899999999999999</v>
      </c>
      <c r="J223" s="30">
        <v>15.9</v>
      </c>
      <c r="K223" s="30">
        <v>15.5</v>
      </c>
      <c r="L223" s="30">
        <v>15.3</v>
      </c>
      <c r="N223" s="4"/>
      <c r="BR223" s="1">
        <f t="shared" si="201"/>
        <v>6</v>
      </c>
      <c r="BS223" s="1" t="str">
        <f t="shared" si="202"/>
        <v>ミカエルシチー　　　　　　　　　　　</v>
      </c>
    </row>
    <row r="224" spans="1:71">
      <c r="A224" s="1" t="s">
        <v>88</v>
      </c>
      <c r="B224" s="1">
        <v>20190612</v>
      </c>
      <c r="C224" s="1" t="s">
        <v>92</v>
      </c>
      <c r="D224" s="1">
        <v>3</v>
      </c>
      <c r="E224" s="30">
        <v>63</v>
      </c>
      <c r="F224" s="30">
        <v>45.9</v>
      </c>
      <c r="G224" s="30">
        <v>30.4</v>
      </c>
      <c r="H224" s="30">
        <v>15.3</v>
      </c>
      <c r="I224" s="30">
        <v>17.100000000000001</v>
      </c>
      <c r="J224" s="30">
        <v>15.5</v>
      </c>
      <c r="K224" s="30">
        <v>15.1</v>
      </c>
      <c r="L224" s="30">
        <v>15.3</v>
      </c>
      <c r="N224" s="4"/>
      <c r="BR224" s="1">
        <f t="shared" si="201"/>
        <v>3</v>
      </c>
      <c r="BS224" s="1" t="str">
        <f t="shared" si="202"/>
        <v>ディアボレット　　　　　　　　　　　</v>
      </c>
    </row>
    <row r="225" spans="1:71">
      <c r="A225" s="1" t="s">
        <v>88</v>
      </c>
      <c r="B225" s="1">
        <v>20190613</v>
      </c>
      <c r="C225" s="1" t="s">
        <v>91</v>
      </c>
      <c r="D225" s="1">
        <v>2</v>
      </c>
      <c r="E225" s="30">
        <v>63.2</v>
      </c>
      <c r="F225" s="30">
        <v>46.5</v>
      </c>
      <c r="G225" s="30">
        <v>30.8</v>
      </c>
      <c r="H225" s="30">
        <v>15.3</v>
      </c>
      <c r="I225" s="30">
        <v>16.7</v>
      </c>
      <c r="J225" s="30">
        <v>15.7</v>
      </c>
      <c r="K225" s="30">
        <v>15.5</v>
      </c>
      <c r="L225" s="30">
        <v>15.3</v>
      </c>
      <c r="N225" s="4"/>
      <c r="BR225" s="1">
        <f t="shared" si="201"/>
        <v>2</v>
      </c>
      <c r="BS225" s="1" t="str">
        <f t="shared" si="202"/>
        <v>フェルトベルク　　　　　　　　　　　</v>
      </c>
    </row>
    <row r="226" spans="1:71">
      <c r="A226" s="1" t="s">
        <v>88</v>
      </c>
      <c r="B226" s="1">
        <v>20190619</v>
      </c>
      <c r="C226" s="1" t="s">
        <v>91</v>
      </c>
      <c r="D226" s="1">
        <v>2</v>
      </c>
      <c r="E226" s="30">
        <v>65.099999999999994</v>
      </c>
      <c r="F226" s="30">
        <v>46.6</v>
      </c>
      <c r="G226" s="30">
        <v>30.5</v>
      </c>
      <c r="H226" s="30">
        <v>15.3</v>
      </c>
      <c r="I226" s="30">
        <v>18.5</v>
      </c>
      <c r="J226" s="30">
        <v>16.100000000000001</v>
      </c>
      <c r="K226" s="30">
        <v>15.2</v>
      </c>
      <c r="L226" s="30">
        <v>15.3</v>
      </c>
      <c r="N226" s="4"/>
      <c r="BR226" s="1">
        <f t="shared" si="201"/>
        <v>2</v>
      </c>
      <c r="BS226" s="1" t="str">
        <f t="shared" si="202"/>
        <v>フェルトベルク　　　　　　　　　　　</v>
      </c>
    </row>
    <row r="227" spans="1:71">
      <c r="A227" s="1" t="s">
        <v>88</v>
      </c>
      <c r="B227" s="1">
        <v>20190705</v>
      </c>
      <c r="C227" s="1" t="s">
        <v>95</v>
      </c>
      <c r="D227" s="1">
        <v>6</v>
      </c>
      <c r="E227" s="30">
        <v>65.5</v>
      </c>
      <c r="F227" s="30">
        <v>47.8</v>
      </c>
      <c r="G227" s="30">
        <v>30.9</v>
      </c>
      <c r="H227" s="30">
        <v>15.3</v>
      </c>
      <c r="I227" s="30">
        <v>17.7</v>
      </c>
      <c r="J227" s="30">
        <v>16.899999999999999</v>
      </c>
      <c r="K227" s="30">
        <v>15.6</v>
      </c>
      <c r="L227" s="30">
        <v>15.3</v>
      </c>
      <c r="N227" s="4"/>
      <c r="BR227" s="1">
        <f t="shared" si="201"/>
        <v>6</v>
      </c>
      <c r="BS227" s="1" t="str">
        <f t="shared" si="202"/>
        <v>ミカエルシチー　　　　　　　　　　　</v>
      </c>
    </row>
    <row r="228" spans="1:71">
      <c r="A228" s="1" t="s">
        <v>88</v>
      </c>
      <c r="B228" s="1">
        <v>20190706</v>
      </c>
      <c r="C228" s="1" t="s">
        <v>91</v>
      </c>
      <c r="D228" s="1">
        <v>2</v>
      </c>
      <c r="E228" s="30">
        <v>65.2</v>
      </c>
      <c r="F228" s="30">
        <v>47.9</v>
      </c>
      <c r="G228" s="30">
        <v>31.3</v>
      </c>
      <c r="H228" s="30">
        <v>15.3</v>
      </c>
      <c r="I228" s="30">
        <v>17.3</v>
      </c>
      <c r="J228" s="30">
        <v>16.600000000000001</v>
      </c>
      <c r="K228" s="30">
        <v>16</v>
      </c>
      <c r="L228" s="30">
        <v>15.3</v>
      </c>
      <c r="N228" s="4"/>
      <c r="BR228" s="1">
        <f t="shared" si="201"/>
        <v>2</v>
      </c>
      <c r="BS228" s="1" t="str">
        <f t="shared" si="202"/>
        <v>フェルトベルク　　　　　　　　　　　</v>
      </c>
    </row>
    <row r="229" spans="1:71">
      <c r="A229" s="1" t="s">
        <v>88</v>
      </c>
      <c r="B229" s="1">
        <v>20190117</v>
      </c>
      <c r="C229" s="1" t="s">
        <v>94</v>
      </c>
      <c r="D229" s="1">
        <v>5</v>
      </c>
      <c r="E229" s="30">
        <v>65.7</v>
      </c>
      <c r="F229" s="30">
        <v>48</v>
      </c>
      <c r="G229" s="30">
        <v>31.4</v>
      </c>
      <c r="H229" s="30">
        <v>15.4</v>
      </c>
      <c r="I229" s="30">
        <v>17.7</v>
      </c>
      <c r="J229" s="30">
        <v>16.600000000000001</v>
      </c>
      <c r="K229" s="30">
        <v>16</v>
      </c>
      <c r="L229" s="30">
        <v>15.4</v>
      </c>
      <c r="N229" s="4"/>
      <c r="BR229" s="1">
        <f t="shared" si="201"/>
        <v>5</v>
      </c>
      <c r="BS229" s="1" t="str">
        <f t="shared" si="202"/>
        <v>シグナライズ　　　　　　　　　　　　</v>
      </c>
    </row>
    <row r="230" spans="1:71">
      <c r="A230" s="1" t="s">
        <v>88</v>
      </c>
      <c r="B230" s="1">
        <v>20190217</v>
      </c>
      <c r="C230" s="1" t="s">
        <v>94</v>
      </c>
      <c r="D230" s="1">
        <v>5</v>
      </c>
      <c r="E230" s="30">
        <v>66.400000000000006</v>
      </c>
      <c r="F230" s="30">
        <v>47.8</v>
      </c>
      <c r="G230" s="30">
        <v>31.1</v>
      </c>
      <c r="H230" s="30">
        <v>15.4</v>
      </c>
      <c r="I230" s="30">
        <v>18.600000000000001</v>
      </c>
      <c r="J230" s="30">
        <v>16.7</v>
      </c>
      <c r="K230" s="30">
        <v>15.7</v>
      </c>
      <c r="L230" s="30">
        <v>15.4</v>
      </c>
      <c r="N230" s="4"/>
      <c r="BR230" s="1">
        <f t="shared" si="201"/>
        <v>5</v>
      </c>
      <c r="BS230" s="1" t="str">
        <f t="shared" si="202"/>
        <v>シグナライズ　　　　　　　　　　　　</v>
      </c>
    </row>
    <row r="231" spans="1:71">
      <c r="A231" s="1" t="s">
        <v>88</v>
      </c>
      <c r="B231" s="1">
        <v>20190309</v>
      </c>
      <c r="C231" s="1" t="s">
        <v>91</v>
      </c>
      <c r="D231" s="1">
        <v>2</v>
      </c>
      <c r="E231" s="30">
        <v>63.7</v>
      </c>
      <c r="F231" s="30">
        <v>47</v>
      </c>
      <c r="G231" s="30">
        <v>31.2</v>
      </c>
      <c r="H231" s="30">
        <v>15.4</v>
      </c>
      <c r="I231" s="30">
        <v>16.7</v>
      </c>
      <c r="J231" s="30">
        <v>15.8</v>
      </c>
      <c r="K231" s="30">
        <v>15.8</v>
      </c>
      <c r="L231" s="30">
        <v>15.4</v>
      </c>
      <c r="N231" s="4"/>
      <c r="BR231" s="1">
        <f t="shared" si="201"/>
        <v>2</v>
      </c>
      <c r="BS231" s="1" t="str">
        <f t="shared" si="202"/>
        <v>フェルトベルク　　　　　　　　　　　</v>
      </c>
    </row>
    <row r="232" spans="1:71">
      <c r="A232" s="1" t="s">
        <v>88</v>
      </c>
      <c r="B232" s="1">
        <v>20190522</v>
      </c>
      <c r="C232" s="1" t="s">
        <v>91</v>
      </c>
      <c r="D232" s="1">
        <v>2</v>
      </c>
      <c r="E232" s="30">
        <v>62.9</v>
      </c>
      <c r="F232" s="30">
        <v>45.4</v>
      </c>
      <c r="G232" s="30">
        <v>30.3</v>
      </c>
      <c r="H232" s="30">
        <v>15.4</v>
      </c>
      <c r="I232" s="30">
        <v>17.5</v>
      </c>
      <c r="J232" s="30">
        <v>15.1</v>
      </c>
      <c r="K232" s="30">
        <v>14.9</v>
      </c>
      <c r="L232" s="30">
        <v>15.4</v>
      </c>
      <c r="N232" s="4"/>
      <c r="BR232" s="1">
        <f t="shared" si="201"/>
        <v>2</v>
      </c>
      <c r="BS232" s="1" t="str">
        <f t="shared" si="202"/>
        <v>フェルトベルク　　　　　　　　　　　</v>
      </c>
    </row>
    <row r="233" spans="1:71">
      <c r="A233" s="1" t="s">
        <v>88</v>
      </c>
      <c r="B233" s="1">
        <v>20190607</v>
      </c>
      <c r="C233" s="1" t="s">
        <v>92</v>
      </c>
      <c r="D233" s="1">
        <v>3</v>
      </c>
      <c r="E233" s="30">
        <v>70.3</v>
      </c>
      <c r="F233" s="30">
        <v>49.8</v>
      </c>
      <c r="G233" s="30">
        <v>31.6</v>
      </c>
      <c r="H233" s="30">
        <v>15.4</v>
      </c>
      <c r="I233" s="30">
        <v>20.5</v>
      </c>
      <c r="J233" s="30">
        <v>18.2</v>
      </c>
      <c r="K233" s="30">
        <v>16.2</v>
      </c>
      <c r="L233" s="30">
        <v>15.4</v>
      </c>
      <c r="N233" s="4"/>
      <c r="BR233" s="1">
        <f t="shared" si="201"/>
        <v>3</v>
      </c>
      <c r="BS233" s="1" t="str">
        <f t="shared" si="202"/>
        <v>ディアボレット　　　　　　　　　　　</v>
      </c>
    </row>
    <row r="234" spans="1:71">
      <c r="A234" s="1" t="s">
        <v>88</v>
      </c>
      <c r="B234" s="1">
        <v>20190607</v>
      </c>
      <c r="C234" s="1" t="s">
        <v>99</v>
      </c>
      <c r="D234" s="1">
        <v>10</v>
      </c>
      <c r="E234" s="30">
        <v>65.400000000000006</v>
      </c>
      <c r="F234" s="30">
        <v>48.9</v>
      </c>
      <c r="G234" s="30">
        <v>31.7</v>
      </c>
      <c r="H234" s="30">
        <v>15.4</v>
      </c>
      <c r="I234" s="30">
        <v>16.5</v>
      </c>
      <c r="J234" s="30">
        <v>17.2</v>
      </c>
      <c r="K234" s="30">
        <v>16.3</v>
      </c>
      <c r="L234" s="30">
        <v>15.4</v>
      </c>
      <c r="N234" s="4"/>
      <c r="BR234" s="1">
        <f t="shared" si="201"/>
        <v>10</v>
      </c>
      <c r="BS234" s="1" t="str">
        <f t="shared" si="202"/>
        <v>コンパウンダー　　　　　　　　　　　</v>
      </c>
    </row>
    <row r="235" spans="1:71">
      <c r="A235" s="1" t="s">
        <v>88</v>
      </c>
      <c r="B235" s="1">
        <v>20190612</v>
      </c>
      <c r="C235" s="1" t="s">
        <v>91</v>
      </c>
      <c r="D235" s="1">
        <v>2</v>
      </c>
      <c r="E235" s="30">
        <v>62.6</v>
      </c>
      <c r="F235" s="30">
        <v>46.3</v>
      </c>
      <c r="G235" s="30">
        <v>30.9</v>
      </c>
      <c r="H235" s="30">
        <v>15.4</v>
      </c>
      <c r="I235" s="30">
        <v>16.3</v>
      </c>
      <c r="J235" s="30">
        <v>15.4</v>
      </c>
      <c r="K235" s="30">
        <v>15.5</v>
      </c>
      <c r="L235" s="30">
        <v>15.4</v>
      </c>
      <c r="N235" s="4"/>
      <c r="BR235" s="1">
        <f t="shared" si="201"/>
        <v>2</v>
      </c>
      <c r="BS235" s="1" t="str">
        <f t="shared" si="202"/>
        <v>フェルトベルク　　　　　　　　　　　</v>
      </c>
    </row>
    <row r="236" spans="1:71">
      <c r="A236" s="1" t="s">
        <v>88</v>
      </c>
      <c r="B236" s="1">
        <v>20190629</v>
      </c>
      <c r="C236" s="1" t="s">
        <v>97</v>
      </c>
      <c r="D236" s="1">
        <v>8</v>
      </c>
      <c r="E236" s="30">
        <v>66.8</v>
      </c>
      <c r="F236" s="30">
        <v>48.3</v>
      </c>
      <c r="G236" s="30">
        <v>31.6</v>
      </c>
      <c r="H236" s="30">
        <v>15.4</v>
      </c>
      <c r="I236" s="30">
        <v>18.5</v>
      </c>
      <c r="J236" s="30">
        <v>16.7</v>
      </c>
      <c r="K236" s="30">
        <v>16.2</v>
      </c>
      <c r="L236" s="30">
        <v>15.4</v>
      </c>
      <c r="N236" s="4"/>
      <c r="BR236" s="1">
        <f t="shared" si="201"/>
        <v>8</v>
      </c>
      <c r="BS236" s="1" t="str">
        <f t="shared" si="202"/>
        <v>タマモメイトウ　　　　　　　　　　　</v>
      </c>
    </row>
    <row r="237" spans="1:71">
      <c r="A237" s="1" t="s">
        <v>88</v>
      </c>
      <c r="B237" s="1">
        <v>20190703</v>
      </c>
      <c r="C237" s="1" t="s">
        <v>92</v>
      </c>
      <c r="D237" s="1">
        <v>3</v>
      </c>
      <c r="E237" s="30">
        <v>69</v>
      </c>
      <c r="F237" s="30">
        <v>49.1</v>
      </c>
      <c r="G237" s="30">
        <v>31.9</v>
      </c>
      <c r="H237" s="30">
        <v>15.4</v>
      </c>
      <c r="I237" s="30">
        <v>19.899999999999999</v>
      </c>
      <c r="J237" s="30">
        <v>17.2</v>
      </c>
      <c r="K237" s="30">
        <v>16.5</v>
      </c>
      <c r="L237" s="30">
        <v>15.4</v>
      </c>
      <c r="N237" s="4"/>
      <c r="BR237" s="1">
        <f t="shared" si="201"/>
        <v>3</v>
      </c>
      <c r="BS237" s="1" t="str">
        <f t="shared" si="202"/>
        <v>ディアボレット　　　　　　　　　　　</v>
      </c>
    </row>
    <row r="238" spans="1:71">
      <c r="A238" s="1" t="s">
        <v>88</v>
      </c>
      <c r="B238" s="1">
        <v>20190704</v>
      </c>
      <c r="C238" s="1" t="s">
        <v>91</v>
      </c>
      <c r="D238" s="1">
        <v>2</v>
      </c>
      <c r="E238" s="30">
        <v>64.900000000000006</v>
      </c>
      <c r="F238" s="30">
        <v>47.2</v>
      </c>
      <c r="G238" s="30">
        <v>30.9</v>
      </c>
      <c r="H238" s="30">
        <v>15.4</v>
      </c>
      <c r="I238" s="30">
        <v>17.7</v>
      </c>
      <c r="J238" s="30">
        <v>16.3</v>
      </c>
      <c r="K238" s="30">
        <v>15.5</v>
      </c>
      <c r="L238" s="30">
        <v>15.4</v>
      </c>
      <c r="N238" s="4"/>
      <c r="BR238" s="1">
        <f t="shared" si="201"/>
        <v>2</v>
      </c>
      <c r="BS238" s="1" t="str">
        <f t="shared" si="202"/>
        <v>フェルトベルク　　　　　　　　　　　</v>
      </c>
    </row>
    <row r="239" spans="1:71">
      <c r="A239" s="1" t="s">
        <v>88</v>
      </c>
      <c r="B239" s="1">
        <v>20190222</v>
      </c>
      <c r="C239" s="1" t="s">
        <v>91</v>
      </c>
      <c r="D239" s="1">
        <v>2</v>
      </c>
      <c r="E239" s="30">
        <v>62.7</v>
      </c>
      <c r="F239" s="30">
        <v>46.3</v>
      </c>
      <c r="G239" s="30">
        <v>31</v>
      </c>
      <c r="H239" s="30">
        <v>15.5</v>
      </c>
      <c r="I239" s="30">
        <v>16.399999999999999</v>
      </c>
      <c r="J239" s="30">
        <v>15.3</v>
      </c>
      <c r="K239" s="30">
        <v>15.5</v>
      </c>
      <c r="L239" s="30">
        <v>15.5</v>
      </c>
      <c r="N239" s="4"/>
      <c r="BR239" s="1">
        <f t="shared" si="201"/>
        <v>2</v>
      </c>
      <c r="BS239" s="1" t="str">
        <f t="shared" si="202"/>
        <v>フェルトベルク　　　　　　　　　　　</v>
      </c>
    </row>
    <row r="240" spans="1:71">
      <c r="A240" s="1" t="s">
        <v>88</v>
      </c>
      <c r="B240" s="1">
        <v>20190226</v>
      </c>
      <c r="C240" s="1" t="s">
        <v>91</v>
      </c>
      <c r="D240" s="1">
        <v>2</v>
      </c>
      <c r="E240" s="30">
        <v>64</v>
      </c>
      <c r="F240" s="30">
        <v>47.5</v>
      </c>
      <c r="G240" s="30">
        <v>31.2</v>
      </c>
      <c r="H240" s="30">
        <v>15.5</v>
      </c>
      <c r="I240" s="30">
        <v>16.5</v>
      </c>
      <c r="J240" s="30">
        <v>16.3</v>
      </c>
      <c r="K240" s="30">
        <v>15.7</v>
      </c>
      <c r="L240" s="30">
        <v>15.5</v>
      </c>
      <c r="N240" s="4"/>
      <c r="BR240" s="1">
        <f t="shared" si="201"/>
        <v>2</v>
      </c>
      <c r="BS240" s="1" t="str">
        <f t="shared" si="202"/>
        <v>フェルトベルク　　　　　　　　　　　</v>
      </c>
    </row>
    <row r="241" spans="1:71">
      <c r="A241" s="1" t="s">
        <v>88</v>
      </c>
      <c r="B241" s="1">
        <v>20190301</v>
      </c>
      <c r="C241" s="1" t="s">
        <v>91</v>
      </c>
      <c r="D241" s="1">
        <v>2</v>
      </c>
      <c r="E241" s="30">
        <v>63.4</v>
      </c>
      <c r="F241" s="30">
        <v>46.7</v>
      </c>
      <c r="G241" s="30">
        <v>31.1</v>
      </c>
      <c r="H241" s="30">
        <v>15.5</v>
      </c>
      <c r="I241" s="30">
        <v>16.7</v>
      </c>
      <c r="J241" s="30">
        <v>15.6</v>
      </c>
      <c r="K241" s="30">
        <v>15.6</v>
      </c>
      <c r="L241" s="30">
        <v>15.5</v>
      </c>
      <c r="N241" s="4"/>
      <c r="BR241" s="1">
        <f t="shared" si="201"/>
        <v>2</v>
      </c>
      <c r="BS241" s="1" t="str">
        <f t="shared" si="202"/>
        <v>フェルトベルク　　　　　　　　　　　</v>
      </c>
    </row>
    <row r="242" spans="1:71">
      <c r="A242" s="1" t="s">
        <v>88</v>
      </c>
      <c r="B242" s="1">
        <v>20190305</v>
      </c>
      <c r="C242" s="1" t="s">
        <v>91</v>
      </c>
      <c r="D242" s="1">
        <v>2</v>
      </c>
      <c r="E242" s="30">
        <v>63</v>
      </c>
      <c r="F242" s="30">
        <v>46.3</v>
      </c>
      <c r="G242" s="30">
        <v>30.6</v>
      </c>
      <c r="H242" s="30">
        <v>15.5</v>
      </c>
      <c r="I242" s="30">
        <v>16.7</v>
      </c>
      <c r="J242" s="30">
        <v>15.7</v>
      </c>
      <c r="K242" s="30">
        <v>15.1</v>
      </c>
      <c r="L242" s="30">
        <v>15.5</v>
      </c>
      <c r="N242" s="4"/>
      <c r="BR242" s="1">
        <f t="shared" si="201"/>
        <v>2</v>
      </c>
      <c r="BS242" s="1" t="str">
        <f t="shared" si="202"/>
        <v>フェルトベルク　　　　　　　　　　　</v>
      </c>
    </row>
    <row r="243" spans="1:71">
      <c r="A243" s="1" t="s">
        <v>88</v>
      </c>
      <c r="B243" s="1">
        <v>20190328</v>
      </c>
      <c r="C243" s="1" t="s">
        <v>91</v>
      </c>
      <c r="D243" s="1">
        <v>2</v>
      </c>
      <c r="E243" s="30">
        <v>62.1</v>
      </c>
      <c r="F243" s="30">
        <v>45.9</v>
      </c>
      <c r="G243" s="30">
        <v>30.6</v>
      </c>
      <c r="H243" s="30">
        <v>15.5</v>
      </c>
      <c r="I243" s="30">
        <v>16.2</v>
      </c>
      <c r="J243" s="30">
        <v>15.3</v>
      </c>
      <c r="K243" s="30">
        <v>15.1</v>
      </c>
      <c r="L243" s="30">
        <v>15.5</v>
      </c>
      <c r="N243" s="4"/>
      <c r="BR243" s="1">
        <f t="shared" si="201"/>
        <v>2</v>
      </c>
      <c r="BS243" s="1" t="str">
        <f t="shared" si="202"/>
        <v>フェルトベルク　　　　　　　　　　　</v>
      </c>
    </row>
    <row r="244" spans="1:71">
      <c r="A244" s="1" t="s">
        <v>88</v>
      </c>
      <c r="B244" s="1">
        <v>20190416</v>
      </c>
      <c r="C244" s="1" t="s">
        <v>91</v>
      </c>
      <c r="D244" s="1">
        <v>2</v>
      </c>
      <c r="E244" s="30">
        <v>61.9</v>
      </c>
      <c r="F244" s="30">
        <v>46.1</v>
      </c>
      <c r="G244" s="30">
        <v>31</v>
      </c>
      <c r="H244" s="30">
        <v>15.5</v>
      </c>
      <c r="I244" s="30">
        <v>15.8</v>
      </c>
      <c r="J244" s="30">
        <v>15.1</v>
      </c>
      <c r="K244" s="30">
        <v>15.5</v>
      </c>
      <c r="L244" s="30">
        <v>15.5</v>
      </c>
      <c r="N244" s="4"/>
      <c r="BR244" s="1">
        <f t="shared" si="201"/>
        <v>2</v>
      </c>
      <c r="BS244" s="1" t="str">
        <f t="shared" si="202"/>
        <v>フェルトベルク　　　　　　　　　　　</v>
      </c>
    </row>
    <row r="245" spans="1:71">
      <c r="A245" s="1" t="s">
        <v>88</v>
      </c>
      <c r="B245" s="1">
        <v>20190508</v>
      </c>
      <c r="C245" s="1" t="s">
        <v>97</v>
      </c>
      <c r="D245" s="1">
        <v>8</v>
      </c>
      <c r="E245" s="30">
        <v>70</v>
      </c>
      <c r="F245" s="30">
        <v>50.1</v>
      </c>
      <c r="G245" s="30">
        <v>31.8</v>
      </c>
      <c r="H245" s="30">
        <v>15.5</v>
      </c>
      <c r="I245" s="30">
        <v>19.899999999999999</v>
      </c>
      <c r="J245" s="30">
        <v>18.3</v>
      </c>
      <c r="K245" s="30">
        <v>16.3</v>
      </c>
      <c r="L245" s="30">
        <v>15.5</v>
      </c>
      <c r="N245" s="4"/>
      <c r="BR245" s="1">
        <f t="shared" si="201"/>
        <v>8</v>
      </c>
      <c r="BS245" s="1" t="str">
        <f t="shared" si="202"/>
        <v>タマモメイトウ　　　　　　　　　　　</v>
      </c>
    </row>
    <row r="246" spans="1:71">
      <c r="A246" s="1" t="s">
        <v>88</v>
      </c>
      <c r="B246" s="1">
        <v>20190516</v>
      </c>
      <c r="C246" s="1" t="s">
        <v>91</v>
      </c>
      <c r="D246" s="1">
        <v>2</v>
      </c>
      <c r="E246" s="30">
        <v>62</v>
      </c>
      <c r="F246" s="30">
        <v>45.6</v>
      </c>
      <c r="G246" s="30">
        <v>30.5</v>
      </c>
      <c r="H246" s="30">
        <v>15.5</v>
      </c>
      <c r="I246" s="30">
        <v>16.399999999999999</v>
      </c>
      <c r="J246" s="30">
        <v>15.1</v>
      </c>
      <c r="K246" s="30">
        <v>15</v>
      </c>
      <c r="L246" s="30">
        <v>15.5</v>
      </c>
      <c r="N246" s="4"/>
      <c r="BR246" s="1">
        <f t="shared" si="201"/>
        <v>2</v>
      </c>
      <c r="BS246" s="1" t="str">
        <f t="shared" si="202"/>
        <v>フェルトベルク　　　　　　　　　　　</v>
      </c>
    </row>
    <row r="247" spans="1:71">
      <c r="A247" s="1" t="s">
        <v>88</v>
      </c>
      <c r="B247" s="1">
        <v>20190628</v>
      </c>
      <c r="C247" s="1" t="s">
        <v>95</v>
      </c>
      <c r="D247" s="1">
        <v>6</v>
      </c>
      <c r="E247" s="30">
        <v>66</v>
      </c>
      <c r="F247" s="30">
        <v>48.2</v>
      </c>
      <c r="G247" s="30">
        <v>31.4</v>
      </c>
      <c r="H247" s="30">
        <v>15.5</v>
      </c>
      <c r="I247" s="30">
        <v>17.8</v>
      </c>
      <c r="J247" s="30">
        <v>16.8</v>
      </c>
      <c r="K247" s="30">
        <v>15.9</v>
      </c>
      <c r="L247" s="30">
        <v>15.5</v>
      </c>
      <c r="N247" s="4"/>
      <c r="BR247" s="1">
        <f t="shared" si="201"/>
        <v>6</v>
      </c>
      <c r="BS247" s="1" t="str">
        <f t="shared" si="202"/>
        <v>ミカエルシチー　　　　　　　　　　　</v>
      </c>
    </row>
    <row r="248" spans="1:71">
      <c r="A248" s="1" t="s">
        <v>88</v>
      </c>
      <c r="B248" s="1">
        <v>20190629</v>
      </c>
      <c r="C248" s="1" t="s">
        <v>92</v>
      </c>
      <c r="D248" s="1">
        <v>3</v>
      </c>
      <c r="E248" s="30">
        <v>66.7</v>
      </c>
      <c r="F248" s="30">
        <v>48.2</v>
      </c>
      <c r="G248" s="30">
        <v>31.6</v>
      </c>
      <c r="H248" s="30">
        <v>15.5</v>
      </c>
      <c r="I248" s="30">
        <v>18.5</v>
      </c>
      <c r="J248" s="30">
        <v>16.600000000000001</v>
      </c>
      <c r="K248" s="30">
        <v>16.100000000000001</v>
      </c>
      <c r="L248" s="30">
        <v>15.5</v>
      </c>
      <c r="N248" s="4"/>
      <c r="BR248" s="1">
        <f t="shared" si="201"/>
        <v>3</v>
      </c>
      <c r="BS248" s="1" t="str">
        <f t="shared" si="202"/>
        <v>ディアボレット　　　　　　　　　　　</v>
      </c>
    </row>
    <row r="249" spans="1:71">
      <c r="A249" s="1" t="s">
        <v>88</v>
      </c>
      <c r="B249" s="1">
        <v>20190709</v>
      </c>
      <c r="C249" s="1" t="s">
        <v>97</v>
      </c>
      <c r="D249" s="1">
        <v>8</v>
      </c>
      <c r="E249" s="30">
        <v>63.6</v>
      </c>
      <c r="F249" s="30">
        <v>46</v>
      </c>
      <c r="G249" s="30">
        <v>30.1</v>
      </c>
      <c r="H249" s="30">
        <v>15.5</v>
      </c>
      <c r="I249" s="30">
        <v>17.600000000000001</v>
      </c>
      <c r="J249" s="30">
        <v>15.9</v>
      </c>
      <c r="K249" s="30">
        <v>14.6</v>
      </c>
      <c r="L249" s="30">
        <v>15.5</v>
      </c>
      <c r="N249" s="4"/>
      <c r="BR249" s="1">
        <f t="shared" si="201"/>
        <v>8</v>
      </c>
      <c r="BS249" s="1" t="str">
        <f t="shared" si="202"/>
        <v>タマモメイトウ　　　　　　　　　　　</v>
      </c>
    </row>
    <row r="250" spans="1:71">
      <c r="A250" s="1" t="s">
        <v>88</v>
      </c>
      <c r="B250" s="1">
        <v>20190712</v>
      </c>
      <c r="C250" s="1" t="s">
        <v>91</v>
      </c>
      <c r="D250" s="1">
        <v>2</v>
      </c>
      <c r="E250" s="30">
        <v>63.1</v>
      </c>
      <c r="F250" s="30">
        <v>45.5</v>
      </c>
      <c r="G250" s="30">
        <v>30.4</v>
      </c>
      <c r="H250" s="30">
        <v>15.5</v>
      </c>
      <c r="I250" s="30">
        <v>17.600000000000001</v>
      </c>
      <c r="J250" s="30">
        <v>15.1</v>
      </c>
      <c r="K250" s="30">
        <v>14.9</v>
      </c>
      <c r="L250" s="30">
        <v>15.5</v>
      </c>
      <c r="N250" s="4"/>
      <c r="BR250" s="1">
        <f t="shared" si="201"/>
        <v>2</v>
      </c>
      <c r="BS250" s="1" t="str">
        <f t="shared" si="202"/>
        <v>フェルトベルク　　　　　　　　　　　</v>
      </c>
    </row>
    <row r="251" spans="1:71">
      <c r="A251" s="1" t="s">
        <v>88</v>
      </c>
      <c r="B251" s="1">
        <v>20190712</v>
      </c>
      <c r="C251" s="1" t="s">
        <v>99</v>
      </c>
      <c r="D251" s="1">
        <v>10</v>
      </c>
      <c r="E251" s="30">
        <v>63.5</v>
      </c>
      <c r="F251" s="30">
        <v>46.9</v>
      </c>
      <c r="G251" s="30">
        <v>31</v>
      </c>
      <c r="H251" s="30">
        <v>15.5</v>
      </c>
      <c r="I251" s="30">
        <v>16.600000000000001</v>
      </c>
      <c r="J251" s="30">
        <v>15.9</v>
      </c>
      <c r="K251" s="30">
        <v>15.5</v>
      </c>
      <c r="L251" s="30">
        <v>15.5</v>
      </c>
      <c r="N251" s="4"/>
      <c r="BR251" s="1">
        <f t="shared" si="201"/>
        <v>10</v>
      </c>
      <c r="BS251" s="1" t="str">
        <f t="shared" si="202"/>
        <v>コンパウンダー　　　　　　　　　　　</v>
      </c>
    </row>
    <row r="252" spans="1:71">
      <c r="A252" s="1" t="s">
        <v>88</v>
      </c>
      <c r="B252" s="1">
        <v>20190712</v>
      </c>
      <c r="C252" s="1" t="s">
        <v>97</v>
      </c>
      <c r="D252" s="1">
        <v>8</v>
      </c>
      <c r="E252" s="30">
        <v>62.7</v>
      </c>
      <c r="F252" s="30">
        <v>45</v>
      </c>
      <c r="G252" s="30">
        <v>29.4</v>
      </c>
      <c r="H252" s="30">
        <v>15.5</v>
      </c>
      <c r="I252" s="30">
        <v>17.7</v>
      </c>
      <c r="J252" s="30">
        <v>15.6</v>
      </c>
      <c r="K252" s="30">
        <v>13.9</v>
      </c>
      <c r="L252" s="30">
        <v>15.5</v>
      </c>
      <c r="N252" s="4"/>
      <c r="BR252" s="1">
        <f t="shared" si="201"/>
        <v>8</v>
      </c>
      <c r="BS252" s="1" t="str">
        <f t="shared" si="202"/>
        <v>タマモメイトウ　　　　　　　　　　　</v>
      </c>
    </row>
    <row r="253" spans="1:71">
      <c r="A253" s="1" t="s">
        <v>88</v>
      </c>
      <c r="B253" s="1">
        <v>20190212</v>
      </c>
      <c r="C253" s="1" t="s">
        <v>92</v>
      </c>
      <c r="D253" s="1">
        <v>3</v>
      </c>
      <c r="E253" s="30">
        <v>65.3</v>
      </c>
      <c r="F253" s="30">
        <v>47.3</v>
      </c>
      <c r="G253" s="30">
        <v>31</v>
      </c>
      <c r="H253" s="30">
        <v>15.6</v>
      </c>
      <c r="I253" s="30">
        <v>18</v>
      </c>
      <c r="J253" s="30">
        <v>16.3</v>
      </c>
      <c r="K253" s="30">
        <v>15.4</v>
      </c>
      <c r="L253" s="30">
        <v>15.6</v>
      </c>
      <c r="N253" s="4"/>
      <c r="BR253" s="1">
        <f t="shared" si="201"/>
        <v>3</v>
      </c>
      <c r="BS253" s="1" t="str">
        <f t="shared" si="202"/>
        <v>ディアボレット　　　　　　　　　　　</v>
      </c>
    </row>
    <row r="254" spans="1:71">
      <c r="A254" s="1" t="s">
        <v>88</v>
      </c>
      <c r="B254" s="1">
        <v>20190302</v>
      </c>
      <c r="C254" s="1" t="s">
        <v>92</v>
      </c>
      <c r="D254" s="1">
        <v>3</v>
      </c>
      <c r="E254" s="30">
        <v>66.8</v>
      </c>
      <c r="F254" s="30">
        <v>48.6</v>
      </c>
      <c r="G254" s="30">
        <v>31.9</v>
      </c>
      <c r="H254" s="30">
        <v>15.6</v>
      </c>
      <c r="I254" s="30">
        <v>18.2</v>
      </c>
      <c r="J254" s="30">
        <v>16.7</v>
      </c>
      <c r="K254" s="30">
        <v>16.3</v>
      </c>
      <c r="L254" s="30">
        <v>15.6</v>
      </c>
      <c r="N254" s="4"/>
      <c r="BR254" s="1">
        <f t="shared" si="201"/>
        <v>3</v>
      </c>
      <c r="BS254" s="1" t="str">
        <f t="shared" si="202"/>
        <v>ディアボレット　　　　　　　　　　　</v>
      </c>
    </row>
    <row r="255" spans="1:71">
      <c r="A255" s="1" t="s">
        <v>88</v>
      </c>
      <c r="B255" s="1">
        <v>20190312</v>
      </c>
      <c r="C255" s="1" t="s">
        <v>91</v>
      </c>
      <c r="D255" s="1">
        <v>2</v>
      </c>
      <c r="E255" s="30">
        <v>62.4</v>
      </c>
      <c r="F255" s="30">
        <v>46.3</v>
      </c>
      <c r="G255" s="30">
        <v>31.2</v>
      </c>
      <c r="H255" s="30">
        <v>15.6</v>
      </c>
      <c r="I255" s="30">
        <v>16.100000000000001</v>
      </c>
      <c r="J255" s="30">
        <v>15.1</v>
      </c>
      <c r="K255" s="30">
        <v>15.6</v>
      </c>
      <c r="L255" s="30">
        <v>15.6</v>
      </c>
      <c r="N255" s="4"/>
      <c r="BR255" s="1">
        <f t="shared" si="201"/>
        <v>2</v>
      </c>
      <c r="BS255" s="1" t="str">
        <f t="shared" si="202"/>
        <v>フェルトベルク　　　　　　　　　　　</v>
      </c>
    </row>
    <row r="256" spans="1:71">
      <c r="A256" s="1" t="s">
        <v>88</v>
      </c>
      <c r="B256" s="1">
        <v>20190409</v>
      </c>
      <c r="C256" s="1" t="s">
        <v>97</v>
      </c>
      <c r="D256" s="1">
        <v>8</v>
      </c>
      <c r="E256" s="30">
        <v>67.599999999999994</v>
      </c>
      <c r="F256" s="30">
        <v>49.2</v>
      </c>
      <c r="G256" s="30">
        <v>31.9</v>
      </c>
      <c r="H256" s="30">
        <v>15.6</v>
      </c>
      <c r="I256" s="30">
        <v>18.399999999999999</v>
      </c>
      <c r="J256" s="30">
        <v>17.3</v>
      </c>
      <c r="K256" s="30">
        <v>16.3</v>
      </c>
      <c r="L256" s="30">
        <v>15.6</v>
      </c>
      <c r="N256" s="4"/>
      <c r="BR256" s="1">
        <f t="shared" si="201"/>
        <v>8</v>
      </c>
      <c r="BS256" s="1" t="str">
        <f t="shared" si="202"/>
        <v>タマモメイトウ　　　　　　　　　　　</v>
      </c>
    </row>
    <row r="257" spans="1:71">
      <c r="A257" s="1" t="s">
        <v>88</v>
      </c>
      <c r="B257" s="1">
        <v>20190419</v>
      </c>
      <c r="C257" s="1" t="s">
        <v>97</v>
      </c>
      <c r="D257" s="1">
        <v>8</v>
      </c>
      <c r="E257" s="30">
        <v>66.5</v>
      </c>
      <c r="F257" s="30">
        <v>49</v>
      </c>
      <c r="G257" s="30">
        <v>32.1</v>
      </c>
      <c r="H257" s="30">
        <v>15.6</v>
      </c>
      <c r="I257" s="30">
        <v>17.5</v>
      </c>
      <c r="J257" s="30">
        <v>16.899999999999999</v>
      </c>
      <c r="K257" s="30">
        <v>16.5</v>
      </c>
      <c r="L257" s="30">
        <v>15.6</v>
      </c>
      <c r="N257" s="4"/>
      <c r="BR257" s="1">
        <f t="shared" si="201"/>
        <v>8</v>
      </c>
      <c r="BS257" s="1" t="str">
        <f t="shared" si="202"/>
        <v>タマモメイトウ　　　　　　　　　　　</v>
      </c>
    </row>
    <row r="258" spans="1:71">
      <c r="A258" s="1" t="s">
        <v>88</v>
      </c>
      <c r="B258" s="1">
        <v>20190531</v>
      </c>
      <c r="C258" s="1" t="s">
        <v>95</v>
      </c>
      <c r="D258" s="1">
        <v>6</v>
      </c>
      <c r="E258" s="30">
        <v>63.3</v>
      </c>
      <c r="F258" s="30">
        <v>46.5</v>
      </c>
      <c r="G258" s="30">
        <v>30.7</v>
      </c>
      <c r="H258" s="30">
        <v>15.6</v>
      </c>
      <c r="I258" s="30">
        <v>16.8</v>
      </c>
      <c r="J258" s="30">
        <v>15.8</v>
      </c>
      <c r="K258" s="30">
        <v>15.1</v>
      </c>
      <c r="L258" s="30">
        <v>15.6</v>
      </c>
      <c r="N258" s="4"/>
      <c r="BR258" s="1">
        <f t="shared" si="201"/>
        <v>6</v>
      </c>
      <c r="BS258" s="1" t="str">
        <f t="shared" si="202"/>
        <v>ミカエルシチー　　　　　　　　　　　</v>
      </c>
    </row>
    <row r="259" spans="1:71">
      <c r="A259" s="1" t="s">
        <v>88</v>
      </c>
      <c r="B259" s="1">
        <v>20190608</v>
      </c>
      <c r="C259" s="1" t="s">
        <v>91</v>
      </c>
      <c r="D259" s="1">
        <v>2</v>
      </c>
      <c r="E259" s="30">
        <v>62</v>
      </c>
      <c r="F259" s="30">
        <v>45.9</v>
      </c>
      <c r="G259" s="30">
        <v>31.1</v>
      </c>
      <c r="H259" s="30">
        <v>15.6</v>
      </c>
      <c r="I259" s="30">
        <v>16.100000000000001</v>
      </c>
      <c r="J259" s="30">
        <v>14.8</v>
      </c>
      <c r="K259" s="30">
        <v>15.5</v>
      </c>
      <c r="L259" s="30">
        <v>15.6</v>
      </c>
      <c r="N259" s="4"/>
      <c r="BR259" s="1">
        <f t="shared" si="201"/>
        <v>2</v>
      </c>
      <c r="BS259" s="1" t="str">
        <f t="shared" si="202"/>
        <v>フェルトベルク　　　　　　　　　　　</v>
      </c>
    </row>
    <row r="260" spans="1:71">
      <c r="A260" s="1" t="s">
        <v>88</v>
      </c>
      <c r="B260" s="1">
        <v>20190614</v>
      </c>
      <c r="C260" s="1" t="s">
        <v>98</v>
      </c>
      <c r="D260" s="1">
        <v>9</v>
      </c>
      <c r="E260" s="30">
        <v>62.4</v>
      </c>
      <c r="F260" s="30">
        <v>45.2</v>
      </c>
      <c r="G260" s="30">
        <v>30.1</v>
      </c>
      <c r="H260" s="30">
        <v>15.6</v>
      </c>
      <c r="I260" s="30">
        <v>17.2</v>
      </c>
      <c r="J260" s="30">
        <v>15.1</v>
      </c>
      <c r="K260" s="30">
        <v>14.5</v>
      </c>
      <c r="L260" s="30">
        <v>15.6</v>
      </c>
      <c r="N260" s="4"/>
      <c r="BR260" s="1">
        <f t="shared" ref="BR260:BR300" si="203">D260</f>
        <v>9</v>
      </c>
      <c r="BS260" s="1" t="str">
        <f t="shared" ref="BS260:BS300" si="204">C260</f>
        <v>メイショウイサナ　　　　　　　　　　</v>
      </c>
    </row>
    <row r="261" spans="1:71">
      <c r="A261" s="1" t="s">
        <v>88</v>
      </c>
      <c r="B261" s="1">
        <v>20190621</v>
      </c>
      <c r="C261" s="1" t="s">
        <v>94</v>
      </c>
      <c r="D261" s="1">
        <v>5</v>
      </c>
      <c r="E261" s="30">
        <v>65.8</v>
      </c>
      <c r="F261" s="30">
        <v>48.6</v>
      </c>
      <c r="G261" s="30">
        <v>31.8</v>
      </c>
      <c r="H261" s="30">
        <v>15.6</v>
      </c>
      <c r="I261" s="30">
        <v>17.2</v>
      </c>
      <c r="J261" s="30">
        <v>16.8</v>
      </c>
      <c r="K261" s="30">
        <v>16.2</v>
      </c>
      <c r="L261" s="30">
        <v>15.6</v>
      </c>
      <c r="N261" s="4"/>
      <c r="BR261" s="1">
        <f t="shared" si="203"/>
        <v>5</v>
      </c>
      <c r="BS261" s="1" t="str">
        <f t="shared" si="204"/>
        <v>シグナライズ　　　　　　　　　　　　</v>
      </c>
    </row>
    <row r="262" spans="1:71">
      <c r="A262" s="1" t="s">
        <v>88</v>
      </c>
      <c r="B262" s="1">
        <v>20190629</v>
      </c>
      <c r="C262" s="1" t="s">
        <v>94</v>
      </c>
      <c r="D262" s="1">
        <v>5</v>
      </c>
      <c r="E262" s="30">
        <v>72.3</v>
      </c>
      <c r="F262" s="30">
        <v>51.1</v>
      </c>
      <c r="G262" s="30">
        <v>32.5</v>
      </c>
      <c r="H262" s="30">
        <v>15.6</v>
      </c>
      <c r="I262" s="30">
        <v>21.2</v>
      </c>
      <c r="J262" s="30">
        <v>18.600000000000001</v>
      </c>
      <c r="K262" s="30">
        <v>16.899999999999999</v>
      </c>
      <c r="L262" s="30">
        <v>15.6</v>
      </c>
      <c r="N262" s="4"/>
      <c r="BR262" s="1">
        <f t="shared" si="203"/>
        <v>5</v>
      </c>
      <c r="BS262" s="1" t="str">
        <f t="shared" si="204"/>
        <v>シグナライズ　　　　　　　　　　　　</v>
      </c>
    </row>
    <row r="263" spans="1:71">
      <c r="A263" s="1" t="s">
        <v>88</v>
      </c>
      <c r="B263" s="1">
        <v>20190706</v>
      </c>
      <c r="C263" s="1" t="s">
        <v>97</v>
      </c>
      <c r="D263" s="1">
        <v>8</v>
      </c>
      <c r="E263" s="30">
        <v>66.7</v>
      </c>
      <c r="F263" s="30">
        <v>48.1</v>
      </c>
      <c r="G263" s="30">
        <v>31.3</v>
      </c>
      <c r="H263" s="30">
        <v>15.6</v>
      </c>
      <c r="I263" s="30">
        <v>18.600000000000001</v>
      </c>
      <c r="J263" s="30">
        <v>16.8</v>
      </c>
      <c r="K263" s="30">
        <v>15.7</v>
      </c>
      <c r="L263" s="30">
        <v>15.6</v>
      </c>
      <c r="N263" s="4"/>
      <c r="BR263" s="1">
        <f t="shared" si="203"/>
        <v>8</v>
      </c>
      <c r="BS263" s="1" t="str">
        <f t="shared" si="204"/>
        <v>タマモメイトウ　　　　　　　　　　　</v>
      </c>
    </row>
    <row r="264" spans="1:71">
      <c r="A264" s="1" t="s">
        <v>88</v>
      </c>
      <c r="B264" s="1">
        <v>20190129</v>
      </c>
      <c r="C264" s="1" t="s">
        <v>99</v>
      </c>
      <c r="D264" s="1">
        <v>10</v>
      </c>
      <c r="E264" s="30">
        <v>64.900000000000006</v>
      </c>
      <c r="F264" s="30">
        <v>47.8</v>
      </c>
      <c r="G264" s="30">
        <v>31.6</v>
      </c>
      <c r="H264" s="30">
        <v>15.7</v>
      </c>
      <c r="I264" s="30">
        <v>17.100000000000001</v>
      </c>
      <c r="J264" s="30">
        <v>16.2</v>
      </c>
      <c r="K264" s="30">
        <v>15.9</v>
      </c>
      <c r="L264" s="30">
        <v>15.7</v>
      </c>
      <c r="N264" s="4"/>
      <c r="BR264" s="1">
        <f t="shared" si="203"/>
        <v>10</v>
      </c>
      <c r="BS264" s="1" t="str">
        <f t="shared" si="204"/>
        <v>コンパウンダー　　　　　　　　　　　</v>
      </c>
    </row>
    <row r="265" spans="1:71">
      <c r="A265" s="1" t="s">
        <v>88</v>
      </c>
      <c r="B265" s="1">
        <v>20190202</v>
      </c>
      <c r="C265" s="1" t="s">
        <v>92</v>
      </c>
      <c r="D265" s="1">
        <v>3</v>
      </c>
      <c r="E265" s="30">
        <v>68.2</v>
      </c>
      <c r="F265" s="30">
        <v>49.1</v>
      </c>
      <c r="G265" s="30">
        <v>32.1</v>
      </c>
      <c r="H265" s="30">
        <v>15.7</v>
      </c>
      <c r="I265" s="30">
        <v>19.100000000000001</v>
      </c>
      <c r="J265" s="30">
        <v>17</v>
      </c>
      <c r="K265" s="30">
        <v>16.399999999999999</v>
      </c>
      <c r="L265" s="30">
        <v>15.7</v>
      </c>
      <c r="N265" s="4"/>
      <c r="BR265" s="1">
        <f t="shared" si="203"/>
        <v>3</v>
      </c>
      <c r="BS265" s="1" t="str">
        <f t="shared" si="204"/>
        <v>ディアボレット　　　　　　　　　　　</v>
      </c>
    </row>
    <row r="266" spans="1:71">
      <c r="A266" s="1" t="s">
        <v>88</v>
      </c>
      <c r="B266" s="1">
        <v>20190205</v>
      </c>
      <c r="C266" s="1" t="s">
        <v>92</v>
      </c>
      <c r="D266" s="1">
        <v>3</v>
      </c>
      <c r="E266" s="30">
        <v>64.5</v>
      </c>
      <c r="F266" s="30">
        <v>47.1</v>
      </c>
      <c r="G266" s="30">
        <v>31.3</v>
      </c>
      <c r="H266" s="30">
        <v>15.7</v>
      </c>
      <c r="I266" s="30">
        <v>17.399999999999999</v>
      </c>
      <c r="J266" s="30">
        <v>15.8</v>
      </c>
      <c r="K266" s="30">
        <v>15.6</v>
      </c>
      <c r="L266" s="30">
        <v>15.7</v>
      </c>
      <c r="N266" s="4"/>
      <c r="BR266" s="1">
        <f t="shared" si="203"/>
        <v>3</v>
      </c>
      <c r="BS266" s="1" t="str">
        <f t="shared" si="204"/>
        <v>ディアボレット　　　　　　　　　　　</v>
      </c>
    </row>
    <row r="267" spans="1:71">
      <c r="A267" s="1" t="s">
        <v>88</v>
      </c>
      <c r="B267" s="1">
        <v>20190205</v>
      </c>
      <c r="C267" s="1" t="s">
        <v>97</v>
      </c>
      <c r="D267" s="1">
        <v>8</v>
      </c>
      <c r="E267" s="30">
        <v>62.8</v>
      </c>
      <c r="F267" s="30">
        <v>46.8</v>
      </c>
      <c r="G267" s="30">
        <v>31</v>
      </c>
      <c r="H267" s="30">
        <v>15.7</v>
      </c>
      <c r="I267" s="30">
        <v>16</v>
      </c>
      <c r="J267" s="30">
        <v>15.8</v>
      </c>
      <c r="K267" s="30">
        <v>15.3</v>
      </c>
      <c r="L267" s="30">
        <v>15.7</v>
      </c>
      <c r="N267" s="4"/>
      <c r="BR267" s="1">
        <f t="shared" si="203"/>
        <v>8</v>
      </c>
      <c r="BS267" s="1" t="str">
        <f t="shared" si="204"/>
        <v>タマモメイトウ　　　　　　　　　　　</v>
      </c>
    </row>
    <row r="268" spans="1:71">
      <c r="A268" s="1" t="s">
        <v>88</v>
      </c>
      <c r="B268" s="1">
        <v>20190224</v>
      </c>
      <c r="C268" s="1" t="s">
        <v>92</v>
      </c>
      <c r="D268" s="1">
        <v>3</v>
      </c>
      <c r="E268" s="30">
        <v>65.2</v>
      </c>
      <c r="F268" s="30">
        <v>47.3</v>
      </c>
      <c r="G268" s="30">
        <v>31.3</v>
      </c>
      <c r="H268" s="30">
        <v>15.7</v>
      </c>
      <c r="I268" s="30">
        <v>17.899999999999999</v>
      </c>
      <c r="J268" s="30">
        <v>16</v>
      </c>
      <c r="K268" s="30">
        <v>15.6</v>
      </c>
      <c r="L268" s="30">
        <v>15.7</v>
      </c>
      <c r="N268" s="4"/>
      <c r="BR268" s="1">
        <f t="shared" si="203"/>
        <v>3</v>
      </c>
      <c r="BS268" s="1" t="str">
        <f t="shared" si="204"/>
        <v>ディアボレット　　　　　　　　　　　</v>
      </c>
    </row>
    <row r="269" spans="1:71">
      <c r="A269" s="1" t="s">
        <v>88</v>
      </c>
      <c r="B269" s="1">
        <v>20190224</v>
      </c>
      <c r="C269" s="1" t="s">
        <v>92</v>
      </c>
      <c r="D269" s="1">
        <v>3</v>
      </c>
      <c r="E269" s="30">
        <v>65.2</v>
      </c>
      <c r="F269" s="30">
        <v>47.3</v>
      </c>
      <c r="G269" s="30">
        <v>31.3</v>
      </c>
      <c r="H269" s="30">
        <v>15.7</v>
      </c>
      <c r="I269" s="30">
        <v>17.899999999999999</v>
      </c>
      <c r="J269" s="30">
        <v>16</v>
      </c>
      <c r="K269" s="30">
        <v>15.6</v>
      </c>
      <c r="L269" s="30">
        <v>15.7</v>
      </c>
      <c r="N269" s="4"/>
      <c r="BR269" s="1">
        <f t="shared" si="203"/>
        <v>3</v>
      </c>
      <c r="BS269" s="1" t="str">
        <f t="shared" si="204"/>
        <v>ディアボレット　　　　　　　　　　　</v>
      </c>
    </row>
    <row r="270" spans="1:71">
      <c r="A270" s="1" t="s">
        <v>88</v>
      </c>
      <c r="B270" s="1">
        <v>20190312</v>
      </c>
      <c r="C270" s="1" t="s">
        <v>96</v>
      </c>
      <c r="D270" s="1">
        <v>7</v>
      </c>
      <c r="E270" s="30">
        <v>66.7</v>
      </c>
      <c r="F270" s="30">
        <v>48.6</v>
      </c>
      <c r="G270" s="30">
        <v>31.6</v>
      </c>
      <c r="H270" s="30">
        <v>15.7</v>
      </c>
      <c r="I270" s="30">
        <v>18.100000000000001</v>
      </c>
      <c r="J270" s="30">
        <v>17</v>
      </c>
      <c r="K270" s="30">
        <v>15.9</v>
      </c>
      <c r="L270" s="30">
        <v>15.7</v>
      </c>
      <c r="N270" s="4"/>
      <c r="BR270" s="1">
        <f t="shared" si="203"/>
        <v>7</v>
      </c>
      <c r="BS270" s="1" t="str">
        <f t="shared" si="204"/>
        <v>サヤカチャン　　　　　　　　　　　　</v>
      </c>
    </row>
    <row r="271" spans="1:71">
      <c r="A271" s="1" t="s">
        <v>88</v>
      </c>
      <c r="B271" s="1">
        <v>20190429</v>
      </c>
      <c r="C271" s="1" t="s">
        <v>92</v>
      </c>
      <c r="D271" s="1">
        <v>3</v>
      </c>
      <c r="E271" s="30">
        <v>66.2</v>
      </c>
      <c r="F271" s="30">
        <v>48.3</v>
      </c>
      <c r="G271" s="30">
        <v>32.1</v>
      </c>
      <c r="H271" s="30">
        <v>15.7</v>
      </c>
      <c r="I271" s="30">
        <v>17.899999999999999</v>
      </c>
      <c r="J271" s="30">
        <v>16.2</v>
      </c>
      <c r="K271" s="30">
        <v>16.399999999999999</v>
      </c>
      <c r="L271" s="30">
        <v>15.7</v>
      </c>
      <c r="N271" s="4"/>
      <c r="BR271" s="1">
        <f t="shared" si="203"/>
        <v>3</v>
      </c>
      <c r="BS271" s="1" t="str">
        <f t="shared" si="204"/>
        <v>ディアボレット　　　　　　　　　　　</v>
      </c>
    </row>
    <row r="272" spans="1:71">
      <c r="A272" s="1" t="s">
        <v>88</v>
      </c>
      <c r="B272" s="1">
        <v>20190429</v>
      </c>
      <c r="C272" s="1" t="s">
        <v>92</v>
      </c>
      <c r="D272" s="1">
        <v>3</v>
      </c>
      <c r="E272" s="30">
        <v>66.2</v>
      </c>
      <c r="F272" s="30">
        <v>48.3</v>
      </c>
      <c r="G272" s="30">
        <v>32.1</v>
      </c>
      <c r="H272" s="30">
        <v>15.7</v>
      </c>
      <c r="I272" s="30">
        <v>17.899999999999999</v>
      </c>
      <c r="J272" s="30">
        <v>16.2</v>
      </c>
      <c r="K272" s="30">
        <v>16.399999999999999</v>
      </c>
      <c r="L272" s="30">
        <v>15.7</v>
      </c>
      <c r="N272" s="4"/>
      <c r="BR272" s="1">
        <f t="shared" si="203"/>
        <v>3</v>
      </c>
      <c r="BS272" s="1" t="str">
        <f t="shared" si="204"/>
        <v>ディアボレット　　　　　　　　　　　</v>
      </c>
    </row>
    <row r="273" spans="1:71">
      <c r="A273" s="1" t="s">
        <v>88</v>
      </c>
      <c r="B273" s="1">
        <v>20190503</v>
      </c>
      <c r="C273" s="1" t="s">
        <v>91</v>
      </c>
      <c r="D273" s="1">
        <v>2</v>
      </c>
      <c r="E273" s="30">
        <v>61.8</v>
      </c>
      <c r="F273" s="30">
        <v>46.1</v>
      </c>
      <c r="G273" s="30">
        <v>31.1</v>
      </c>
      <c r="H273" s="30">
        <v>15.7</v>
      </c>
      <c r="I273" s="30">
        <v>15.7</v>
      </c>
      <c r="J273" s="30">
        <v>15</v>
      </c>
      <c r="K273" s="30">
        <v>15.4</v>
      </c>
      <c r="L273" s="30">
        <v>15.7</v>
      </c>
      <c r="N273" s="4"/>
      <c r="BR273" s="1">
        <f t="shared" si="203"/>
        <v>2</v>
      </c>
      <c r="BS273" s="1" t="str">
        <f t="shared" si="204"/>
        <v>フェルトベルク　　　　　　　　　　　</v>
      </c>
    </row>
    <row r="274" spans="1:71">
      <c r="A274" s="1" t="s">
        <v>88</v>
      </c>
      <c r="B274" s="1">
        <v>20190604</v>
      </c>
      <c r="C274" s="1" t="s">
        <v>98</v>
      </c>
      <c r="D274" s="1">
        <v>9</v>
      </c>
      <c r="E274" s="30">
        <v>66.599999999999994</v>
      </c>
      <c r="F274" s="30">
        <v>48.3</v>
      </c>
      <c r="G274" s="30">
        <v>31.6</v>
      </c>
      <c r="H274" s="30">
        <v>15.7</v>
      </c>
      <c r="I274" s="30">
        <v>18.3</v>
      </c>
      <c r="J274" s="30">
        <v>16.7</v>
      </c>
      <c r="K274" s="30">
        <v>15.9</v>
      </c>
      <c r="L274" s="30">
        <v>15.7</v>
      </c>
      <c r="N274" s="4"/>
      <c r="BR274" s="1">
        <f t="shared" si="203"/>
        <v>9</v>
      </c>
      <c r="BS274" s="1" t="str">
        <f t="shared" si="204"/>
        <v>メイショウイサナ　　　　　　　　　　</v>
      </c>
    </row>
    <row r="275" spans="1:71">
      <c r="A275" s="1" t="s">
        <v>88</v>
      </c>
      <c r="B275" s="1">
        <v>20190606</v>
      </c>
      <c r="C275" s="1" t="s">
        <v>91</v>
      </c>
      <c r="D275" s="1">
        <v>2</v>
      </c>
      <c r="E275" s="30">
        <v>65.5</v>
      </c>
      <c r="F275" s="30">
        <v>48.5</v>
      </c>
      <c r="G275" s="30">
        <v>32</v>
      </c>
      <c r="H275" s="30">
        <v>15.7</v>
      </c>
      <c r="I275" s="30">
        <v>17</v>
      </c>
      <c r="J275" s="30">
        <v>16.5</v>
      </c>
      <c r="K275" s="30">
        <v>16.3</v>
      </c>
      <c r="L275" s="30">
        <v>15.7</v>
      </c>
      <c r="N275" s="4"/>
      <c r="BR275" s="1">
        <f t="shared" si="203"/>
        <v>2</v>
      </c>
      <c r="BS275" s="1" t="str">
        <f t="shared" si="204"/>
        <v>フェルトベルク　　　　　　　　　　　</v>
      </c>
    </row>
    <row r="276" spans="1:71">
      <c r="A276" s="1" t="s">
        <v>88</v>
      </c>
      <c r="B276" s="1">
        <v>20190609</v>
      </c>
      <c r="C276" s="1" t="s">
        <v>92</v>
      </c>
      <c r="D276" s="1">
        <v>3</v>
      </c>
      <c r="E276" s="30">
        <v>70.7</v>
      </c>
      <c r="F276" s="30">
        <v>50.4</v>
      </c>
      <c r="G276" s="30">
        <v>32.299999999999997</v>
      </c>
      <c r="H276" s="30">
        <v>15.7</v>
      </c>
      <c r="I276" s="30">
        <v>20.3</v>
      </c>
      <c r="J276" s="30">
        <v>18.100000000000001</v>
      </c>
      <c r="K276" s="30">
        <v>16.600000000000001</v>
      </c>
      <c r="L276" s="30">
        <v>15.7</v>
      </c>
      <c r="N276" s="4"/>
      <c r="BR276" s="1">
        <f t="shared" si="203"/>
        <v>3</v>
      </c>
      <c r="BS276" s="1" t="str">
        <f t="shared" si="204"/>
        <v>ディアボレット　　　　　　　　　　　</v>
      </c>
    </row>
    <row r="277" spans="1:71">
      <c r="A277" s="1" t="s">
        <v>88</v>
      </c>
      <c r="B277" s="1">
        <v>20190609</v>
      </c>
      <c r="C277" s="1" t="s">
        <v>92</v>
      </c>
      <c r="D277" s="1">
        <v>3</v>
      </c>
      <c r="E277" s="30">
        <v>70.7</v>
      </c>
      <c r="F277" s="30">
        <v>50.4</v>
      </c>
      <c r="G277" s="30">
        <v>32.299999999999997</v>
      </c>
      <c r="H277" s="30">
        <v>15.7</v>
      </c>
      <c r="I277" s="30">
        <v>20.3</v>
      </c>
      <c r="J277" s="30">
        <v>18.100000000000001</v>
      </c>
      <c r="K277" s="30">
        <v>16.600000000000001</v>
      </c>
      <c r="L277" s="30">
        <v>15.7</v>
      </c>
      <c r="N277" s="4"/>
      <c r="BR277" s="1">
        <f t="shared" si="203"/>
        <v>3</v>
      </c>
      <c r="BS277" s="1" t="str">
        <f t="shared" si="204"/>
        <v>ディアボレット　　　　　　　　　　　</v>
      </c>
    </row>
    <row r="278" spans="1:71">
      <c r="A278" s="1" t="s">
        <v>88</v>
      </c>
      <c r="B278" s="1">
        <v>20190621</v>
      </c>
      <c r="C278" s="1" t="s">
        <v>93</v>
      </c>
      <c r="D278" s="1">
        <v>4</v>
      </c>
      <c r="E278" s="30">
        <v>65.900000000000006</v>
      </c>
      <c r="F278" s="30">
        <v>48.3</v>
      </c>
      <c r="G278" s="30">
        <v>31.9</v>
      </c>
      <c r="H278" s="30">
        <v>15.7</v>
      </c>
      <c r="I278" s="30">
        <v>17.600000000000001</v>
      </c>
      <c r="J278" s="30">
        <v>16.399999999999999</v>
      </c>
      <c r="K278" s="30">
        <v>16.2</v>
      </c>
      <c r="L278" s="30">
        <v>15.7</v>
      </c>
      <c r="N278" s="4"/>
      <c r="BR278" s="1">
        <f t="shared" si="203"/>
        <v>4</v>
      </c>
      <c r="BS278" s="1" t="str">
        <f t="shared" si="204"/>
        <v>ウィズ　　　　　　　　　　　　　　　</v>
      </c>
    </row>
    <row r="279" spans="1:71">
      <c r="A279" s="1" t="s">
        <v>88</v>
      </c>
      <c r="B279" s="1">
        <v>20190622</v>
      </c>
      <c r="C279" s="1" t="s">
        <v>98</v>
      </c>
      <c r="D279" s="1">
        <v>9</v>
      </c>
      <c r="E279" s="30">
        <v>67.900000000000006</v>
      </c>
      <c r="F279" s="30">
        <v>48.7</v>
      </c>
      <c r="G279" s="30">
        <v>31.6</v>
      </c>
      <c r="H279" s="30">
        <v>15.7</v>
      </c>
      <c r="I279" s="30">
        <v>19.2</v>
      </c>
      <c r="J279" s="30">
        <v>17.100000000000001</v>
      </c>
      <c r="K279" s="30">
        <v>15.9</v>
      </c>
      <c r="L279" s="30">
        <v>15.7</v>
      </c>
      <c r="N279" s="4"/>
      <c r="BR279" s="1">
        <f t="shared" si="203"/>
        <v>9</v>
      </c>
      <c r="BS279" s="1" t="str">
        <f t="shared" si="204"/>
        <v>メイショウイサナ　　　　　　　　　　</v>
      </c>
    </row>
    <row r="280" spans="1:71">
      <c r="A280" s="1" t="s">
        <v>88</v>
      </c>
      <c r="B280" s="1">
        <v>20190625</v>
      </c>
      <c r="C280" s="1" t="s">
        <v>90</v>
      </c>
      <c r="D280" s="1">
        <v>1</v>
      </c>
      <c r="E280" s="30">
        <v>63.6</v>
      </c>
      <c r="F280" s="30">
        <v>47.4</v>
      </c>
      <c r="G280" s="30">
        <v>31.4</v>
      </c>
      <c r="H280" s="30">
        <v>15.7</v>
      </c>
      <c r="I280" s="30">
        <v>16.2</v>
      </c>
      <c r="J280" s="30">
        <v>16</v>
      </c>
      <c r="K280" s="30">
        <v>15.7</v>
      </c>
      <c r="L280" s="30">
        <v>15.7</v>
      </c>
      <c r="N280" s="4"/>
      <c r="BR280" s="1">
        <f t="shared" si="203"/>
        <v>1</v>
      </c>
      <c r="BS280" s="1" t="str">
        <f t="shared" si="204"/>
        <v>コウエイダリア　　　　　　　　　　　</v>
      </c>
    </row>
    <row r="281" spans="1:71">
      <c r="A281" s="1" t="s">
        <v>88</v>
      </c>
      <c r="B281" s="1">
        <v>20190702</v>
      </c>
      <c r="C281" s="1" t="s">
        <v>93</v>
      </c>
      <c r="D281" s="1">
        <v>4</v>
      </c>
      <c r="E281" s="30">
        <v>64.8</v>
      </c>
      <c r="F281" s="30">
        <v>47.5</v>
      </c>
      <c r="G281" s="30">
        <v>31.6</v>
      </c>
      <c r="H281" s="30">
        <v>15.7</v>
      </c>
      <c r="I281" s="30">
        <v>17.3</v>
      </c>
      <c r="J281" s="30">
        <v>15.9</v>
      </c>
      <c r="K281" s="30">
        <v>15.9</v>
      </c>
      <c r="L281" s="30">
        <v>15.7</v>
      </c>
      <c r="N281" s="4"/>
      <c r="BR281" s="1">
        <f t="shared" si="203"/>
        <v>4</v>
      </c>
      <c r="BS281" s="1" t="str">
        <f t="shared" si="204"/>
        <v>ウィズ　　　　　　　　　　　　　　　</v>
      </c>
    </row>
    <row r="282" spans="1:71">
      <c r="A282" s="1" t="s">
        <v>88</v>
      </c>
      <c r="B282" s="1">
        <v>20190705</v>
      </c>
      <c r="C282" s="1" t="s">
        <v>97</v>
      </c>
      <c r="D282" s="1">
        <v>8</v>
      </c>
      <c r="E282" s="30">
        <v>67.099999999999994</v>
      </c>
      <c r="F282" s="30">
        <v>49.3</v>
      </c>
      <c r="G282" s="30">
        <v>31.8</v>
      </c>
      <c r="H282" s="30">
        <v>15.7</v>
      </c>
      <c r="I282" s="30">
        <v>17.8</v>
      </c>
      <c r="J282" s="30">
        <v>17.5</v>
      </c>
      <c r="K282" s="30">
        <v>16.100000000000001</v>
      </c>
      <c r="L282" s="30">
        <v>15.7</v>
      </c>
      <c r="N282" s="4"/>
      <c r="BR282" s="1">
        <f t="shared" si="203"/>
        <v>8</v>
      </c>
      <c r="BS282" s="1" t="str">
        <f t="shared" si="204"/>
        <v>タマモメイトウ　　　　　　　　　　　</v>
      </c>
    </row>
    <row r="283" spans="1:71">
      <c r="A283" s="1" t="s">
        <v>88</v>
      </c>
      <c r="B283" s="1">
        <v>20190709</v>
      </c>
      <c r="C283" s="1" t="s">
        <v>93</v>
      </c>
      <c r="D283" s="1">
        <v>4</v>
      </c>
      <c r="E283" s="30">
        <v>65.8</v>
      </c>
      <c r="F283" s="30">
        <v>48.7</v>
      </c>
      <c r="G283" s="30">
        <v>32.200000000000003</v>
      </c>
      <c r="H283" s="30">
        <v>15.7</v>
      </c>
      <c r="I283" s="30">
        <v>17.100000000000001</v>
      </c>
      <c r="J283" s="30">
        <v>16.5</v>
      </c>
      <c r="K283" s="30">
        <v>16.5</v>
      </c>
      <c r="L283" s="30">
        <v>15.7</v>
      </c>
      <c r="N283" s="4"/>
      <c r="BR283" s="1">
        <f t="shared" si="203"/>
        <v>4</v>
      </c>
      <c r="BS283" s="1" t="str">
        <f t="shared" si="204"/>
        <v>ウィズ　　　　　　　　　　　　　　　</v>
      </c>
    </row>
    <row r="284" spans="1:71">
      <c r="A284" s="1" t="s">
        <v>88</v>
      </c>
      <c r="B284" s="1">
        <v>20190114</v>
      </c>
      <c r="C284" s="1" t="s">
        <v>99</v>
      </c>
      <c r="D284" s="1">
        <v>10</v>
      </c>
      <c r="E284" s="30">
        <v>66.099999999999994</v>
      </c>
      <c r="F284" s="30">
        <v>49.1</v>
      </c>
      <c r="G284" s="30">
        <v>31.9</v>
      </c>
      <c r="H284" s="30">
        <v>15.8</v>
      </c>
      <c r="I284" s="30">
        <v>17</v>
      </c>
      <c r="J284" s="30">
        <v>17.2</v>
      </c>
      <c r="K284" s="30">
        <v>16.100000000000001</v>
      </c>
      <c r="L284" s="30">
        <v>15.8</v>
      </c>
      <c r="N284" s="4"/>
      <c r="BR284" s="1">
        <f t="shared" si="203"/>
        <v>10</v>
      </c>
      <c r="BS284" s="1" t="str">
        <f t="shared" si="204"/>
        <v>コンパウンダー　　　　　　　　　　　</v>
      </c>
    </row>
    <row r="285" spans="1:71">
      <c r="A285" s="1" t="s">
        <v>88</v>
      </c>
      <c r="B285" s="1">
        <v>20190123</v>
      </c>
      <c r="C285" s="1" t="s">
        <v>98</v>
      </c>
      <c r="D285" s="1">
        <v>9</v>
      </c>
      <c r="E285" s="30">
        <v>66.900000000000006</v>
      </c>
      <c r="F285" s="30">
        <v>49</v>
      </c>
      <c r="G285" s="30">
        <v>31.6</v>
      </c>
      <c r="H285" s="30">
        <v>15.8</v>
      </c>
      <c r="I285" s="30">
        <v>17.899999999999999</v>
      </c>
      <c r="J285" s="30">
        <v>17.399999999999999</v>
      </c>
      <c r="K285" s="30">
        <v>15.8</v>
      </c>
      <c r="L285" s="30">
        <v>15.8</v>
      </c>
      <c r="N285" s="4"/>
      <c r="BR285" s="1">
        <f t="shared" si="203"/>
        <v>9</v>
      </c>
      <c r="BS285" s="1" t="str">
        <f t="shared" si="204"/>
        <v>メイショウイサナ　　　　　　　　　　</v>
      </c>
    </row>
    <row r="286" spans="1:71">
      <c r="A286" s="1" t="s">
        <v>88</v>
      </c>
      <c r="B286" s="1">
        <v>20190215</v>
      </c>
      <c r="C286" s="1" t="s">
        <v>96</v>
      </c>
      <c r="D286" s="1">
        <v>7</v>
      </c>
      <c r="E286" s="30">
        <v>65.099999999999994</v>
      </c>
      <c r="F286" s="30">
        <v>47.6</v>
      </c>
      <c r="G286" s="30">
        <v>31.5</v>
      </c>
      <c r="H286" s="30">
        <v>15.8</v>
      </c>
      <c r="I286" s="30">
        <v>17.5</v>
      </c>
      <c r="J286" s="30">
        <v>16.100000000000001</v>
      </c>
      <c r="K286" s="30">
        <v>15.7</v>
      </c>
      <c r="L286" s="30">
        <v>15.8</v>
      </c>
      <c r="N286" s="4"/>
      <c r="BR286" s="1">
        <f t="shared" si="203"/>
        <v>7</v>
      </c>
      <c r="BS286" s="1" t="str">
        <f t="shared" si="204"/>
        <v>サヤカチャン　　　　　　　　　　　　</v>
      </c>
    </row>
    <row r="287" spans="1:71">
      <c r="A287" s="1" t="s">
        <v>88</v>
      </c>
      <c r="B287" s="1">
        <v>20190302</v>
      </c>
      <c r="C287" s="1" t="s">
        <v>91</v>
      </c>
      <c r="D287" s="1">
        <v>2</v>
      </c>
      <c r="E287" s="30">
        <v>61.6</v>
      </c>
      <c r="F287" s="30">
        <v>45.6</v>
      </c>
      <c r="G287" s="30">
        <v>30.9</v>
      </c>
      <c r="H287" s="30">
        <v>15.8</v>
      </c>
      <c r="I287" s="30">
        <v>16</v>
      </c>
      <c r="J287" s="30">
        <v>14.7</v>
      </c>
      <c r="K287" s="30">
        <v>15.1</v>
      </c>
      <c r="L287" s="30">
        <v>15.8</v>
      </c>
      <c r="N287" s="4"/>
      <c r="BR287" s="1">
        <f t="shared" si="203"/>
        <v>2</v>
      </c>
      <c r="BS287" s="1" t="str">
        <f t="shared" si="204"/>
        <v>フェルトベルク　　　　　　　　　　　</v>
      </c>
    </row>
    <row r="288" spans="1:71">
      <c r="A288" s="1" t="s">
        <v>88</v>
      </c>
      <c r="B288" s="1">
        <v>20190308</v>
      </c>
      <c r="C288" s="1" t="s">
        <v>91</v>
      </c>
      <c r="D288" s="1">
        <v>2</v>
      </c>
      <c r="E288" s="30">
        <v>64.099999999999994</v>
      </c>
      <c r="F288" s="30">
        <v>46.6</v>
      </c>
      <c r="G288" s="30">
        <v>31</v>
      </c>
      <c r="H288" s="30">
        <v>15.8</v>
      </c>
      <c r="I288" s="30">
        <v>17.5</v>
      </c>
      <c r="J288" s="30">
        <v>15.6</v>
      </c>
      <c r="K288" s="30">
        <v>15.2</v>
      </c>
      <c r="L288" s="30">
        <v>15.8</v>
      </c>
      <c r="N288" s="4"/>
      <c r="BR288" s="1">
        <f t="shared" si="203"/>
        <v>2</v>
      </c>
      <c r="BS288" s="1" t="str">
        <f t="shared" si="204"/>
        <v>フェルトベルク　　　　　　　　　　　</v>
      </c>
    </row>
    <row r="289" spans="1:71">
      <c r="A289" s="1" t="s">
        <v>88</v>
      </c>
      <c r="B289" s="1">
        <v>20190309</v>
      </c>
      <c r="C289" s="1" t="s">
        <v>96</v>
      </c>
      <c r="D289" s="1">
        <v>7</v>
      </c>
      <c r="E289" s="30">
        <v>65.599999999999994</v>
      </c>
      <c r="F289" s="30">
        <v>48</v>
      </c>
      <c r="G289" s="30">
        <v>31.6</v>
      </c>
      <c r="H289" s="30">
        <v>15.8</v>
      </c>
      <c r="I289" s="30">
        <v>17.600000000000001</v>
      </c>
      <c r="J289" s="30">
        <v>16.399999999999999</v>
      </c>
      <c r="K289" s="30">
        <v>15.8</v>
      </c>
      <c r="L289" s="30">
        <v>15.8</v>
      </c>
      <c r="N289" s="4"/>
      <c r="BR289" s="1">
        <f t="shared" si="203"/>
        <v>7</v>
      </c>
      <c r="BS289" s="1" t="str">
        <f t="shared" si="204"/>
        <v>サヤカチャン　　　　　　　　　　　　</v>
      </c>
    </row>
    <row r="290" spans="1:71">
      <c r="A290" s="1" t="s">
        <v>88</v>
      </c>
      <c r="B290" s="1">
        <v>20190417</v>
      </c>
      <c r="C290" s="1" t="s">
        <v>91</v>
      </c>
      <c r="D290" s="1">
        <v>2</v>
      </c>
      <c r="E290" s="30">
        <v>65.5</v>
      </c>
      <c r="F290" s="30">
        <v>49.2</v>
      </c>
      <c r="G290" s="30">
        <v>32.799999999999997</v>
      </c>
      <c r="H290" s="30">
        <v>15.8</v>
      </c>
      <c r="I290" s="30">
        <v>16.3</v>
      </c>
      <c r="J290" s="30">
        <v>16.399999999999999</v>
      </c>
      <c r="K290" s="30">
        <v>17</v>
      </c>
      <c r="L290" s="30">
        <v>15.8</v>
      </c>
      <c r="N290" s="4"/>
      <c r="BR290" s="1">
        <f t="shared" si="203"/>
        <v>2</v>
      </c>
      <c r="BS290" s="1" t="str">
        <f t="shared" si="204"/>
        <v>フェルトベルク　　　　　　　　　　　</v>
      </c>
    </row>
    <row r="291" spans="1:71">
      <c r="A291" s="1" t="s">
        <v>88</v>
      </c>
      <c r="B291" s="1">
        <v>20190426</v>
      </c>
      <c r="C291" s="1" t="s">
        <v>91</v>
      </c>
      <c r="D291" s="1">
        <v>2</v>
      </c>
      <c r="E291" s="30">
        <v>64.099999999999994</v>
      </c>
      <c r="F291" s="30">
        <v>48.5</v>
      </c>
      <c r="G291" s="30">
        <v>32.5</v>
      </c>
      <c r="H291" s="30">
        <v>15.8</v>
      </c>
      <c r="I291" s="30">
        <v>15.6</v>
      </c>
      <c r="J291" s="30">
        <v>16</v>
      </c>
      <c r="K291" s="30">
        <v>16.7</v>
      </c>
      <c r="L291" s="30">
        <v>15.8</v>
      </c>
      <c r="N291" s="4"/>
      <c r="BR291" s="1">
        <f t="shared" si="203"/>
        <v>2</v>
      </c>
      <c r="BS291" s="1" t="str">
        <f t="shared" si="204"/>
        <v>フェルトベルク　　　　　　　　　　　</v>
      </c>
    </row>
    <row r="292" spans="1:71">
      <c r="A292" s="1" t="s">
        <v>88</v>
      </c>
      <c r="B292" s="1">
        <v>20190516</v>
      </c>
      <c r="C292" s="1" t="s">
        <v>95</v>
      </c>
      <c r="D292" s="1">
        <v>6</v>
      </c>
      <c r="E292" s="30">
        <v>63.2</v>
      </c>
      <c r="F292" s="30">
        <v>47</v>
      </c>
      <c r="G292" s="30">
        <v>31.5</v>
      </c>
      <c r="H292" s="30">
        <v>15.8</v>
      </c>
      <c r="I292" s="30">
        <v>16.2</v>
      </c>
      <c r="J292" s="30">
        <v>15.5</v>
      </c>
      <c r="K292" s="30">
        <v>15.7</v>
      </c>
      <c r="L292" s="30">
        <v>15.8</v>
      </c>
      <c r="N292" s="4"/>
      <c r="BR292" s="1">
        <f t="shared" si="203"/>
        <v>6</v>
      </c>
      <c r="BS292" s="1" t="str">
        <f t="shared" si="204"/>
        <v>ミカエルシチー　　　　　　　　　　　</v>
      </c>
    </row>
    <row r="293" spans="1:71">
      <c r="A293" s="1" t="s">
        <v>88</v>
      </c>
      <c r="B293" s="1">
        <v>20190530</v>
      </c>
      <c r="C293" s="1" t="s">
        <v>98</v>
      </c>
      <c r="D293" s="1">
        <v>9</v>
      </c>
      <c r="E293" s="30">
        <v>64.2</v>
      </c>
      <c r="F293" s="30">
        <v>46.7</v>
      </c>
      <c r="G293" s="30">
        <v>31.2</v>
      </c>
      <c r="H293" s="30">
        <v>15.8</v>
      </c>
      <c r="I293" s="30">
        <v>17.5</v>
      </c>
      <c r="J293" s="30">
        <v>15.5</v>
      </c>
      <c r="K293" s="30">
        <v>15.4</v>
      </c>
      <c r="L293" s="30">
        <v>15.8</v>
      </c>
      <c r="N293" s="4"/>
      <c r="BR293" s="1">
        <f t="shared" si="203"/>
        <v>9</v>
      </c>
      <c r="BS293" s="1" t="str">
        <f t="shared" si="204"/>
        <v>メイショウイサナ　　　　　　　　　　</v>
      </c>
    </row>
    <row r="294" spans="1:71">
      <c r="A294" s="1" t="s">
        <v>88</v>
      </c>
      <c r="B294" s="1">
        <v>20190611</v>
      </c>
      <c r="C294" s="1" t="s">
        <v>93</v>
      </c>
      <c r="D294" s="1">
        <v>4</v>
      </c>
      <c r="E294" s="30">
        <v>64.400000000000006</v>
      </c>
      <c r="F294" s="30">
        <v>48.2</v>
      </c>
      <c r="G294" s="30">
        <v>32</v>
      </c>
      <c r="H294" s="30">
        <v>15.8</v>
      </c>
      <c r="I294" s="30">
        <v>16.2</v>
      </c>
      <c r="J294" s="30">
        <v>16.2</v>
      </c>
      <c r="K294" s="30">
        <v>16.2</v>
      </c>
      <c r="L294" s="30">
        <v>15.8</v>
      </c>
      <c r="N294" s="4"/>
      <c r="BR294" s="1">
        <f t="shared" si="203"/>
        <v>4</v>
      </c>
      <c r="BS294" s="1" t="str">
        <f t="shared" si="204"/>
        <v>ウィズ　　　　　　　　　　　　　　　</v>
      </c>
    </row>
    <row r="295" spans="1:71">
      <c r="A295" s="1" t="s">
        <v>88</v>
      </c>
      <c r="B295" s="1">
        <v>20190622</v>
      </c>
      <c r="C295" s="1" t="s">
        <v>99</v>
      </c>
      <c r="D295" s="1">
        <v>10</v>
      </c>
      <c r="E295" s="30">
        <v>65.7</v>
      </c>
      <c r="F295" s="30">
        <v>48.8</v>
      </c>
      <c r="G295" s="30">
        <v>32</v>
      </c>
      <c r="H295" s="30">
        <v>15.8</v>
      </c>
      <c r="I295" s="30">
        <v>16.899999999999999</v>
      </c>
      <c r="J295" s="30">
        <v>16.8</v>
      </c>
      <c r="K295" s="30">
        <v>16.2</v>
      </c>
      <c r="L295" s="30">
        <v>15.8</v>
      </c>
      <c r="N295" s="4"/>
      <c r="BR295" s="1">
        <f t="shared" si="203"/>
        <v>10</v>
      </c>
      <c r="BS295" s="1" t="str">
        <f t="shared" si="204"/>
        <v>コンパウンダー　　　　　　　　　　　</v>
      </c>
    </row>
    <row r="296" spans="1:71">
      <c r="A296" s="1" t="s">
        <v>88</v>
      </c>
      <c r="B296" s="1">
        <v>20190118</v>
      </c>
      <c r="C296" s="1" t="s">
        <v>99</v>
      </c>
      <c r="D296" s="1">
        <v>10</v>
      </c>
      <c r="E296" s="30">
        <v>66</v>
      </c>
      <c r="F296" s="30">
        <v>48.5</v>
      </c>
      <c r="G296" s="30">
        <v>31.8</v>
      </c>
      <c r="H296" s="30">
        <v>15.9</v>
      </c>
      <c r="I296" s="30">
        <v>17.5</v>
      </c>
      <c r="J296" s="30">
        <v>16.7</v>
      </c>
      <c r="K296" s="30">
        <v>15.9</v>
      </c>
      <c r="L296" s="30">
        <v>15.9</v>
      </c>
      <c r="N296" s="4"/>
      <c r="BR296" s="1">
        <f t="shared" si="203"/>
        <v>10</v>
      </c>
      <c r="BS296" s="1" t="str">
        <f t="shared" si="204"/>
        <v>コンパウンダー　　　　　　　　　　　</v>
      </c>
    </row>
    <row r="297" spans="1:71">
      <c r="A297" s="1" t="s">
        <v>88</v>
      </c>
      <c r="B297" s="1">
        <v>20190210</v>
      </c>
      <c r="C297" s="1" t="s">
        <v>92</v>
      </c>
      <c r="D297" s="1">
        <v>3</v>
      </c>
      <c r="E297" s="30">
        <v>62.7</v>
      </c>
      <c r="F297" s="30">
        <v>46.4</v>
      </c>
      <c r="G297" s="30">
        <v>31.4</v>
      </c>
      <c r="H297" s="30">
        <v>15.9</v>
      </c>
      <c r="I297" s="30">
        <v>16.3</v>
      </c>
      <c r="J297" s="30">
        <v>15</v>
      </c>
      <c r="K297" s="30">
        <v>15.5</v>
      </c>
      <c r="L297" s="30">
        <v>15.9</v>
      </c>
      <c r="N297" s="4"/>
      <c r="BR297" s="1">
        <f t="shared" si="203"/>
        <v>3</v>
      </c>
      <c r="BS297" s="1" t="str">
        <f t="shared" si="204"/>
        <v>ディアボレット　　　　　　　　　　　</v>
      </c>
    </row>
    <row r="298" spans="1:71">
      <c r="A298" s="1" t="s">
        <v>88</v>
      </c>
      <c r="B298" s="1">
        <v>20190418</v>
      </c>
      <c r="C298" s="1" t="s">
        <v>91</v>
      </c>
      <c r="D298" s="1">
        <v>2</v>
      </c>
      <c r="E298" s="30">
        <v>65.5</v>
      </c>
      <c r="F298" s="30">
        <v>47.9</v>
      </c>
      <c r="G298" s="30">
        <v>31.8</v>
      </c>
      <c r="H298" s="30">
        <v>15.9</v>
      </c>
      <c r="I298" s="30">
        <v>17.600000000000001</v>
      </c>
      <c r="J298" s="30">
        <v>16.100000000000001</v>
      </c>
      <c r="K298" s="30">
        <v>15.9</v>
      </c>
      <c r="L298" s="30">
        <v>15.9</v>
      </c>
      <c r="N298" s="4"/>
      <c r="BR298" s="1">
        <f t="shared" si="203"/>
        <v>2</v>
      </c>
      <c r="BS298" s="1" t="str">
        <f t="shared" si="204"/>
        <v>フェルトベルク　　　　　　　　　　　</v>
      </c>
    </row>
    <row r="299" spans="1:71">
      <c r="A299" s="1" t="s">
        <v>88</v>
      </c>
      <c r="B299" s="1">
        <v>20190423</v>
      </c>
      <c r="C299" s="1" t="s">
        <v>91</v>
      </c>
      <c r="D299" s="1">
        <v>2</v>
      </c>
      <c r="E299" s="30">
        <v>63.2</v>
      </c>
      <c r="F299" s="30">
        <v>46.8</v>
      </c>
      <c r="G299" s="30">
        <v>31.5</v>
      </c>
      <c r="H299" s="30">
        <v>15.9</v>
      </c>
      <c r="I299" s="30">
        <v>16.399999999999999</v>
      </c>
      <c r="J299" s="30">
        <v>15.3</v>
      </c>
      <c r="K299" s="30">
        <v>15.6</v>
      </c>
      <c r="L299" s="30">
        <v>15.9</v>
      </c>
      <c r="N299" s="4"/>
      <c r="BR299" s="1">
        <f t="shared" si="203"/>
        <v>2</v>
      </c>
      <c r="BS299" s="1" t="str">
        <f t="shared" si="204"/>
        <v>フェルトベルク　　　　　　　　　　　</v>
      </c>
    </row>
    <row r="300" spans="1:71">
      <c r="A300" s="1" t="s">
        <v>88</v>
      </c>
      <c r="B300" s="1">
        <v>20190614</v>
      </c>
      <c r="C300" s="1" t="s">
        <v>93</v>
      </c>
      <c r="D300" s="1">
        <v>4</v>
      </c>
      <c r="E300" s="30">
        <v>65.099999999999994</v>
      </c>
      <c r="F300" s="30">
        <v>48.1</v>
      </c>
      <c r="G300" s="30">
        <v>32.200000000000003</v>
      </c>
      <c r="H300" s="30">
        <v>15.9</v>
      </c>
      <c r="I300" s="30">
        <v>17</v>
      </c>
      <c r="J300" s="30">
        <v>15.9</v>
      </c>
      <c r="K300" s="30">
        <v>16.3</v>
      </c>
      <c r="L300" s="30">
        <v>15.9</v>
      </c>
      <c r="N300" s="4"/>
      <c r="BR300" s="1">
        <f t="shared" si="203"/>
        <v>4</v>
      </c>
      <c r="BS300" s="1" t="str">
        <f t="shared" si="204"/>
        <v>ウィズ　　　　　　　　　　　　　　　</v>
      </c>
    </row>
    <row r="301" spans="1:71">
      <c r="A301" s="1" t="s">
        <v>88</v>
      </c>
      <c r="B301" s="1">
        <v>20190628</v>
      </c>
      <c r="C301" s="1" t="s">
        <v>97</v>
      </c>
      <c r="D301" s="1">
        <v>8</v>
      </c>
      <c r="E301" s="30">
        <v>65.400000000000006</v>
      </c>
      <c r="F301" s="30">
        <v>48.8</v>
      </c>
      <c r="G301" s="30">
        <v>32.1</v>
      </c>
      <c r="H301" s="30">
        <v>15.9</v>
      </c>
      <c r="I301" s="30">
        <v>16.600000000000001</v>
      </c>
      <c r="J301" s="30">
        <v>16.7</v>
      </c>
      <c r="K301" s="30">
        <v>16.2</v>
      </c>
      <c r="L301" s="30">
        <v>15.9</v>
      </c>
      <c r="N301" s="4"/>
    </row>
    <row r="302" spans="1:71">
      <c r="A302" s="1" t="s">
        <v>88</v>
      </c>
      <c r="B302" s="1">
        <v>20190705</v>
      </c>
      <c r="C302" s="1" t="s">
        <v>91</v>
      </c>
      <c r="D302" s="1">
        <v>2</v>
      </c>
      <c r="E302" s="30">
        <v>66</v>
      </c>
      <c r="F302" s="30">
        <v>48.3</v>
      </c>
      <c r="G302" s="30">
        <v>31.9</v>
      </c>
      <c r="H302" s="30">
        <v>15.9</v>
      </c>
      <c r="I302" s="30">
        <v>17.7</v>
      </c>
      <c r="J302" s="30">
        <v>16.399999999999999</v>
      </c>
      <c r="K302" s="30">
        <v>16</v>
      </c>
      <c r="L302" s="30">
        <v>15.9</v>
      </c>
      <c r="N302" s="4"/>
    </row>
    <row r="303" spans="1:71">
      <c r="A303" s="1" t="s">
        <v>88</v>
      </c>
      <c r="B303" s="1">
        <v>20190125</v>
      </c>
      <c r="C303" s="1" t="s">
        <v>97</v>
      </c>
      <c r="D303" s="1">
        <v>8</v>
      </c>
      <c r="E303" s="30">
        <v>64.3</v>
      </c>
      <c r="F303" s="30">
        <v>47.4</v>
      </c>
      <c r="G303" s="30">
        <v>31.1</v>
      </c>
      <c r="H303" s="30">
        <v>16</v>
      </c>
      <c r="I303" s="30">
        <v>16.899999999999999</v>
      </c>
      <c r="J303" s="30">
        <v>16.3</v>
      </c>
      <c r="K303" s="30">
        <v>15.1</v>
      </c>
      <c r="L303" s="30">
        <v>16</v>
      </c>
      <c r="N303" s="4"/>
    </row>
    <row r="304" spans="1:71">
      <c r="A304" s="1" t="s">
        <v>88</v>
      </c>
      <c r="B304" s="1">
        <v>20190127</v>
      </c>
      <c r="C304" s="1" t="s">
        <v>98</v>
      </c>
      <c r="D304" s="1">
        <v>9</v>
      </c>
      <c r="E304" s="30">
        <v>70.900000000000006</v>
      </c>
      <c r="F304" s="30">
        <v>50.5</v>
      </c>
      <c r="G304" s="30">
        <v>32.4</v>
      </c>
      <c r="H304" s="30">
        <v>16</v>
      </c>
      <c r="I304" s="30">
        <v>20.399999999999999</v>
      </c>
      <c r="J304" s="30">
        <v>18.100000000000001</v>
      </c>
      <c r="K304" s="30">
        <v>16.399999999999999</v>
      </c>
      <c r="L304" s="30">
        <v>16</v>
      </c>
      <c r="N304" s="4"/>
    </row>
    <row r="305" spans="1:14">
      <c r="A305" s="1" t="s">
        <v>88</v>
      </c>
      <c r="B305" s="1">
        <v>20190203</v>
      </c>
      <c r="C305" s="1" t="s">
        <v>92</v>
      </c>
      <c r="D305" s="1">
        <v>3</v>
      </c>
      <c r="E305" s="30">
        <v>67.5</v>
      </c>
      <c r="F305" s="30">
        <v>48.6</v>
      </c>
      <c r="G305" s="30">
        <v>32</v>
      </c>
      <c r="H305" s="30">
        <v>16</v>
      </c>
      <c r="I305" s="30">
        <v>18.899999999999999</v>
      </c>
      <c r="J305" s="30">
        <v>16.600000000000001</v>
      </c>
      <c r="K305" s="30">
        <v>16</v>
      </c>
      <c r="L305" s="30">
        <v>16</v>
      </c>
      <c r="N305" s="4"/>
    </row>
    <row r="306" spans="1:14">
      <c r="A306" s="1" t="s">
        <v>88</v>
      </c>
      <c r="B306" s="1">
        <v>20190215</v>
      </c>
      <c r="C306" s="1" t="s">
        <v>99</v>
      </c>
      <c r="D306" s="1">
        <v>10</v>
      </c>
      <c r="E306" s="30">
        <v>64.900000000000006</v>
      </c>
      <c r="F306" s="30">
        <v>48.5</v>
      </c>
      <c r="G306" s="30">
        <v>32.9</v>
      </c>
      <c r="H306" s="30">
        <v>16</v>
      </c>
      <c r="I306" s="30">
        <v>16.399999999999999</v>
      </c>
      <c r="J306" s="30">
        <v>15.6</v>
      </c>
      <c r="K306" s="30">
        <v>16.899999999999999</v>
      </c>
      <c r="L306" s="30">
        <v>16</v>
      </c>
      <c r="N306" s="4"/>
    </row>
    <row r="307" spans="1:14">
      <c r="A307" s="1" t="s">
        <v>88</v>
      </c>
      <c r="B307" s="1">
        <v>20190223</v>
      </c>
      <c r="C307" s="1" t="s">
        <v>92</v>
      </c>
      <c r="D307" s="1">
        <v>3</v>
      </c>
      <c r="E307" s="30">
        <v>69.5</v>
      </c>
      <c r="F307" s="30">
        <v>50.1</v>
      </c>
      <c r="G307" s="30">
        <v>33</v>
      </c>
      <c r="H307" s="30">
        <v>16</v>
      </c>
      <c r="I307" s="30">
        <v>19.399999999999999</v>
      </c>
      <c r="J307" s="30">
        <v>17.100000000000001</v>
      </c>
      <c r="K307" s="30">
        <v>17</v>
      </c>
      <c r="L307" s="30">
        <v>16</v>
      </c>
      <c r="N307" s="4"/>
    </row>
    <row r="308" spans="1:14">
      <c r="A308" s="1" t="s">
        <v>88</v>
      </c>
      <c r="B308" s="1">
        <v>20190309</v>
      </c>
      <c r="C308" s="1" t="s">
        <v>92</v>
      </c>
      <c r="D308" s="1">
        <v>3</v>
      </c>
      <c r="E308" s="30">
        <v>67</v>
      </c>
      <c r="F308" s="30">
        <v>48.7</v>
      </c>
      <c r="G308" s="30">
        <v>32.200000000000003</v>
      </c>
      <c r="H308" s="30">
        <v>16</v>
      </c>
      <c r="I308" s="30">
        <v>18.3</v>
      </c>
      <c r="J308" s="30">
        <v>16.5</v>
      </c>
      <c r="K308" s="30">
        <v>16.2</v>
      </c>
      <c r="L308" s="30">
        <v>16</v>
      </c>
      <c r="N308" s="4"/>
    </row>
    <row r="309" spans="1:14">
      <c r="A309" s="1" t="s">
        <v>88</v>
      </c>
      <c r="B309" s="1">
        <v>20190405</v>
      </c>
      <c r="C309" s="1" t="s">
        <v>97</v>
      </c>
      <c r="D309" s="1">
        <v>8</v>
      </c>
      <c r="E309" s="30">
        <v>65.400000000000006</v>
      </c>
      <c r="F309" s="30">
        <v>48.6</v>
      </c>
      <c r="G309" s="30">
        <v>32.4</v>
      </c>
      <c r="H309" s="30">
        <v>16</v>
      </c>
      <c r="I309" s="30">
        <v>16.8</v>
      </c>
      <c r="J309" s="30">
        <v>16.2</v>
      </c>
      <c r="K309" s="30">
        <v>16.399999999999999</v>
      </c>
      <c r="L309" s="30">
        <v>16</v>
      </c>
      <c r="N309" s="4"/>
    </row>
    <row r="310" spans="1:14">
      <c r="A310" s="1" t="s">
        <v>88</v>
      </c>
      <c r="B310" s="1">
        <v>20190502</v>
      </c>
      <c r="C310" s="1" t="s">
        <v>91</v>
      </c>
      <c r="D310" s="1">
        <v>2</v>
      </c>
      <c r="E310" s="30">
        <v>63.6</v>
      </c>
      <c r="F310" s="30">
        <v>47.4</v>
      </c>
      <c r="G310" s="30">
        <v>32</v>
      </c>
      <c r="H310" s="30">
        <v>16</v>
      </c>
      <c r="I310" s="30">
        <v>16.2</v>
      </c>
      <c r="J310" s="30">
        <v>15.4</v>
      </c>
      <c r="K310" s="30">
        <v>16</v>
      </c>
      <c r="L310" s="30">
        <v>16</v>
      </c>
      <c r="N310" s="4"/>
    </row>
    <row r="311" spans="1:14">
      <c r="A311" s="1" t="s">
        <v>88</v>
      </c>
      <c r="B311" s="1">
        <v>20190510</v>
      </c>
      <c r="C311" s="1" t="s">
        <v>97</v>
      </c>
      <c r="D311" s="1">
        <v>8</v>
      </c>
      <c r="E311" s="30">
        <v>62.5</v>
      </c>
      <c r="F311" s="30">
        <v>46</v>
      </c>
      <c r="G311" s="30">
        <v>31.3</v>
      </c>
      <c r="H311" s="30">
        <v>16</v>
      </c>
      <c r="I311" s="30">
        <v>16.5</v>
      </c>
      <c r="J311" s="30">
        <v>14.7</v>
      </c>
      <c r="K311" s="30">
        <v>15.3</v>
      </c>
      <c r="L311" s="30">
        <v>16</v>
      </c>
      <c r="N311" s="4"/>
    </row>
    <row r="312" spans="1:14">
      <c r="A312" s="1" t="s">
        <v>88</v>
      </c>
      <c r="B312" s="1">
        <v>20190525</v>
      </c>
      <c r="C312" s="1" t="s">
        <v>91</v>
      </c>
      <c r="D312" s="1">
        <v>2</v>
      </c>
      <c r="E312" s="30">
        <v>67.5</v>
      </c>
      <c r="F312" s="30">
        <v>48.7</v>
      </c>
      <c r="G312" s="30">
        <v>31.7</v>
      </c>
      <c r="H312" s="30">
        <v>16</v>
      </c>
      <c r="I312" s="30">
        <v>18.8</v>
      </c>
      <c r="J312" s="30">
        <v>17</v>
      </c>
      <c r="K312" s="30">
        <v>15.7</v>
      </c>
      <c r="L312" s="30">
        <v>16</v>
      </c>
      <c r="N312" s="4"/>
    </row>
    <row r="313" spans="1:14">
      <c r="A313" s="1" t="s">
        <v>88</v>
      </c>
      <c r="B313" s="1">
        <v>20190607</v>
      </c>
      <c r="C313" s="1" t="s">
        <v>91</v>
      </c>
      <c r="D313" s="1">
        <v>2</v>
      </c>
      <c r="E313" s="30">
        <v>64.3</v>
      </c>
      <c r="F313" s="30">
        <v>47.2</v>
      </c>
      <c r="G313" s="30">
        <v>31.5</v>
      </c>
      <c r="H313" s="30">
        <v>16</v>
      </c>
      <c r="I313" s="30">
        <v>17.100000000000001</v>
      </c>
      <c r="J313" s="30">
        <v>15.7</v>
      </c>
      <c r="K313" s="30">
        <v>15.5</v>
      </c>
      <c r="L313" s="30">
        <v>16</v>
      </c>
      <c r="N313" s="4"/>
    </row>
    <row r="314" spans="1:14">
      <c r="A314" s="1" t="s">
        <v>88</v>
      </c>
      <c r="B314" s="1">
        <v>20190608</v>
      </c>
      <c r="C314" s="1" t="s">
        <v>92</v>
      </c>
      <c r="D314" s="1">
        <v>3</v>
      </c>
      <c r="E314" s="30">
        <v>70.599999999999994</v>
      </c>
      <c r="F314" s="30">
        <v>51</v>
      </c>
      <c r="G314" s="30">
        <v>33</v>
      </c>
      <c r="H314" s="30">
        <v>16</v>
      </c>
      <c r="I314" s="30">
        <v>19.600000000000001</v>
      </c>
      <c r="J314" s="30">
        <v>18</v>
      </c>
      <c r="K314" s="30">
        <v>17</v>
      </c>
      <c r="L314" s="30">
        <v>16</v>
      </c>
      <c r="N314" s="4"/>
    </row>
    <row r="315" spans="1:14">
      <c r="A315" s="1" t="s">
        <v>88</v>
      </c>
      <c r="B315" s="1">
        <v>20190630</v>
      </c>
      <c r="C315" s="1" t="s">
        <v>96</v>
      </c>
      <c r="D315" s="1">
        <v>7</v>
      </c>
      <c r="E315" s="30">
        <v>66.7</v>
      </c>
      <c r="F315" s="30">
        <v>48.7</v>
      </c>
      <c r="G315" s="30">
        <v>32.1</v>
      </c>
      <c r="H315" s="30">
        <v>16</v>
      </c>
      <c r="I315" s="30">
        <v>18</v>
      </c>
      <c r="J315" s="30">
        <v>16.600000000000001</v>
      </c>
      <c r="K315" s="30">
        <v>16.100000000000001</v>
      </c>
      <c r="L315" s="30">
        <v>16</v>
      </c>
      <c r="N315" s="4"/>
    </row>
    <row r="316" spans="1:14">
      <c r="A316" s="1" t="s">
        <v>88</v>
      </c>
      <c r="B316" s="1">
        <v>20190702</v>
      </c>
      <c r="C316" s="1" t="s">
        <v>97</v>
      </c>
      <c r="D316" s="1">
        <v>8</v>
      </c>
      <c r="E316" s="30">
        <v>67.7</v>
      </c>
      <c r="F316" s="30">
        <v>48.5</v>
      </c>
      <c r="G316" s="30">
        <v>31.4</v>
      </c>
      <c r="H316" s="30">
        <v>16</v>
      </c>
      <c r="I316" s="30">
        <v>19.2</v>
      </c>
      <c r="J316" s="30">
        <v>17.100000000000001</v>
      </c>
      <c r="K316" s="30">
        <v>15.4</v>
      </c>
      <c r="L316" s="30">
        <v>16</v>
      </c>
      <c r="N316" s="4"/>
    </row>
    <row r="317" spans="1:14">
      <c r="A317" s="1" t="s">
        <v>88</v>
      </c>
      <c r="B317" s="1">
        <v>20190205</v>
      </c>
      <c r="C317" s="1" t="s">
        <v>96</v>
      </c>
      <c r="D317" s="1">
        <v>7</v>
      </c>
      <c r="E317" s="30">
        <v>70.5</v>
      </c>
      <c r="F317" s="30">
        <v>50.5</v>
      </c>
      <c r="G317" s="30">
        <v>33</v>
      </c>
      <c r="H317" s="30">
        <v>16.100000000000001</v>
      </c>
      <c r="I317" s="30">
        <v>20</v>
      </c>
      <c r="J317" s="30">
        <v>17.5</v>
      </c>
      <c r="K317" s="30">
        <v>16.899999999999999</v>
      </c>
      <c r="L317" s="30">
        <v>16.100000000000001</v>
      </c>
      <c r="N317" s="4"/>
    </row>
    <row r="318" spans="1:14">
      <c r="A318" s="1" t="s">
        <v>88</v>
      </c>
      <c r="B318" s="1">
        <v>20190208</v>
      </c>
      <c r="C318" s="1" t="s">
        <v>96</v>
      </c>
      <c r="D318" s="1">
        <v>7</v>
      </c>
      <c r="E318" s="30">
        <v>67.599999999999994</v>
      </c>
      <c r="F318" s="30">
        <v>49.1</v>
      </c>
      <c r="G318" s="30">
        <v>32.4</v>
      </c>
      <c r="H318" s="30">
        <v>16.100000000000001</v>
      </c>
      <c r="I318" s="30">
        <v>18.5</v>
      </c>
      <c r="J318" s="30">
        <v>16.7</v>
      </c>
      <c r="K318" s="30">
        <v>16.3</v>
      </c>
      <c r="L318" s="30">
        <v>16.100000000000001</v>
      </c>
      <c r="N318" s="4"/>
    </row>
    <row r="319" spans="1:14">
      <c r="A319" s="1" t="s">
        <v>88</v>
      </c>
      <c r="B319" s="1">
        <v>20190208</v>
      </c>
      <c r="C319" s="1" t="s">
        <v>96</v>
      </c>
      <c r="D319" s="1">
        <v>7</v>
      </c>
      <c r="E319" s="30">
        <v>67.599999999999994</v>
      </c>
      <c r="F319" s="30">
        <v>49.1</v>
      </c>
      <c r="G319" s="30">
        <v>32.4</v>
      </c>
      <c r="H319" s="30">
        <v>16.100000000000001</v>
      </c>
      <c r="I319" s="30">
        <v>18.5</v>
      </c>
      <c r="J319" s="30">
        <v>16.7</v>
      </c>
      <c r="K319" s="30">
        <v>16.3</v>
      </c>
      <c r="L319" s="30">
        <v>16.100000000000001</v>
      </c>
      <c r="N319" s="4"/>
    </row>
    <row r="320" spans="1:14">
      <c r="A320" s="1" t="s">
        <v>88</v>
      </c>
      <c r="B320" s="1">
        <v>20190219</v>
      </c>
      <c r="C320" s="1" t="s">
        <v>99</v>
      </c>
      <c r="D320" s="1">
        <v>10</v>
      </c>
      <c r="E320" s="30">
        <v>66.099999999999994</v>
      </c>
      <c r="F320" s="30">
        <v>48.6</v>
      </c>
      <c r="G320" s="30">
        <v>32.4</v>
      </c>
      <c r="H320" s="30">
        <v>16.100000000000001</v>
      </c>
      <c r="I320" s="30">
        <v>17.5</v>
      </c>
      <c r="J320" s="30">
        <v>16.2</v>
      </c>
      <c r="K320" s="30">
        <v>16.3</v>
      </c>
      <c r="L320" s="30">
        <v>16.100000000000001</v>
      </c>
      <c r="N320" s="4"/>
    </row>
    <row r="321" spans="1:14">
      <c r="A321" s="1" t="s">
        <v>88</v>
      </c>
      <c r="B321" s="1">
        <v>20190613</v>
      </c>
      <c r="C321" s="1" t="s">
        <v>90</v>
      </c>
      <c r="D321" s="1">
        <v>1</v>
      </c>
      <c r="E321" s="30">
        <v>65.5</v>
      </c>
      <c r="F321" s="30">
        <v>49.2</v>
      </c>
      <c r="G321" s="30">
        <v>32.9</v>
      </c>
      <c r="H321" s="30">
        <v>16.100000000000001</v>
      </c>
      <c r="I321" s="30">
        <v>16.3</v>
      </c>
      <c r="J321" s="30">
        <v>16.3</v>
      </c>
      <c r="K321" s="30">
        <v>16.8</v>
      </c>
      <c r="L321" s="30">
        <v>16.100000000000001</v>
      </c>
      <c r="N321" s="4"/>
    </row>
    <row r="322" spans="1:14">
      <c r="A322" s="1" t="s">
        <v>88</v>
      </c>
      <c r="B322" s="1">
        <v>20190618</v>
      </c>
      <c r="C322" s="1" t="s">
        <v>98</v>
      </c>
      <c r="D322" s="1">
        <v>9</v>
      </c>
      <c r="E322" s="30">
        <v>67.599999999999994</v>
      </c>
      <c r="F322" s="30">
        <v>48.5</v>
      </c>
      <c r="G322" s="30">
        <v>31.7</v>
      </c>
      <c r="H322" s="30">
        <v>16.100000000000001</v>
      </c>
      <c r="I322" s="30">
        <v>19.100000000000001</v>
      </c>
      <c r="J322" s="30">
        <v>16.8</v>
      </c>
      <c r="K322" s="30">
        <v>15.6</v>
      </c>
      <c r="L322" s="30">
        <v>16.100000000000001</v>
      </c>
      <c r="N322" s="4"/>
    </row>
    <row r="323" spans="1:14">
      <c r="A323" s="1" t="s">
        <v>88</v>
      </c>
      <c r="B323" s="1">
        <v>20190625</v>
      </c>
      <c r="C323" s="1" t="s">
        <v>98</v>
      </c>
      <c r="D323" s="1">
        <v>9</v>
      </c>
      <c r="E323" s="30">
        <v>69.900000000000006</v>
      </c>
      <c r="F323" s="30">
        <v>49.6</v>
      </c>
      <c r="G323" s="30">
        <v>32.200000000000003</v>
      </c>
      <c r="H323" s="30">
        <v>16.100000000000001</v>
      </c>
      <c r="I323" s="30">
        <v>20.3</v>
      </c>
      <c r="J323" s="30">
        <v>17.399999999999999</v>
      </c>
      <c r="K323" s="30">
        <v>16.100000000000001</v>
      </c>
      <c r="L323" s="30">
        <v>16.100000000000001</v>
      </c>
      <c r="N323" s="4"/>
    </row>
    <row r="324" spans="1:14">
      <c r="A324" s="1" t="s">
        <v>88</v>
      </c>
      <c r="B324" s="1">
        <v>20190628</v>
      </c>
      <c r="C324" s="1" t="s">
        <v>98</v>
      </c>
      <c r="D324" s="1">
        <v>9</v>
      </c>
      <c r="E324" s="30">
        <v>66.400000000000006</v>
      </c>
      <c r="F324" s="30">
        <v>47.5</v>
      </c>
      <c r="G324" s="30">
        <v>31.6</v>
      </c>
      <c r="H324" s="30">
        <v>16.100000000000001</v>
      </c>
      <c r="I324" s="30">
        <v>18.899999999999999</v>
      </c>
      <c r="J324" s="30">
        <v>15.9</v>
      </c>
      <c r="K324" s="30">
        <v>15.5</v>
      </c>
      <c r="L324" s="30">
        <v>16.100000000000001</v>
      </c>
      <c r="N324" s="4"/>
    </row>
    <row r="325" spans="1:14">
      <c r="A325" s="1" t="s">
        <v>88</v>
      </c>
      <c r="B325" s="1">
        <v>20190702</v>
      </c>
      <c r="C325" s="1" t="s">
        <v>96</v>
      </c>
      <c r="D325" s="1">
        <v>7</v>
      </c>
      <c r="E325" s="30">
        <v>65.8</v>
      </c>
      <c r="F325" s="30">
        <v>48.9</v>
      </c>
      <c r="G325" s="30">
        <v>32.200000000000003</v>
      </c>
      <c r="H325" s="30">
        <v>16.100000000000001</v>
      </c>
      <c r="I325" s="30">
        <v>16.899999999999999</v>
      </c>
      <c r="J325" s="30">
        <v>16.7</v>
      </c>
      <c r="K325" s="30">
        <v>16.100000000000001</v>
      </c>
      <c r="L325" s="30">
        <v>16.100000000000001</v>
      </c>
      <c r="N325" s="4"/>
    </row>
    <row r="326" spans="1:14">
      <c r="A326" s="1" t="s">
        <v>88</v>
      </c>
      <c r="B326" s="1">
        <v>20190712</v>
      </c>
      <c r="C326" s="1" t="s">
        <v>92</v>
      </c>
      <c r="D326" s="1">
        <v>3</v>
      </c>
      <c r="E326" s="30">
        <v>69.7</v>
      </c>
      <c r="F326" s="30">
        <v>50.9</v>
      </c>
      <c r="G326" s="30">
        <v>33.200000000000003</v>
      </c>
      <c r="H326" s="30">
        <v>16.100000000000001</v>
      </c>
      <c r="I326" s="30">
        <v>18.8</v>
      </c>
      <c r="J326" s="30">
        <v>17.7</v>
      </c>
      <c r="K326" s="30">
        <v>17.100000000000001</v>
      </c>
      <c r="L326" s="30">
        <v>16.100000000000001</v>
      </c>
      <c r="N326" s="4"/>
    </row>
    <row r="327" spans="1:14">
      <c r="A327" s="1" t="s">
        <v>88</v>
      </c>
      <c r="B327" s="1">
        <v>20190127</v>
      </c>
      <c r="C327" s="1" t="s">
        <v>99</v>
      </c>
      <c r="D327" s="1">
        <v>10</v>
      </c>
      <c r="E327" s="30">
        <v>66.900000000000006</v>
      </c>
      <c r="F327" s="30">
        <v>49</v>
      </c>
      <c r="G327" s="30">
        <v>32.1</v>
      </c>
      <c r="H327" s="30">
        <v>16.2</v>
      </c>
      <c r="I327" s="30">
        <v>17.899999999999999</v>
      </c>
      <c r="J327" s="30">
        <v>16.899999999999999</v>
      </c>
      <c r="K327" s="30">
        <v>15.9</v>
      </c>
      <c r="L327" s="30">
        <v>16.2</v>
      </c>
      <c r="N327" s="4"/>
    </row>
    <row r="328" spans="1:14">
      <c r="A328" s="1" t="s">
        <v>88</v>
      </c>
      <c r="B328" s="1">
        <v>20190315</v>
      </c>
      <c r="C328" s="1" t="s">
        <v>91</v>
      </c>
      <c r="D328" s="1">
        <v>2</v>
      </c>
      <c r="E328" s="30">
        <v>62.7</v>
      </c>
      <c r="F328" s="30">
        <v>47</v>
      </c>
      <c r="G328" s="30">
        <v>31.9</v>
      </c>
      <c r="H328" s="30">
        <v>16.2</v>
      </c>
      <c r="I328" s="30">
        <v>15.7</v>
      </c>
      <c r="J328" s="30">
        <v>15.1</v>
      </c>
      <c r="K328" s="30">
        <v>15.7</v>
      </c>
      <c r="L328" s="30">
        <v>16.2</v>
      </c>
      <c r="N328" s="4"/>
    </row>
    <row r="329" spans="1:14">
      <c r="A329" s="1" t="s">
        <v>88</v>
      </c>
      <c r="B329" s="1">
        <v>20190317</v>
      </c>
      <c r="C329" s="1" t="s">
        <v>94</v>
      </c>
      <c r="D329" s="1">
        <v>5</v>
      </c>
      <c r="E329" s="30">
        <v>79.099999999999994</v>
      </c>
      <c r="F329" s="30">
        <v>54.8</v>
      </c>
      <c r="G329" s="30">
        <v>34</v>
      </c>
      <c r="H329" s="30">
        <v>16.2</v>
      </c>
      <c r="I329" s="30">
        <v>24.3</v>
      </c>
      <c r="J329" s="30">
        <v>20.8</v>
      </c>
      <c r="K329" s="30">
        <v>17.8</v>
      </c>
      <c r="L329" s="30">
        <v>16.2</v>
      </c>
      <c r="N329" s="4"/>
    </row>
    <row r="330" spans="1:14">
      <c r="A330" s="1" t="s">
        <v>88</v>
      </c>
      <c r="B330" s="1">
        <v>20190503</v>
      </c>
      <c r="C330" s="1" t="s">
        <v>90</v>
      </c>
      <c r="D330" s="1">
        <v>1</v>
      </c>
      <c r="E330" s="30">
        <v>66.8</v>
      </c>
      <c r="F330" s="30">
        <v>49</v>
      </c>
      <c r="G330" s="30">
        <v>32.299999999999997</v>
      </c>
      <c r="H330" s="30">
        <v>16.2</v>
      </c>
      <c r="I330" s="30">
        <v>17.8</v>
      </c>
      <c r="J330" s="30">
        <v>16.7</v>
      </c>
      <c r="K330" s="30">
        <v>16.100000000000001</v>
      </c>
      <c r="L330" s="30">
        <v>16.2</v>
      </c>
      <c r="N330" s="4"/>
    </row>
    <row r="331" spans="1:14">
      <c r="A331" s="1" t="s">
        <v>88</v>
      </c>
      <c r="B331" s="1">
        <v>20190523</v>
      </c>
      <c r="C331" s="1" t="s">
        <v>91</v>
      </c>
      <c r="D331" s="1">
        <v>2</v>
      </c>
      <c r="E331" s="30">
        <v>63.3</v>
      </c>
      <c r="F331" s="30">
        <v>46.7</v>
      </c>
      <c r="G331" s="30">
        <v>31.3</v>
      </c>
      <c r="H331" s="30">
        <v>16.2</v>
      </c>
      <c r="I331" s="30">
        <v>16.600000000000001</v>
      </c>
      <c r="J331" s="30">
        <v>15.4</v>
      </c>
      <c r="K331" s="30">
        <v>15.1</v>
      </c>
      <c r="L331" s="30">
        <v>16.2</v>
      </c>
      <c r="N331" s="4"/>
    </row>
    <row r="332" spans="1:14">
      <c r="A332" s="1" t="s">
        <v>88</v>
      </c>
      <c r="B332" s="1">
        <v>20190601</v>
      </c>
      <c r="C332" s="1" t="s">
        <v>98</v>
      </c>
      <c r="D332" s="1">
        <v>9</v>
      </c>
      <c r="E332" s="30">
        <v>64.400000000000006</v>
      </c>
      <c r="F332" s="30">
        <v>47</v>
      </c>
      <c r="G332" s="30">
        <v>31.5</v>
      </c>
      <c r="H332" s="30">
        <v>16.2</v>
      </c>
      <c r="I332" s="30">
        <v>17.399999999999999</v>
      </c>
      <c r="J332" s="30">
        <v>15.5</v>
      </c>
      <c r="K332" s="30">
        <v>15.3</v>
      </c>
      <c r="L332" s="30">
        <v>16.2</v>
      </c>
      <c r="N332" s="4"/>
    </row>
    <row r="333" spans="1:14">
      <c r="A333" s="1" t="s">
        <v>88</v>
      </c>
      <c r="B333" s="1">
        <v>20190618</v>
      </c>
      <c r="C333" s="1" t="s">
        <v>90</v>
      </c>
      <c r="D333" s="1">
        <v>1</v>
      </c>
      <c r="E333" s="30">
        <v>66.8</v>
      </c>
      <c r="F333" s="30">
        <v>49.1</v>
      </c>
      <c r="G333" s="30">
        <v>32.5</v>
      </c>
      <c r="H333" s="30">
        <v>16.2</v>
      </c>
      <c r="I333" s="30">
        <v>17.7</v>
      </c>
      <c r="J333" s="30">
        <v>16.600000000000001</v>
      </c>
      <c r="K333" s="30">
        <v>16.3</v>
      </c>
      <c r="L333" s="30">
        <v>16.2</v>
      </c>
      <c r="N333" s="4"/>
    </row>
    <row r="334" spans="1:14">
      <c r="A334" s="1" t="s">
        <v>88</v>
      </c>
      <c r="B334" s="1">
        <v>20190618</v>
      </c>
      <c r="C334" s="1" t="s">
        <v>93</v>
      </c>
      <c r="D334" s="1">
        <v>4</v>
      </c>
      <c r="E334" s="30">
        <v>64.8</v>
      </c>
      <c r="F334" s="30">
        <v>47.7</v>
      </c>
      <c r="G334" s="30">
        <v>31.8</v>
      </c>
      <c r="H334" s="30">
        <v>16.2</v>
      </c>
      <c r="I334" s="30">
        <v>17.100000000000001</v>
      </c>
      <c r="J334" s="30">
        <v>15.9</v>
      </c>
      <c r="K334" s="30">
        <v>15.6</v>
      </c>
      <c r="L334" s="30">
        <v>16.2</v>
      </c>
      <c r="N334" s="4"/>
    </row>
    <row r="335" spans="1:14">
      <c r="A335" s="1" t="s">
        <v>88</v>
      </c>
      <c r="B335" s="1">
        <v>20190621</v>
      </c>
      <c r="C335" s="1" t="s">
        <v>90</v>
      </c>
      <c r="D335" s="1">
        <v>1</v>
      </c>
      <c r="E335" s="30">
        <v>66.3</v>
      </c>
      <c r="F335" s="30">
        <v>49</v>
      </c>
      <c r="G335" s="30">
        <v>32.5</v>
      </c>
      <c r="H335" s="30">
        <v>16.2</v>
      </c>
      <c r="I335" s="30">
        <v>17.3</v>
      </c>
      <c r="J335" s="30">
        <v>16.5</v>
      </c>
      <c r="K335" s="30">
        <v>16.3</v>
      </c>
      <c r="L335" s="30">
        <v>16.2</v>
      </c>
      <c r="N335" s="4"/>
    </row>
    <row r="336" spans="1:14">
      <c r="A336" s="1" t="s">
        <v>88</v>
      </c>
      <c r="B336" s="1">
        <v>20190627</v>
      </c>
      <c r="C336" s="1" t="s">
        <v>97</v>
      </c>
      <c r="D336" s="1">
        <v>8</v>
      </c>
      <c r="E336" s="30">
        <v>67.2</v>
      </c>
      <c r="F336" s="30">
        <v>50.5</v>
      </c>
      <c r="G336" s="30">
        <v>33.9</v>
      </c>
      <c r="H336" s="30">
        <v>16.2</v>
      </c>
      <c r="I336" s="30">
        <v>16.7</v>
      </c>
      <c r="J336" s="30">
        <v>16.600000000000001</v>
      </c>
      <c r="K336" s="30">
        <v>17.7</v>
      </c>
      <c r="L336" s="30">
        <v>16.2</v>
      </c>
      <c r="N336" s="4"/>
    </row>
    <row r="337" spans="1:14">
      <c r="A337" s="1" t="s">
        <v>88</v>
      </c>
      <c r="B337" s="1">
        <v>20190704</v>
      </c>
      <c r="C337" s="1" t="s">
        <v>92</v>
      </c>
      <c r="D337" s="1">
        <v>3</v>
      </c>
      <c r="E337" s="30">
        <v>69.8</v>
      </c>
      <c r="F337" s="30">
        <v>51</v>
      </c>
      <c r="G337" s="30">
        <v>33.1</v>
      </c>
      <c r="H337" s="30">
        <v>16.2</v>
      </c>
      <c r="I337" s="30">
        <v>18.8</v>
      </c>
      <c r="J337" s="30">
        <v>17.899999999999999</v>
      </c>
      <c r="K337" s="30">
        <v>16.899999999999999</v>
      </c>
      <c r="L337" s="30">
        <v>16.2</v>
      </c>
      <c r="N337" s="4"/>
    </row>
    <row r="338" spans="1:14">
      <c r="A338" s="1" t="s">
        <v>88</v>
      </c>
      <c r="B338" s="1">
        <v>20190705</v>
      </c>
      <c r="C338" s="1" t="s">
        <v>90</v>
      </c>
      <c r="D338" s="1">
        <v>1</v>
      </c>
      <c r="E338" s="30">
        <v>69.099999999999994</v>
      </c>
      <c r="F338" s="30">
        <v>50.2</v>
      </c>
      <c r="G338" s="30">
        <v>32.5</v>
      </c>
      <c r="H338" s="30">
        <v>16.2</v>
      </c>
      <c r="I338" s="30">
        <v>18.899999999999999</v>
      </c>
      <c r="J338" s="30">
        <v>17.7</v>
      </c>
      <c r="K338" s="30">
        <v>16.3</v>
      </c>
      <c r="L338" s="30">
        <v>16.2</v>
      </c>
      <c r="N338" s="4"/>
    </row>
    <row r="339" spans="1:14">
      <c r="A339" s="1" t="s">
        <v>88</v>
      </c>
      <c r="B339" s="1">
        <v>20190706</v>
      </c>
      <c r="C339" s="1" t="s">
        <v>98</v>
      </c>
      <c r="D339" s="1">
        <v>9</v>
      </c>
      <c r="E339" s="30">
        <v>69.7</v>
      </c>
      <c r="F339" s="30">
        <v>49.5</v>
      </c>
      <c r="G339" s="30">
        <v>32.299999999999997</v>
      </c>
      <c r="H339" s="30">
        <v>16.2</v>
      </c>
      <c r="I339" s="30">
        <v>20.2</v>
      </c>
      <c r="J339" s="30">
        <v>17.2</v>
      </c>
      <c r="K339" s="30">
        <v>16.100000000000001</v>
      </c>
      <c r="L339" s="30">
        <v>16.2</v>
      </c>
      <c r="N339" s="4"/>
    </row>
    <row r="340" spans="1:14">
      <c r="A340" s="1" t="s">
        <v>88</v>
      </c>
      <c r="B340" s="1">
        <v>20190114</v>
      </c>
      <c r="C340" s="1" t="s">
        <v>94</v>
      </c>
      <c r="D340" s="1">
        <v>5</v>
      </c>
      <c r="E340" s="30">
        <v>68.8</v>
      </c>
      <c r="F340" s="30">
        <v>50.7</v>
      </c>
      <c r="G340" s="30">
        <v>32.799999999999997</v>
      </c>
      <c r="H340" s="30">
        <v>16.3</v>
      </c>
      <c r="I340" s="30">
        <v>18.100000000000001</v>
      </c>
      <c r="J340" s="30">
        <v>17.899999999999999</v>
      </c>
      <c r="K340" s="30">
        <v>16.5</v>
      </c>
      <c r="L340" s="30">
        <v>16.3</v>
      </c>
      <c r="N340" s="4"/>
    </row>
    <row r="341" spans="1:14">
      <c r="A341" s="1" t="s">
        <v>88</v>
      </c>
      <c r="B341" s="1">
        <v>20190119</v>
      </c>
      <c r="C341" s="1" t="s">
        <v>97</v>
      </c>
      <c r="D341" s="1">
        <v>8</v>
      </c>
      <c r="E341" s="30">
        <v>67.900000000000006</v>
      </c>
      <c r="F341" s="30">
        <v>50.2</v>
      </c>
      <c r="G341" s="30">
        <v>33.6</v>
      </c>
      <c r="H341" s="30">
        <v>16.3</v>
      </c>
      <c r="I341" s="30">
        <v>17.7</v>
      </c>
      <c r="J341" s="30">
        <v>16.600000000000001</v>
      </c>
      <c r="K341" s="30">
        <v>17.3</v>
      </c>
      <c r="L341" s="30">
        <v>16.3</v>
      </c>
      <c r="N341" s="4"/>
    </row>
    <row r="342" spans="1:14">
      <c r="A342" s="1" t="s">
        <v>88</v>
      </c>
      <c r="B342" s="1">
        <v>20190205</v>
      </c>
      <c r="C342" s="1" t="s">
        <v>99</v>
      </c>
      <c r="D342" s="1">
        <v>10</v>
      </c>
      <c r="E342" s="30">
        <v>66.3</v>
      </c>
      <c r="F342" s="30">
        <v>49.5</v>
      </c>
      <c r="G342" s="30">
        <v>33.6</v>
      </c>
      <c r="H342" s="30">
        <v>16.3</v>
      </c>
      <c r="I342" s="30">
        <v>16.8</v>
      </c>
      <c r="J342" s="30">
        <v>15.9</v>
      </c>
      <c r="K342" s="30">
        <v>17.3</v>
      </c>
      <c r="L342" s="30">
        <v>16.3</v>
      </c>
      <c r="N342" s="4"/>
    </row>
    <row r="343" spans="1:14">
      <c r="A343" s="1" t="s">
        <v>88</v>
      </c>
      <c r="B343" s="1">
        <v>20190208</v>
      </c>
      <c r="C343" s="1" t="s">
        <v>92</v>
      </c>
      <c r="D343" s="1">
        <v>3</v>
      </c>
      <c r="E343" s="30">
        <v>69.599999999999994</v>
      </c>
      <c r="F343" s="30">
        <v>49.7</v>
      </c>
      <c r="G343" s="30">
        <v>32.700000000000003</v>
      </c>
      <c r="H343" s="30">
        <v>16.3</v>
      </c>
      <c r="I343" s="30">
        <v>19.899999999999999</v>
      </c>
      <c r="J343" s="30">
        <v>17</v>
      </c>
      <c r="K343" s="30">
        <v>16.399999999999999</v>
      </c>
      <c r="L343" s="30">
        <v>16.3</v>
      </c>
      <c r="N343" s="4"/>
    </row>
    <row r="344" spans="1:14">
      <c r="A344" s="1" t="s">
        <v>88</v>
      </c>
      <c r="B344" s="1">
        <v>20190208</v>
      </c>
      <c r="C344" s="1" t="s">
        <v>92</v>
      </c>
      <c r="D344" s="1">
        <v>3</v>
      </c>
      <c r="E344" s="30">
        <v>69.599999999999994</v>
      </c>
      <c r="F344" s="30">
        <v>49.7</v>
      </c>
      <c r="G344" s="30">
        <v>32.700000000000003</v>
      </c>
      <c r="H344" s="30">
        <v>16.3</v>
      </c>
      <c r="I344" s="30">
        <v>19.899999999999999</v>
      </c>
      <c r="J344" s="30">
        <v>17</v>
      </c>
      <c r="K344" s="30">
        <v>16.399999999999999</v>
      </c>
      <c r="L344" s="30">
        <v>16.3</v>
      </c>
      <c r="N344" s="4"/>
    </row>
    <row r="345" spans="1:14">
      <c r="A345" s="1" t="s">
        <v>88</v>
      </c>
      <c r="B345" s="1">
        <v>20190420</v>
      </c>
      <c r="C345" s="1" t="s">
        <v>91</v>
      </c>
      <c r="D345" s="1">
        <v>2</v>
      </c>
      <c r="E345" s="30">
        <v>64.900000000000006</v>
      </c>
      <c r="F345" s="30">
        <v>48.5</v>
      </c>
      <c r="G345" s="30">
        <v>32.5</v>
      </c>
      <c r="H345" s="30">
        <v>16.3</v>
      </c>
      <c r="I345" s="30">
        <v>16.399999999999999</v>
      </c>
      <c r="J345" s="30">
        <v>16</v>
      </c>
      <c r="K345" s="30">
        <v>16.2</v>
      </c>
      <c r="L345" s="30">
        <v>16.3</v>
      </c>
      <c r="N345" s="4"/>
    </row>
    <row r="346" spans="1:14">
      <c r="A346" s="1" t="s">
        <v>88</v>
      </c>
      <c r="B346" s="1">
        <v>20190509</v>
      </c>
      <c r="C346" s="1" t="s">
        <v>97</v>
      </c>
      <c r="D346" s="1">
        <v>8</v>
      </c>
      <c r="E346" s="30">
        <v>70.7</v>
      </c>
      <c r="F346" s="30">
        <v>51.5</v>
      </c>
      <c r="G346" s="30">
        <v>34.4</v>
      </c>
      <c r="H346" s="30">
        <v>16.3</v>
      </c>
      <c r="I346" s="30">
        <v>19.2</v>
      </c>
      <c r="J346" s="30">
        <v>17.100000000000001</v>
      </c>
      <c r="K346" s="30">
        <v>18.100000000000001</v>
      </c>
      <c r="L346" s="30">
        <v>16.3</v>
      </c>
      <c r="N346" s="4"/>
    </row>
    <row r="347" spans="1:14">
      <c r="A347" s="1" t="s">
        <v>88</v>
      </c>
      <c r="B347" s="1">
        <v>20190511</v>
      </c>
      <c r="C347" s="1" t="s">
        <v>97</v>
      </c>
      <c r="D347" s="1">
        <v>8</v>
      </c>
      <c r="E347" s="30">
        <v>64.099999999999994</v>
      </c>
      <c r="F347" s="30">
        <v>46.8</v>
      </c>
      <c r="G347" s="30">
        <v>31.3</v>
      </c>
      <c r="H347" s="30">
        <v>16.3</v>
      </c>
      <c r="I347" s="30">
        <v>17.3</v>
      </c>
      <c r="J347" s="30">
        <v>15.5</v>
      </c>
      <c r="K347" s="30">
        <v>15</v>
      </c>
      <c r="L347" s="30">
        <v>16.3</v>
      </c>
      <c r="N347" s="4"/>
    </row>
    <row r="348" spans="1:14">
      <c r="A348" s="1" t="s">
        <v>88</v>
      </c>
      <c r="B348" s="1">
        <v>20190528</v>
      </c>
      <c r="C348" s="1" t="s">
        <v>91</v>
      </c>
      <c r="D348" s="1">
        <v>2</v>
      </c>
      <c r="E348" s="30">
        <v>65.7</v>
      </c>
      <c r="F348" s="30">
        <v>49.4</v>
      </c>
      <c r="G348" s="30">
        <v>33.4</v>
      </c>
      <c r="H348" s="30">
        <v>16.3</v>
      </c>
      <c r="I348" s="30">
        <v>16.3</v>
      </c>
      <c r="J348" s="30">
        <v>16</v>
      </c>
      <c r="K348" s="30">
        <v>17.100000000000001</v>
      </c>
      <c r="L348" s="30">
        <v>16.3</v>
      </c>
      <c r="N348" s="4"/>
    </row>
    <row r="349" spans="1:14">
      <c r="A349" s="1" t="s">
        <v>88</v>
      </c>
      <c r="B349" s="1">
        <v>20190608</v>
      </c>
      <c r="C349" s="1" t="s">
        <v>98</v>
      </c>
      <c r="D349" s="1">
        <v>9</v>
      </c>
      <c r="E349" s="30">
        <v>66.400000000000006</v>
      </c>
      <c r="F349" s="30">
        <v>47.8</v>
      </c>
      <c r="G349" s="30">
        <v>31.7</v>
      </c>
      <c r="H349" s="30">
        <v>16.3</v>
      </c>
      <c r="I349" s="30">
        <v>18.600000000000001</v>
      </c>
      <c r="J349" s="30">
        <v>16.100000000000001</v>
      </c>
      <c r="K349" s="30">
        <v>15.4</v>
      </c>
      <c r="L349" s="30">
        <v>16.3</v>
      </c>
      <c r="N349" s="4"/>
    </row>
    <row r="350" spans="1:14">
      <c r="A350" s="1" t="s">
        <v>88</v>
      </c>
      <c r="B350" s="1">
        <v>20190705</v>
      </c>
      <c r="C350" s="1" t="s">
        <v>98</v>
      </c>
      <c r="D350" s="1">
        <v>9</v>
      </c>
      <c r="E350" s="30">
        <v>65.7</v>
      </c>
      <c r="F350" s="30">
        <v>47.1</v>
      </c>
      <c r="G350" s="30">
        <v>31.5</v>
      </c>
      <c r="H350" s="30">
        <v>16.3</v>
      </c>
      <c r="I350" s="30">
        <v>18.600000000000001</v>
      </c>
      <c r="J350" s="30">
        <v>15.6</v>
      </c>
      <c r="K350" s="30">
        <v>15.2</v>
      </c>
      <c r="L350" s="30">
        <v>16.3</v>
      </c>
      <c r="N350" s="4"/>
    </row>
    <row r="351" spans="1:14">
      <c r="A351" s="1" t="s">
        <v>88</v>
      </c>
      <c r="B351" s="1">
        <v>20190709</v>
      </c>
      <c r="C351" s="1" t="s">
        <v>90</v>
      </c>
      <c r="D351" s="1">
        <v>1</v>
      </c>
      <c r="E351" s="30">
        <v>67.5</v>
      </c>
      <c r="F351" s="30">
        <v>49.8</v>
      </c>
      <c r="G351" s="30">
        <v>32.6</v>
      </c>
      <c r="H351" s="30">
        <v>16.3</v>
      </c>
      <c r="I351" s="30">
        <v>17.7</v>
      </c>
      <c r="J351" s="30">
        <v>17.2</v>
      </c>
      <c r="K351" s="30">
        <v>16.3</v>
      </c>
      <c r="L351" s="30">
        <v>16.3</v>
      </c>
      <c r="N351" s="4"/>
    </row>
    <row r="352" spans="1:14">
      <c r="A352" s="1" t="s">
        <v>88</v>
      </c>
      <c r="B352" s="1">
        <v>20190709</v>
      </c>
      <c r="C352" s="1" t="s">
        <v>98</v>
      </c>
      <c r="D352" s="1">
        <v>9</v>
      </c>
      <c r="E352" s="30">
        <v>64.3</v>
      </c>
      <c r="F352" s="30">
        <v>45.9</v>
      </c>
      <c r="G352" s="30">
        <v>30.9</v>
      </c>
      <c r="H352" s="30">
        <v>16.3</v>
      </c>
      <c r="I352" s="30">
        <v>18.399999999999999</v>
      </c>
      <c r="J352" s="30">
        <v>15</v>
      </c>
      <c r="K352" s="30">
        <v>14.6</v>
      </c>
      <c r="L352" s="30">
        <v>16.3</v>
      </c>
      <c r="N352" s="4"/>
    </row>
    <row r="353" spans="1:14">
      <c r="A353" s="1" t="s">
        <v>88</v>
      </c>
      <c r="B353" s="1">
        <v>20190713</v>
      </c>
      <c r="C353" s="1" t="s">
        <v>96</v>
      </c>
      <c r="D353" s="1">
        <v>7</v>
      </c>
      <c r="E353" s="30">
        <v>67.8</v>
      </c>
      <c r="F353" s="30">
        <v>49.8</v>
      </c>
      <c r="G353" s="30">
        <v>32.799999999999997</v>
      </c>
      <c r="H353" s="30">
        <v>16.3</v>
      </c>
      <c r="I353" s="30">
        <v>18</v>
      </c>
      <c r="J353" s="30">
        <v>17</v>
      </c>
      <c r="K353" s="30">
        <v>16.5</v>
      </c>
      <c r="L353" s="30">
        <v>16.3</v>
      </c>
      <c r="N353" s="4"/>
    </row>
    <row r="354" spans="1:14">
      <c r="A354" s="1" t="s">
        <v>88</v>
      </c>
      <c r="B354" s="1">
        <v>20190130</v>
      </c>
      <c r="C354" s="1" t="s">
        <v>99</v>
      </c>
      <c r="D354" s="1">
        <v>10</v>
      </c>
      <c r="E354" s="30">
        <v>66</v>
      </c>
      <c r="F354" s="30">
        <v>48.8</v>
      </c>
      <c r="G354" s="30">
        <v>32.700000000000003</v>
      </c>
      <c r="H354" s="30">
        <v>16.399999999999999</v>
      </c>
      <c r="I354" s="30">
        <v>17.2</v>
      </c>
      <c r="J354" s="30">
        <v>16.100000000000001</v>
      </c>
      <c r="K354" s="30">
        <v>16.3</v>
      </c>
      <c r="L354" s="30">
        <v>16.399999999999999</v>
      </c>
      <c r="N354" s="4"/>
    </row>
    <row r="355" spans="1:14">
      <c r="A355" s="1" t="s">
        <v>88</v>
      </c>
      <c r="B355" s="1">
        <v>20190214</v>
      </c>
      <c r="C355" s="1" t="s">
        <v>99</v>
      </c>
      <c r="D355" s="1">
        <v>10</v>
      </c>
      <c r="E355" s="30">
        <v>68.599999999999994</v>
      </c>
      <c r="F355" s="30">
        <v>50.7</v>
      </c>
      <c r="G355" s="30">
        <v>33.4</v>
      </c>
      <c r="H355" s="30">
        <v>16.399999999999999</v>
      </c>
      <c r="I355" s="30">
        <v>17.899999999999999</v>
      </c>
      <c r="J355" s="30">
        <v>17.3</v>
      </c>
      <c r="K355" s="30">
        <v>17</v>
      </c>
      <c r="L355" s="30">
        <v>16.399999999999999</v>
      </c>
      <c r="N355" s="4"/>
    </row>
    <row r="356" spans="1:14">
      <c r="A356" s="1" t="s">
        <v>88</v>
      </c>
      <c r="B356" s="1">
        <v>20190217</v>
      </c>
      <c r="C356" s="1" t="s">
        <v>94</v>
      </c>
      <c r="D356" s="1">
        <v>5</v>
      </c>
      <c r="E356" s="30">
        <v>70.8</v>
      </c>
      <c r="F356" s="30">
        <v>51.3</v>
      </c>
      <c r="G356" s="30">
        <v>33.6</v>
      </c>
      <c r="H356" s="30">
        <v>16.399999999999999</v>
      </c>
      <c r="I356" s="30">
        <v>19.5</v>
      </c>
      <c r="J356" s="30">
        <v>17.7</v>
      </c>
      <c r="K356" s="30">
        <v>17.2</v>
      </c>
      <c r="L356" s="30">
        <v>16.399999999999999</v>
      </c>
      <c r="N356" s="4"/>
    </row>
    <row r="357" spans="1:14">
      <c r="A357" s="1" t="s">
        <v>88</v>
      </c>
      <c r="B357" s="1">
        <v>20190402</v>
      </c>
      <c r="C357" s="1" t="s">
        <v>97</v>
      </c>
      <c r="D357" s="1">
        <v>8</v>
      </c>
      <c r="E357" s="30">
        <v>66</v>
      </c>
      <c r="F357" s="30">
        <v>49.6</v>
      </c>
      <c r="G357" s="30">
        <v>33.1</v>
      </c>
      <c r="H357" s="30">
        <v>16.399999999999999</v>
      </c>
      <c r="I357" s="30">
        <v>16.399999999999999</v>
      </c>
      <c r="J357" s="30">
        <v>16.5</v>
      </c>
      <c r="K357" s="30">
        <v>16.7</v>
      </c>
      <c r="L357" s="30">
        <v>16.399999999999999</v>
      </c>
      <c r="N357" s="4"/>
    </row>
    <row r="358" spans="1:14">
      <c r="A358" s="1" t="s">
        <v>88</v>
      </c>
      <c r="B358" s="1">
        <v>20190427</v>
      </c>
      <c r="C358" s="1" t="s">
        <v>90</v>
      </c>
      <c r="D358" s="1">
        <v>1</v>
      </c>
      <c r="E358" s="30">
        <v>68.599999999999994</v>
      </c>
      <c r="F358" s="30">
        <v>50.6</v>
      </c>
      <c r="G358" s="30">
        <v>33.799999999999997</v>
      </c>
      <c r="H358" s="30">
        <v>16.399999999999999</v>
      </c>
      <c r="I358" s="30">
        <v>18</v>
      </c>
      <c r="J358" s="30">
        <v>16.8</v>
      </c>
      <c r="K358" s="30">
        <v>17.399999999999999</v>
      </c>
      <c r="L358" s="30">
        <v>16.399999999999999</v>
      </c>
      <c r="N358" s="4"/>
    </row>
    <row r="359" spans="1:14">
      <c r="A359" s="1" t="s">
        <v>88</v>
      </c>
      <c r="B359" s="1">
        <v>20190525</v>
      </c>
      <c r="C359" s="1" t="s">
        <v>90</v>
      </c>
      <c r="D359" s="1">
        <v>1</v>
      </c>
      <c r="E359" s="30">
        <v>69.599999999999994</v>
      </c>
      <c r="F359" s="30">
        <v>51.7</v>
      </c>
      <c r="G359" s="30">
        <v>33.6</v>
      </c>
      <c r="H359" s="30">
        <v>16.399999999999999</v>
      </c>
      <c r="I359" s="30">
        <v>17.899999999999999</v>
      </c>
      <c r="J359" s="30">
        <v>18.100000000000001</v>
      </c>
      <c r="K359" s="30">
        <v>17.2</v>
      </c>
      <c r="L359" s="30">
        <v>16.399999999999999</v>
      </c>
      <c r="N359" s="4"/>
    </row>
    <row r="360" spans="1:14">
      <c r="A360" s="1" t="s">
        <v>88</v>
      </c>
      <c r="B360" s="1">
        <v>20190601</v>
      </c>
      <c r="C360" s="1" t="s">
        <v>96</v>
      </c>
      <c r="D360" s="1">
        <v>7</v>
      </c>
      <c r="E360" s="30">
        <v>71.8</v>
      </c>
      <c r="F360" s="30">
        <v>50.6</v>
      </c>
      <c r="G360" s="30">
        <v>33</v>
      </c>
      <c r="H360" s="30">
        <v>16.399999999999999</v>
      </c>
      <c r="I360" s="30">
        <v>21.2</v>
      </c>
      <c r="J360" s="30">
        <v>17.600000000000001</v>
      </c>
      <c r="K360" s="30">
        <v>16.600000000000001</v>
      </c>
      <c r="L360" s="30">
        <v>16.399999999999999</v>
      </c>
      <c r="N360" s="4"/>
    </row>
    <row r="361" spans="1:14">
      <c r="A361" s="1" t="s">
        <v>88</v>
      </c>
      <c r="B361" s="1">
        <v>20190608</v>
      </c>
      <c r="C361" s="1" t="s">
        <v>96</v>
      </c>
      <c r="D361" s="1">
        <v>7</v>
      </c>
      <c r="E361" s="30">
        <v>70.5</v>
      </c>
      <c r="F361" s="30">
        <v>51.1</v>
      </c>
      <c r="G361" s="30">
        <v>33.299999999999997</v>
      </c>
      <c r="H361" s="30">
        <v>16.399999999999999</v>
      </c>
      <c r="I361" s="30">
        <v>19.399999999999999</v>
      </c>
      <c r="J361" s="30">
        <v>17.8</v>
      </c>
      <c r="K361" s="30">
        <v>16.899999999999999</v>
      </c>
      <c r="L361" s="30">
        <v>16.399999999999999</v>
      </c>
      <c r="N361" s="4"/>
    </row>
    <row r="362" spans="1:14">
      <c r="A362" s="1" t="s">
        <v>88</v>
      </c>
      <c r="B362" s="1">
        <v>20190616</v>
      </c>
      <c r="C362" s="1" t="s">
        <v>94</v>
      </c>
      <c r="D362" s="1">
        <v>5</v>
      </c>
      <c r="E362" s="30">
        <v>67.3</v>
      </c>
      <c r="F362" s="30">
        <v>48.9</v>
      </c>
      <c r="G362" s="30">
        <v>32.299999999999997</v>
      </c>
      <c r="H362" s="30">
        <v>16.399999999999999</v>
      </c>
      <c r="I362" s="30">
        <v>18.399999999999999</v>
      </c>
      <c r="J362" s="30">
        <v>16.600000000000001</v>
      </c>
      <c r="K362" s="30">
        <v>15.9</v>
      </c>
      <c r="L362" s="30">
        <v>16.399999999999999</v>
      </c>
      <c r="N362" s="4"/>
    </row>
    <row r="363" spans="1:14">
      <c r="A363" s="1" t="s">
        <v>88</v>
      </c>
      <c r="B363" s="1">
        <v>20190628</v>
      </c>
      <c r="C363" s="1" t="s">
        <v>99</v>
      </c>
      <c r="D363" s="1">
        <v>10</v>
      </c>
      <c r="E363" s="30">
        <v>67.099999999999994</v>
      </c>
      <c r="F363" s="30">
        <v>49.9</v>
      </c>
      <c r="G363" s="30">
        <v>33.5</v>
      </c>
      <c r="H363" s="30">
        <v>16.399999999999999</v>
      </c>
      <c r="I363" s="30">
        <v>17.2</v>
      </c>
      <c r="J363" s="30">
        <v>16.399999999999999</v>
      </c>
      <c r="K363" s="30">
        <v>17.100000000000001</v>
      </c>
      <c r="L363" s="30">
        <v>16.399999999999999</v>
      </c>
      <c r="N363" s="4"/>
    </row>
    <row r="364" spans="1:14">
      <c r="A364" s="1" t="s">
        <v>88</v>
      </c>
      <c r="B364" s="1">
        <v>20190705</v>
      </c>
      <c r="C364" s="1" t="s">
        <v>92</v>
      </c>
      <c r="D364" s="1">
        <v>3</v>
      </c>
      <c r="E364" s="30">
        <v>71</v>
      </c>
      <c r="F364" s="30">
        <v>51</v>
      </c>
      <c r="G364" s="30">
        <v>33.5</v>
      </c>
      <c r="H364" s="30">
        <v>16.399999999999999</v>
      </c>
      <c r="I364" s="30">
        <v>20</v>
      </c>
      <c r="J364" s="30">
        <v>17.5</v>
      </c>
      <c r="K364" s="30">
        <v>17.100000000000001</v>
      </c>
      <c r="L364" s="30">
        <v>16.399999999999999</v>
      </c>
      <c r="N364" s="4"/>
    </row>
    <row r="365" spans="1:14">
      <c r="A365" s="1" t="s">
        <v>88</v>
      </c>
      <c r="B365" s="1">
        <v>20190712</v>
      </c>
      <c r="C365" s="1" t="s">
        <v>90</v>
      </c>
      <c r="D365" s="1">
        <v>1</v>
      </c>
      <c r="E365" s="30">
        <v>67.400000000000006</v>
      </c>
      <c r="F365" s="30">
        <v>49.9</v>
      </c>
      <c r="G365" s="30">
        <v>32.700000000000003</v>
      </c>
      <c r="H365" s="30">
        <v>16.399999999999999</v>
      </c>
      <c r="I365" s="30">
        <v>17.5</v>
      </c>
      <c r="J365" s="30">
        <v>17.2</v>
      </c>
      <c r="K365" s="30">
        <v>16.3</v>
      </c>
      <c r="L365" s="30">
        <v>16.399999999999999</v>
      </c>
      <c r="N365" s="4"/>
    </row>
    <row r="366" spans="1:14">
      <c r="A366" s="1" t="s">
        <v>88</v>
      </c>
      <c r="B366" s="1">
        <v>20190712</v>
      </c>
      <c r="C366" s="1" t="s">
        <v>93</v>
      </c>
      <c r="D366" s="1">
        <v>4</v>
      </c>
      <c r="E366" s="30">
        <v>66.900000000000006</v>
      </c>
      <c r="F366" s="30">
        <v>49.3</v>
      </c>
      <c r="G366" s="30">
        <v>32.700000000000003</v>
      </c>
      <c r="H366" s="30">
        <v>16.399999999999999</v>
      </c>
      <c r="I366" s="30">
        <v>17.600000000000001</v>
      </c>
      <c r="J366" s="30">
        <v>16.600000000000001</v>
      </c>
      <c r="K366" s="30">
        <v>16.3</v>
      </c>
      <c r="L366" s="30">
        <v>16.399999999999999</v>
      </c>
      <c r="N366" s="4"/>
    </row>
    <row r="367" spans="1:14">
      <c r="A367" s="1" t="s">
        <v>88</v>
      </c>
      <c r="B367" s="1">
        <v>20190223</v>
      </c>
      <c r="C367" s="1" t="s">
        <v>91</v>
      </c>
      <c r="D367" s="1">
        <v>2</v>
      </c>
      <c r="E367" s="30">
        <v>66.900000000000006</v>
      </c>
      <c r="F367" s="30">
        <v>49.4</v>
      </c>
      <c r="G367" s="30">
        <v>32.9</v>
      </c>
      <c r="H367" s="30">
        <v>16.5</v>
      </c>
      <c r="I367" s="30">
        <v>17.5</v>
      </c>
      <c r="J367" s="30">
        <v>16.5</v>
      </c>
      <c r="K367" s="30">
        <v>16.399999999999999</v>
      </c>
      <c r="L367" s="30">
        <v>16.5</v>
      </c>
      <c r="N367" s="4"/>
    </row>
    <row r="368" spans="1:14">
      <c r="A368" s="1" t="s">
        <v>88</v>
      </c>
      <c r="B368" s="1">
        <v>20190301</v>
      </c>
      <c r="C368" s="1" t="s">
        <v>92</v>
      </c>
      <c r="D368" s="1">
        <v>3</v>
      </c>
      <c r="E368" s="30">
        <v>70.8</v>
      </c>
      <c r="F368" s="30">
        <v>51.4</v>
      </c>
      <c r="G368" s="30">
        <v>33.299999999999997</v>
      </c>
      <c r="H368" s="30">
        <v>16.5</v>
      </c>
      <c r="I368" s="30">
        <v>19.399999999999999</v>
      </c>
      <c r="J368" s="30">
        <v>18.100000000000001</v>
      </c>
      <c r="K368" s="30">
        <v>16.8</v>
      </c>
      <c r="L368" s="30">
        <v>16.5</v>
      </c>
      <c r="N368" s="4"/>
    </row>
    <row r="369" spans="1:14">
      <c r="A369" s="1" t="s">
        <v>88</v>
      </c>
      <c r="B369" s="1">
        <v>20190316</v>
      </c>
      <c r="C369" s="1" t="s">
        <v>96</v>
      </c>
      <c r="D369" s="1">
        <v>7</v>
      </c>
      <c r="E369" s="30">
        <v>72.8</v>
      </c>
      <c r="F369" s="30">
        <v>52.5</v>
      </c>
      <c r="G369" s="30">
        <v>34</v>
      </c>
      <c r="H369" s="30">
        <v>16.5</v>
      </c>
      <c r="I369" s="30">
        <v>20.3</v>
      </c>
      <c r="J369" s="30">
        <v>18.5</v>
      </c>
      <c r="K369" s="30">
        <v>17.5</v>
      </c>
      <c r="L369" s="30">
        <v>16.5</v>
      </c>
      <c r="N369" s="4"/>
    </row>
    <row r="370" spans="1:14">
      <c r="A370" s="1" t="s">
        <v>88</v>
      </c>
      <c r="B370" s="1">
        <v>20190329</v>
      </c>
      <c r="C370" s="1" t="s">
        <v>97</v>
      </c>
      <c r="D370" s="1">
        <v>8</v>
      </c>
      <c r="E370" s="30">
        <v>72</v>
      </c>
      <c r="F370" s="30">
        <v>53</v>
      </c>
      <c r="G370" s="30">
        <v>34.4</v>
      </c>
      <c r="H370" s="30">
        <v>16.5</v>
      </c>
      <c r="I370" s="30">
        <v>19</v>
      </c>
      <c r="J370" s="30">
        <v>18.600000000000001</v>
      </c>
      <c r="K370" s="30">
        <v>17.899999999999999</v>
      </c>
      <c r="L370" s="30">
        <v>16.5</v>
      </c>
      <c r="N370" s="4"/>
    </row>
    <row r="371" spans="1:14">
      <c r="A371" s="1" t="s">
        <v>88</v>
      </c>
      <c r="B371" s="1">
        <v>20190411</v>
      </c>
      <c r="C371" s="1" t="s">
        <v>91</v>
      </c>
      <c r="D371" s="1">
        <v>2</v>
      </c>
      <c r="E371" s="30">
        <v>64.7</v>
      </c>
      <c r="F371" s="30">
        <v>48.4</v>
      </c>
      <c r="G371" s="30">
        <v>32.799999999999997</v>
      </c>
      <c r="H371" s="30">
        <v>16.5</v>
      </c>
      <c r="I371" s="30">
        <v>16.3</v>
      </c>
      <c r="J371" s="30">
        <v>15.6</v>
      </c>
      <c r="K371" s="30">
        <v>16.3</v>
      </c>
      <c r="L371" s="30">
        <v>16.5</v>
      </c>
      <c r="N371" s="4"/>
    </row>
    <row r="372" spans="1:14">
      <c r="A372" s="1" t="s">
        <v>88</v>
      </c>
      <c r="B372" s="1">
        <v>20190423</v>
      </c>
      <c r="C372" s="1" t="s">
        <v>90</v>
      </c>
      <c r="D372" s="1">
        <v>1</v>
      </c>
      <c r="E372" s="30">
        <v>67.8</v>
      </c>
      <c r="F372" s="30">
        <v>50.2</v>
      </c>
      <c r="G372" s="30">
        <v>32.9</v>
      </c>
      <c r="H372" s="30">
        <v>16.5</v>
      </c>
      <c r="I372" s="30">
        <v>17.600000000000001</v>
      </c>
      <c r="J372" s="30">
        <v>17.3</v>
      </c>
      <c r="K372" s="30">
        <v>16.399999999999999</v>
      </c>
      <c r="L372" s="30">
        <v>16.5</v>
      </c>
      <c r="N372" s="4"/>
    </row>
    <row r="373" spans="1:14">
      <c r="A373" s="1" t="s">
        <v>88</v>
      </c>
      <c r="B373" s="1">
        <v>20190517</v>
      </c>
      <c r="C373" s="1" t="s">
        <v>91</v>
      </c>
      <c r="D373" s="1">
        <v>2</v>
      </c>
      <c r="E373" s="30">
        <v>64.400000000000006</v>
      </c>
      <c r="F373" s="30">
        <v>48.2</v>
      </c>
      <c r="G373" s="30">
        <v>32.5</v>
      </c>
      <c r="H373" s="30">
        <v>16.5</v>
      </c>
      <c r="I373" s="30">
        <v>16.2</v>
      </c>
      <c r="J373" s="30">
        <v>15.7</v>
      </c>
      <c r="K373" s="30">
        <v>16</v>
      </c>
      <c r="L373" s="30">
        <v>16.5</v>
      </c>
      <c r="N373" s="4"/>
    </row>
    <row r="374" spans="1:14">
      <c r="A374" s="1" t="s">
        <v>88</v>
      </c>
      <c r="B374" s="1">
        <v>20190531</v>
      </c>
      <c r="C374" s="1" t="s">
        <v>98</v>
      </c>
      <c r="D374" s="1">
        <v>9</v>
      </c>
      <c r="E374" s="30">
        <v>67.400000000000006</v>
      </c>
      <c r="F374" s="30">
        <v>49.4</v>
      </c>
      <c r="G374" s="30">
        <v>32.799999999999997</v>
      </c>
      <c r="H374" s="30">
        <v>16.5</v>
      </c>
      <c r="I374" s="30">
        <v>18</v>
      </c>
      <c r="J374" s="30">
        <v>16.600000000000001</v>
      </c>
      <c r="K374" s="30">
        <v>16.3</v>
      </c>
      <c r="L374" s="30">
        <v>16.5</v>
      </c>
      <c r="N374" s="4"/>
    </row>
    <row r="375" spans="1:14">
      <c r="A375" s="1" t="s">
        <v>88</v>
      </c>
      <c r="B375" s="1">
        <v>20190604</v>
      </c>
      <c r="C375" s="1" t="s">
        <v>90</v>
      </c>
      <c r="D375" s="1">
        <v>1</v>
      </c>
      <c r="E375" s="30">
        <v>67</v>
      </c>
      <c r="F375" s="30">
        <v>49.6</v>
      </c>
      <c r="G375" s="30">
        <v>32.799999999999997</v>
      </c>
      <c r="H375" s="30">
        <v>16.5</v>
      </c>
      <c r="I375" s="30">
        <v>17.399999999999999</v>
      </c>
      <c r="J375" s="30">
        <v>16.8</v>
      </c>
      <c r="K375" s="30">
        <v>16.3</v>
      </c>
      <c r="L375" s="30">
        <v>16.5</v>
      </c>
      <c r="N375" s="4"/>
    </row>
    <row r="376" spans="1:14">
      <c r="A376" s="1" t="s">
        <v>88</v>
      </c>
      <c r="B376" s="1">
        <v>20190615</v>
      </c>
      <c r="C376" s="1" t="s">
        <v>98</v>
      </c>
      <c r="D376" s="1">
        <v>9</v>
      </c>
      <c r="E376" s="30">
        <v>69.5</v>
      </c>
      <c r="F376" s="30">
        <v>50.5</v>
      </c>
      <c r="G376" s="30">
        <v>33</v>
      </c>
      <c r="H376" s="30">
        <v>16.5</v>
      </c>
      <c r="I376" s="30">
        <v>19</v>
      </c>
      <c r="J376" s="30">
        <v>17.5</v>
      </c>
      <c r="K376" s="30">
        <v>16.5</v>
      </c>
      <c r="L376" s="30">
        <v>16.5</v>
      </c>
      <c r="N376" s="4"/>
    </row>
    <row r="377" spans="1:14">
      <c r="A377" s="1" t="s">
        <v>88</v>
      </c>
      <c r="B377" s="1">
        <v>20190704</v>
      </c>
      <c r="C377" s="1" t="s">
        <v>95</v>
      </c>
      <c r="D377" s="1">
        <v>6</v>
      </c>
      <c r="E377" s="30">
        <v>69.599999999999994</v>
      </c>
      <c r="F377" s="30">
        <v>51.2</v>
      </c>
      <c r="G377" s="30">
        <v>33.5</v>
      </c>
      <c r="H377" s="30">
        <v>16.5</v>
      </c>
      <c r="I377" s="30">
        <v>18.399999999999999</v>
      </c>
      <c r="J377" s="30">
        <v>17.7</v>
      </c>
      <c r="K377" s="30">
        <v>17</v>
      </c>
      <c r="L377" s="30">
        <v>16.5</v>
      </c>
      <c r="N377" s="4"/>
    </row>
    <row r="378" spans="1:14">
      <c r="A378" s="1" t="s">
        <v>88</v>
      </c>
      <c r="B378" s="1">
        <v>20190706</v>
      </c>
      <c r="C378" s="1" t="s">
        <v>93</v>
      </c>
      <c r="D378" s="1">
        <v>4</v>
      </c>
      <c r="E378" s="30">
        <v>67.400000000000006</v>
      </c>
      <c r="F378" s="30">
        <v>49.9</v>
      </c>
      <c r="G378" s="30">
        <v>33.200000000000003</v>
      </c>
      <c r="H378" s="30">
        <v>16.5</v>
      </c>
      <c r="I378" s="30">
        <v>17.5</v>
      </c>
      <c r="J378" s="30">
        <v>16.7</v>
      </c>
      <c r="K378" s="30">
        <v>16.7</v>
      </c>
      <c r="L378" s="30">
        <v>16.5</v>
      </c>
      <c r="N378" s="4"/>
    </row>
    <row r="379" spans="1:14">
      <c r="A379" s="1" t="s">
        <v>88</v>
      </c>
      <c r="B379" s="1">
        <v>20190713</v>
      </c>
      <c r="C379" s="1" t="s">
        <v>98</v>
      </c>
      <c r="D379" s="1">
        <v>9</v>
      </c>
      <c r="E379" s="30">
        <v>69.5</v>
      </c>
      <c r="F379" s="30">
        <v>49.8</v>
      </c>
      <c r="G379" s="30">
        <v>33.4</v>
      </c>
      <c r="H379" s="30">
        <v>16.5</v>
      </c>
      <c r="I379" s="30">
        <v>19.7</v>
      </c>
      <c r="J379" s="30">
        <v>16.399999999999999</v>
      </c>
      <c r="K379" s="30">
        <v>16.899999999999999</v>
      </c>
      <c r="L379" s="30">
        <v>16.5</v>
      </c>
      <c r="N379" s="4"/>
    </row>
    <row r="380" spans="1:14">
      <c r="A380" s="1" t="s">
        <v>88</v>
      </c>
      <c r="B380" s="1">
        <v>20190126</v>
      </c>
      <c r="C380" s="1" t="s">
        <v>99</v>
      </c>
      <c r="D380" s="1">
        <v>10</v>
      </c>
      <c r="E380" s="30">
        <v>68.5</v>
      </c>
      <c r="F380" s="30">
        <v>50</v>
      </c>
      <c r="G380" s="30">
        <v>33</v>
      </c>
      <c r="H380" s="30">
        <v>16.600000000000001</v>
      </c>
      <c r="I380" s="30">
        <v>18.5</v>
      </c>
      <c r="J380" s="30">
        <v>17</v>
      </c>
      <c r="K380" s="30">
        <v>16.399999999999999</v>
      </c>
      <c r="L380" s="30">
        <v>16.600000000000001</v>
      </c>
      <c r="N380" s="4"/>
    </row>
    <row r="381" spans="1:14">
      <c r="A381" s="1" t="s">
        <v>88</v>
      </c>
      <c r="B381" s="1">
        <v>20190216</v>
      </c>
      <c r="C381" s="1" t="s">
        <v>96</v>
      </c>
      <c r="D381" s="1">
        <v>7</v>
      </c>
      <c r="E381" s="30">
        <v>72.900000000000006</v>
      </c>
      <c r="F381" s="30">
        <v>52</v>
      </c>
      <c r="G381" s="30">
        <v>33.6</v>
      </c>
      <c r="H381" s="30">
        <v>16.600000000000001</v>
      </c>
      <c r="I381" s="30">
        <v>20.9</v>
      </c>
      <c r="J381" s="30">
        <v>18.399999999999999</v>
      </c>
      <c r="K381" s="30">
        <v>17</v>
      </c>
      <c r="L381" s="30">
        <v>16.600000000000001</v>
      </c>
      <c r="N381" s="4"/>
    </row>
    <row r="382" spans="1:14">
      <c r="A382" s="1" t="s">
        <v>88</v>
      </c>
      <c r="B382" s="1">
        <v>20190319</v>
      </c>
      <c r="C382" s="1" t="s">
        <v>96</v>
      </c>
      <c r="D382" s="1">
        <v>7</v>
      </c>
      <c r="E382" s="30">
        <v>69.900000000000006</v>
      </c>
      <c r="F382" s="30">
        <v>51.1</v>
      </c>
      <c r="G382" s="30">
        <v>33.299999999999997</v>
      </c>
      <c r="H382" s="30">
        <v>16.600000000000001</v>
      </c>
      <c r="I382" s="30">
        <v>18.8</v>
      </c>
      <c r="J382" s="30">
        <v>17.8</v>
      </c>
      <c r="K382" s="30">
        <v>16.7</v>
      </c>
      <c r="L382" s="30">
        <v>16.600000000000001</v>
      </c>
      <c r="N382" s="4"/>
    </row>
    <row r="383" spans="1:14">
      <c r="A383" s="1" t="s">
        <v>88</v>
      </c>
      <c r="B383" s="1">
        <v>20190507</v>
      </c>
      <c r="C383" s="1" t="s">
        <v>90</v>
      </c>
      <c r="D383" s="1">
        <v>1</v>
      </c>
      <c r="E383" s="30">
        <v>68.400000000000006</v>
      </c>
      <c r="F383" s="30">
        <v>51</v>
      </c>
      <c r="G383" s="30">
        <v>33.4</v>
      </c>
      <c r="H383" s="30">
        <v>16.600000000000001</v>
      </c>
      <c r="I383" s="30">
        <v>17.399999999999999</v>
      </c>
      <c r="J383" s="30">
        <v>17.600000000000001</v>
      </c>
      <c r="K383" s="30">
        <v>16.8</v>
      </c>
      <c r="L383" s="30">
        <v>16.600000000000001</v>
      </c>
      <c r="N383" s="4"/>
    </row>
    <row r="384" spans="1:14">
      <c r="A384" s="1" t="s">
        <v>88</v>
      </c>
      <c r="B384" s="1">
        <v>20190521</v>
      </c>
      <c r="C384" s="1" t="s">
        <v>92</v>
      </c>
      <c r="D384" s="1">
        <v>3</v>
      </c>
      <c r="E384" s="30">
        <v>69.5</v>
      </c>
      <c r="F384" s="30">
        <v>50.3</v>
      </c>
      <c r="G384" s="30">
        <v>33</v>
      </c>
      <c r="H384" s="30">
        <v>16.600000000000001</v>
      </c>
      <c r="I384" s="30">
        <v>19.2</v>
      </c>
      <c r="J384" s="30">
        <v>17.3</v>
      </c>
      <c r="K384" s="30">
        <v>16.399999999999999</v>
      </c>
      <c r="L384" s="30">
        <v>16.600000000000001</v>
      </c>
      <c r="N384" s="4"/>
    </row>
    <row r="385" spans="1:14">
      <c r="A385" s="1" t="s">
        <v>88</v>
      </c>
      <c r="B385" s="1">
        <v>20190528</v>
      </c>
      <c r="C385" s="1" t="s">
        <v>90</v>
      </c>
      <c r="D385" s="1">
        <v>1</v>
      </c>
      <c r="E385" s="30">
        <v>65.7</v>
      </c>
      <c r="F385" s="30">
        <v>49.1</v>
      </c>
      <c r="G385" s="30">
        <v>32.6</v>
      </c>
      <c r="H385" s="30">
        <v>16.600000000000001</v>
      </c>
      <c r="I385" s="30">
        <v>16.600000000000001</v>
      </c>
      <c r="J385" s="30">
        <v>16.5</v>
      </c>
      <c r="K385" s="30">
        <v>16</v>
      </c>
      <c r="L385" s="30">
        <v>16.600000000000001</v>
      </c>
      <c r="N385" s="4"/>
    </row>
    <row r="386" spans="1:14">
      <c r="A386" s="1" t="s">
        <v>88</v>
      </c>
      <c r="B386" s="1">
        <v>20190605</v>
      </c>
      <c r="C386" s="1" t="s">
        <v>93</v>
      </c>
      <c r="D386" s="1">
        <v>4</v>
      </c>
      <c r="E386" s="30">
        <v>66.900000000000006</v>
      </c>
      <c r="F386" s="30">
        <v>49.2</v>
      </c>
      <c r="G386" s="30">
        <v>33.1</v>
      </c>
      <c r="H386" s="30">
        <v>16.600000000000001</v>
      </c>
      <c r="I386" s="30">
        <v>17.7</v>
      </c>
      <c r="J386" s="30">
        <v>16.100000000000001</v>
      </c>
      <c r="K386" s="30">
        <v>16.5</v>
      </c>
      <c r="L386" s="30">
        <v>16.600000000000001</v>
      </c>
      <c r="N386" s="4"/>
    </row>
    <row r="387" spans="1:14">
      <c r="A387" s="1" t="s">
        <v>88</v>
      </c>
      <c r="B387" s="1">
        <v>20190618</v>
      </c>
      <c r="C387" s="1" t="s">
        <v>99</v>
      </c>
      <c r="D387" s="1">
        <v>10</v>
      </c>
      <c r="E387" s="30">
        <v>66.900000000000006</v>
      </c>
      <c r="F387" s="30">
        <v>50</v>
      </c>
      <c r="G387" s="30">
        <v>33.4</v>
      </c>
      <c r="H387" s="30">
        <v>16.600000000000001</v>
      </c>
      <c r="I387" s="30">
        <v>16.899999999999999</v>
      </c>
      <c r="J387" s="30">
        <v>16.600000000000001</v>
      </c>
      <c r="K387" s="30">
        <v>16.8</v>
      </c>
      <c r="L387" s="30">
        <v>16.600000000000001</v>
      </c>
      <c r="N387" s="4"/>
    </row>
    <row r="388" spans="1:14">
      <c r="A388" s="1" t="s">
        <v>88</v>
      </c>
      <c r="B388" s="1">
        <v>20190630</v>
      </c>
      <c r="C388" s="1" t="s">
        <v>93</v>
      </c>
      <c r="D388" s="1">
        <v>4</v>
      </c>
      <c r="E388" s="30">
        <v>69.5</v>
      </c>
      <c r="F388" s="30">
        <v>50.8</v>
      </c>
      <c r="G388" s="30">
        <v>33.5</v>
      </c>
      <c r="H388" s="30">
        <v>16.600000000000001</v>
      </c>
      <c r="I388" s="30">
        <v>18.7</v>
      </c>
      <c r="J388" s="30">
        <v>17.3</v>
      </c>
      <c r="K388" s="30">
        <v>16.899999999999999</v>
      </c>
      <c r="L388" s="30">
        <v>16.600000000000001</v>
      </c>
      <c r="N388" s="4"/>
    </row>
    <row r="389" spans="1:14">
      <c r="A389" s="1" t="s">
        <v>88</v>
      </c>
      <c r="B389" s="1">
        <v>20190709</v>
      </c>
      <c r="C389" s="1" t="s">
        <v>99</v>
      </c>
      <c r="D389" s="1">
        <v>10</v>
      </c>
      <c r="E389" s="30">
        <v>68.900000000000006</v>
      </c>
      <c r="F389" s="30">
        <v>50.8</v>
      </c>
      <c r="G389" s="30">
        <v>34</v>
      </c>
      <c r="H389" s="30">
        <v>16.600000000000001</v>
      </c>
      <c r="I389" s="30">
        <v>18.100000000000001</v>
      </c>
      <c r="J389" s="30">
        <v>16.8</v>
      </c>
      <c r="K389" s="30">
        <v>17.399999999999999</v>
      </c>
      <c r="L389" s="30">
        <v>16.600000000000001</v>
      </c>
      <c r="N389" s="4"/>
    </row>
    <row r="390" spans="1:14">
      <c r="A390" s="1" t="s">
        <v>88</v>
      </c>
      <c r="B390" s="1">
        <v>20190226</v>
      </c>
      <c r="C390" s="1" t="s">
        <v>96</v>
      </c>
      <c r="D390" s="1">
        <v>7</v>
      </c>
      <c r="E390" s="30">
        <v>70.7</v>
      </c>
      <c r="F390" s="30">
        <v>53</v>
      </c>
      <c r="G390" s="30">
        <v>33.799999999999997</v>
      </c>
      <c r="H390" s="30">
        <v>16.7</v>
      </c>
      <c r="I390" s="30">
        <v>17.7</v>
      </c>
      <c r="J390" s="30">
        <v>19.2</v>
      </c>
      <c r="K390" s="30">
        <v>17.100000000000001</v>
      </c>
      <c r="L390" s="30">
        <v>16.7</v>
      </c>
      <c r="N390" s="4"/>
    </row>
    <row r="391" spans="1:14">
      <c r="A391" s="1" t="s">
        <v>88</v>
      </c>
      <c r="B391" s="1">
        <v>20190507</v>
      </c>
      <c r="C391" s="1" t="s">
        <v>91</v>
      </c>
      <c r="D391" s="1">
        <v>2</v>
      </c>
      <c r="E391" s="30">
        <v>68.400000000000006</v>
      </c>
      <c r="F391" s="30">
        <v>50.8</v>
      </c>
      <c r="G391" s="30">
        <v>33.6</v>
      </c>
      <c r="H391" s="30">
        <v>16.7</v>
      </c>
      <c r="I391" s="30">
        <v>17.600000000000001</v>
      </c>
      <c r="J391" s="30">
        <v>17.2</v>
      </c>
      <c r="K391" s="30">
        <v>16.899999999999999</v>
      </c>
      <c r="L391" s="30">
        <v>16.7</v>
      </c>
      <c r="N391" s="4"/>
    </row>
    <row r="392" spans="1:14">
      <c r="A392" s="1" t="s">
        <v>88</v>
      </c>
      <c r="B392" s="1">
        <v>20190622</v>
      </c>
      <c r="C392" s="1" t="s">
        <v>96</v>
      </c>
      <c r="D392" s="1">
        <v>7</v>
      </c>
      <c r="E392" s="30">
        <v>71</v>
      </c>
      <c r="F392" s="30">
        <v>52</v>
      </c>
      <c r="G392" s="30">
        <v>34.1</v>
      </c>
      <c r="H392" s="30">
        <v>16.7</v>
      </c>
      <c r="I392" s="30">
        <v>19</v>
      </c>
      <c r="J392" s="30">
        <v>17.899999999999999</v>
      </c>
      <c r="K392" s="30">
        <v>17.399999999999999</v>
      </c>
      <c r="L392" s="30">
        <v>16.7</v>
      </c>
      <c r="N392" s="4"/>
    </row>
    <row r="393" spans="1:14">
      <c r="A393" s="1" t="s">
        <v>88</v>
      </c>
      <c r="B393" s="1">
        <v>20190706</v>
      </c>
      <c r="C393" s="1" t="s">
        <v>99</v>
      </c>
      <c r="D393" s="1">
        <v>10</v>
      </c>
      <c r="E393" s="30">
        <v>70.3</v>
      </c>
      <c r="F393" s="30">
        <v>50.9</v>
      </c>
      <c r="G393" s="30">
        <v>33.6</v>
      </c>
      <c r="H393" s="30">
        <v>16.7</v>
      </c>
      <c r="I393" s="30">
        <v>19.399999999999999</v>
      </c>
      <c r="J393" s="30">
        <v>17.3</v>
      </c>
      <c r="K393" s="30">
        <v>16.899999999999999</v>
      </c>
      <c r="L393" s="30">
        <v>16.7</v>
      </c>
      <c r="N393" s="4"/>
    </row>
    <row r="394" spans="1:14">
      <c r="A394" s="1" t="s">
        <v>88</v>
      </c>
      <c r="B394" s="1">
        <v>20190123</v>
      </c>
      <c r="C394" s="1" t="s">
        <v>99</v>
      </c>
      <c r="D394" s="1">
        <v>10</v>
      </c>
      <c r="E394" s="30">
        <v>67.5</v>
      </c>
      <c r="F394" s="30">
        <v>50.1</v>
      </c>
      <c r="G394" s="30">
        <v>33.6</v>
      </c>
      <c r="H394" s="30">
        <v>16.8</v>
      </c>
      <c r="I394" s="30">
        <v>17.399999999999999</v>
      </c>
      <c r="J394" s="30">
        <v>16.5</v>
      </c>
      <c r="K394" s="30">
        <v>16.8</v>
      </c>
      <c r="L394" s="30">
        <v>16.8</v>
      </c>
      <c r="N394" s="4"/>
    </row>
    <row r="395" spans="1:14">
      <c r="A395" s="1" t="s">
        <v>88</v>
      </c>
      <c r="B395" s="1">
        <v>20190209</v>
      </c>
      <c r="C395" s="1" t="s">
        <v>96</v>
      </c>
      <c r="D395" s="1">
        <v>7</v>
      </c>
      <c r="E395" s="30">
        <v>70.2</v>
      </c>
      <c r="F395" s="30">
        <v>52.1</v>
      </c>
      <c r="G395" s="30">
        <v>34</v>
      </c>
      <c r="H395" s="30">
        <v>16.8</v>
      </c>
      <c r="I395" s="30">
        <v>18.100000000000001</v>
      </c>
      <c r="J395" s="30">
        <v>18.100000000000001</v>
      </c>
      <c r="K395" s="30">
        <v>17.2</v>
      </c>
      <c r="L395" s="30">
        <v>16.8</v>
      </c>
      <c r="N395" s="4"/>
    </row>
    <row r="396" spans="1:14">
      <c r="A396" s="1" t="s">
        <v>88</v>
      </c>
      <c r="B396" s="1">
        <v>20190524</v>
      </c>
      <c r="C396" s="1" t="s">
        <v>90</v>
      </c>
      <c r="D396" s="1">
        <v>1</v>
      </c>
      <c r="E396" s="30">
        <v>68.5</v>
      </c>
      <c r="F396" s="30">
        <v>50.6</v>
      </c>
      <c r="G396" s="30">
        <v>33.6</v>
      </c>
      <c r="H396" s="30">
        <v>16.8</v>
      </c>
      <c r="I396" s="30">
        <v>17.899999999999999</v>
      </c>
      <c r="J396" s="30">
        <v>17</v>
      </c>
      <c r="K396" s="30">
        <v>16.8</v>
      </c>
      <c r="L396" s="30">
        <v>16.8</v>
      </c>
      <c r="N396" s="4"/>
    </row>
    <row r="397" spans="1:14">
      <c r="A397" s="1" t="s">
        <v>88</v>
      </c>
      <c r="B397" s="1">
        <v>20190524</v>
      </c>
      <c r="C397" s="1" t="s">
        <v>96</v>
      </c>
      <c r="D397" s="1">
        <v>7</v>
      </c>
      <c r="E397" s="30">
        <v>67.599999999999994</v>
      </c>
      <c r="F397" s="30">
        <v>50.2</v>
      </c>
      <c r="G397" s="30">
        <v>33.5</v>
      </c>
      <c r="H397" s="30">
        <v>16.8</v>
      </c>
      <c r="I397" s="30">
        <v>17.399999999999999</v>
      </c>
      <c r="J397" s="30">
        <v>16.7</v>
      </c>
      <c r="K397" s="30">
        <v>16.7</v>
      </c>
      <c r="L397" s="30">
        <v>16.8</v>
      </c>
      <c r="N397" s="4"/>
    </row>
    <row r="398" spans="1:14">
      <c r="A398" s="1" t="s">
        <v>88</v>
      </c>
      <c r="B398" s="1">
        <v>20190713</v>
      </c>
      <c r="C398" s="1" t="s">
        <v>90</v>
      </c>
      <c r="D398" s="1">
        <v>1</v>
      </c>
      <c r="E398" s="30">
        <v>68.7</v>
      </c>
      <c r="F398" s="30">
        <v>50.9</v>
      </c>
      <c r="G398" s="30">
        <v>33.299999999999997</v>
      </c>
      <c r="H398" s="30">
        <v>16.8</v>
      </c>
      <c r="I398" s="30">
        <v>17.8</v>
      </c>
      <c r="J398" s="30">
        <v>17.600000000000001</v>
      </c>
      <c r="K398" s="30">
        <v>16.5</v>
      </c>
      <c r="L398" s="30">
        <v>16.8</v>
      </c>
      <c r="N398" s="4"/>
    </row>
    <row r="399" spans="1:14">
      <c r="A399" s="1" t="s">
        <v>88</v>
      </c>
      <c r="B399" s="1">
        <v>20190227</v>
      </c>
      <c r="C399" s="1" t="s">
        <v>96</v>
      </c>
      <c r="D399" s="1">
        <v>7</v>
      </c>
      <c r="E399" s="30">
        <v>70.099999999999994</v>
      </c>
      <c r="F399" s="30">
        <v>51.5</v>
      </c>
      <c r="G399" s="30">
        <v>34.299999999999997</v>
      </c>
      <c r="H399" s="30">
        <v>16.899999999999999</v>
      </c>
      <c r="I399" s="30">
        <v>18.600000000000001</v>
      </c>
      <c r="J399" s="30">
        <v>17.2</v>
      </c>
      <c r="K399" s="30">
        <v>17.399999999999999</v>
      </c>
      <c r="L399" s="30">
        <v>16.899999999999999</v>
      </c>
      <c r="N399" s="4"/>
    </row>
    <row r="400" spans="1:14">
      <c r="A400" s="1" t="s">
        <v>88</v>
      </c>
      <c r="B400" s="1">
        <v>20190227</v>
      </c>
      <c r="C400" s="1" t="s">
        <v>96</v>
      </c>
      <c r="D400" s="1">
        <v>7</v>
      </c>
      <c r="E400" s="30">
        <v>70.099999999999994</v>
      </c>
      <c r="F400" s="30">
        <v>51.5</v>
      </c>
      <c r="G400" s="30">
        <v>34.299999999999997</v>
      </c>
      <c r="H400" s="30">
        <v>16.899999999999999</v>
      </c>
      <c r="I400" s="30">
        <v>18.600000000000001</v>
      </c>
      <c r="J400" s="30">
        <v>17.2</v>
      </c>
      <c r="K400" s="30">
        <v>17.399999999999999</v>
      </c>
      <c r="L400" s="30">
        <v>16.899999999999999</v>
      </c>
      <c r="N400" s="4"/>
    </row>
    <row r="401" spans="1:14">
      <c r="A401" s="1" t="s">
        <v>88</v>
      </c>
      <c r="B401" s="1">
        <v>20190316</v>
      </c>
      <c r="C401" s="1" t="s">
        <v>91</v>
      </c>
      <c r="D401" s="1">
        <v>2</v>
      </c>
      <c r="E401" s="30">
        <v>65.5</v>
      </c>
      <c r="F401" s="30">
        <v>48.8</v>
      </c>
      <c r="G401" s="30">
        <v>33.200000000000003</v>
      </c>
      <c r="H401" s="30">
        <v>16.899999999999999</v>
      </c>
      <c r="I401" s="30">
        <v>16.7</v>
      </c>
      <c r="J401" s="30">
        <v>15.6</v>
      </c>
      <c r="K401" s="30">
        <v>16.3</v>
      </c>
      <c r="L401" s="30">
        <v>16.899999999999999</v>
      </c>
      <c r="N401" s="4"/>
    </row>
    <row r="402" spans="1:14">
      <c r="A402" s="1" t="s">
        <v>88</v>
      </c>
      <c r="B402" s="1">
        <v>20190406</v>
      </c>
      <c r="C402" s="1" t="s">
        <v>97</v>
      </c>
      <c r="D402" s="1">
        <v>8</v>
      </c>
      <c r="E402" s="30">
        <v>71</v>
      </c>
      <c r="F402" s="30">
        <v>51.2</v>
      </c>
      <c r="G402" s="30">
        <v>33.4</v>
      </c>
      <c r="H402" s="30">
        <v>16.899999999999999</v>
      </c>
      <c r="I402" s="30">
        <v>19.8</v>
      </c>
      <c r="J402" s="30">
        <v>17.8</v>
      </c>
      <c r="K402" s="30">
        <v>16.5</v>
      </c>
      <c r="L402" s="30">
        <v>16.899999999999999</v>
      </c>
      <c r="N402" s="4"/>
    </row>
    <row r="403" spans="1:14">
      <c r="A403" s="1" t="s">
        <v>88</v>
      </c>
      <c r="B403" s="1">
        <v>20190412</v>
      </c>
      <c r="C403" s="1" t="s">
        <v>91</v>
      </c>
      <c r="D403" s="1">
        <v>2</v>
      </c>
      <c r="E403" s="30">
        <v>66.599999999999994</v>
      </c>
      <c r="F403" s="30">
        <v>48.8</v>
      </c>
      <c r="G403" s="30">
        <v>33</v>
      </c>
      <c r="H403" s="30">
        <v>16.899999999999999</v>
      </c>
      <c r="I403" s="30">
        <v>17.8</v>
      </c>
      <c r="J403" s="30">
        <v>15.8</v>
      </c>
      <c r="K403" s="30">
        <v>16.100000000000001</v>
      </c>
      <c r="L403" s="30">
        <v>16.899999999999999</v>
      </c>
      <c r="N403" s="4"/>
    </row>
    <row r="404" spans="1:14">
      <c r="A404" s="1" t="s">
        <v>88</v>
      </c>
      <c r="B404" s="1">
        <v>20190511</v>
      </c>
      <c r="C404" s="1" t="s">
        <v>90</v>
      </c>
      <c r="D404" s="1">
        <v>1</v>
      </c>
      <c r="E404" s="30">
        <v>68.400000000000006</v>
      </c>
      <c r="F404" s="30">
        <v>51</v>
      </c>
      <c r="G404" s="30">
        <v>33.799999999999997</v>
      </c>
      <c r="H404" s="30">
        <v>16.899999999999999</v>
      </c>
      <c r="I404" s="30">
        <v>17.399999999999999</v>
      </c>
      <c r="J404" s="30">
        <v>17.2</v>
      </c>
      <c r="K404" s="30">
        <v>16.899999999999999</v>
      </c>
      <c r="L404" s="30">
        <v>16.899999999999999</v>
      </c>
      <c r="N404" s="4"/>
    </row>
    <row r="405" spans="1:14">
      <c r="A405" s="1" t="s">
        <v>88</v>
      </c>
      <c r="B405" s="1">
        <v>20190615</v>
      </c>
      <c r="C405" s="1" t="s">
        <v>91</v>
      </c>
      <c r="D405" s="1">
        <v>2</v>
      </c>
      <c r="E405" s="30">
        <v>65.599999999999994</v>
      </c>
      <c r="F405" s="30">
        <v>48.7</v>
      </c>
      <c r="G405" s="30">
        <v>33.1</v>
      </c>
      <c r="H405" s="30">
        <v>16.899999999999999</v>
      </c>
      <c r="I405" s="30">
        <v>16.899999999999999</v>
      </c>
      <c r="J405" s="30">
        <v>15.6</v>
      </c>
      <c r="K405" s="30">
        <v>16.2</v>
      </c>
      <c r="L405" s="30">
        <v>16.899999999999999</v>
      </c>
      <c r="N405" s="4"/>
    </row>
    <row r="406" spans="1:14">
      <c r="A406" s="1" t="s">
        <v>88</v>
      </c>
      <c r="B406" s="1">
        <v>20190615</v>
      </c>
      <c r="C406" s="1" t="s">
        <v>99</v>
      </c>
      <c r="D406" s="1">
        <v>10</v>
      </c>
      <c r="E406" s="30">
        <v>67.099999999999994</v>
      </c>
      <c r="F406" s="30">
        <v>50.1</v>
      </c>
      <c r="G406" s="30">
        <v>33.799999999999997</v>
      </c>
      <c r="H406" s="30">
        <v>16.899999999999999</v>
      </c>
      <c r="I406" s="30">
        <v>17</v>
      </c>
      <c r="J406" s="30">
        <v>16.3</v>
      </c>
      <c r="K406" s="30">
        <v>16.899999999999999</v>
      </c>
      <c r="L406" s="30">
        <v>16.899999999999999</v>
      </c>
      <c r="N406" s="4"/>
    </row>
    <row r="407" spans="1:14">
      <c r="A407" s="1" t="s">
        <v>88</v>
      </c>
      <c r="B407" s="1">
        <v>20190713</v>
      </c>
      <c r="C407" s="1" t="s">
        <v>93</v>
      </c>
      <c r="D407" s="1">
        <v>4</v>
      </c>
      <c r="E407" s="30">
        <v>68.900000000000006</v>
      </c>
      <c r="F407" s="30">
        <v>51.2</v>
      </c>
      <c r="G407" s="30">
        <v>33.799999999999997</v>
      </c>
      <c r="H407" s="30">
        <v>16.899999999999999</v>
      </c>
      <c r="I407" s="30">
        <v>17.7</v>
      </c>
      <c r="J407" s="30">
        <v>17.399999999999999</v>
      </c>
      <c r="K407" s="30">
        <v>16.899999999999999</v>
      </c>
      <c r="L407" s="30">
        <v>16.899999999999999</v>
      </c>
      <c r="N407" s="4"/>
    </row>
    <row r="408" spans="1:14">
      <c r="A408" s="1" t="s">
        <v>88</v>
      </c>
      <c r="B408" s="1">
        <v>20190116</v>
      </c>
      <c r="C408" s="1" t="s">
        <v>94</v>
      </c>
      <c r="D408" s="1">
        <v>5</v>
      </c>
      <c r="E408" s="30">
        <v>74.099999999999994</v>
      </c>
      <c r="F408" s="30">
        <v>52.7</v>
      </c>
      <c r="G408" s="30">
        <v>34.200000000000003</v>
      </c>
      <c r="H408" s="30">
        <v>17</v>
      </c>
      <c r="I408" s="30">
        <v>21.4</v>
      </c>
      <c r="J408" s="30">
        <v>18.5</v>
      </c>
      <c r="K408" s="30">
        <v>17.2</v>
      </c>
      <c r="L408" s="30">
        <v>17</v>
      </c>
      <c r="N408" s="4"/>
    </row>
    <row r="409" spans="1:14">
      <c r="A409" s="1" t="s">
        <v>88</v>
      </c>
      <c r="B409" s="1">
        <v>20190222</v>
      </c>
      <c r="C409" s="1" t="s">
        <v>96</v>
      </c>
      <c r="D409" s="1">
        <v>7</v>
      </c>
      <c r="E409" s="30">
        <v>69.400000000000006</v>
      </c>
      <c r="F409" s="30">
        <v>50.9</v>
      </c>
      <c r="G409" s="30">
        <v>33.700000000000003</v>
      </c>
      <c r="H409" s="30">
        <v>17</v>
      </c>
      <c r="I409" s="30">
        <v>18.5</v>
      </c>
      <c r="J409" s="30">
        <v>17.2</v>
      </c>
      <c r="K409" s="30">
        <v>16.7</v>
      </c>
      <c r="L409" s="30">
        <v>17</v>
      </c>
      <c r="N409" s="4"/>
    </row>
    <row r="410" spans="1:14">
      <c r="A410" s="1" t="s">
        <v>88</v>
      </c>
      <c r="B410" s="1">
        <v>20190518</v>
      </c>
      <c r="C410" s="1" t="s">
        <v>91</v>
      </c>
      <c r="D410" s="1">
        <v>2</v>
      </c>
      <c r="E410" s="30">
        <v>67.599999999999994</v>
      </c>
      <c r="F410" s="30">
        <v>50</v>
      </c>
      <c r="G410" s="30">
        <v>33.799999999999997</v>
      </c>
      <c r="H410" s="30">
        <v>17</v>
      </c>
      <c r="I410" s="30">
        <v>17.600000000000001</v>
      </c>
      <c r="J410" s="30">
        <v>16.2</v>
      </c>
      <c r="K410" s="30">
        <v>16.8</v>
      </c>
      <c r="L410" s="30">
        <v>17</v>
      </c>
      <c r="N410" s="4"/>
    </row>
    <row r="411" spans="1:14">
      <c r="A411" s="1" t="s">
        <v>88</v>
      </c>
      <c r="B411" s="1">
        <v>20190607</v>
      </c>
      <c r="C411" s="1" t="s">
        <v>90</v>
      </c>
      <c r="D411" s="1">
        <v>1</v>
      </c>
      <c r="E411" s="30">
        <v>68.3</v>
      </c>
      <c r="F411" s="30">
        <v>51.7</v>
      </c>
      <c r="G411" s="30">
        <v>34.6</v>
      </c>
      <c r="H411" s="30">
        <v>17</v>
      </c>
      <c r="I411" s="30">
        <v>16.600000000000001</v>
      </c>
      <c r="J411" s="30">
        <v>17.100000000000001</v>
      </c>
      <c r="K411" s="30">
        <v>17.600000000000001</v>
      </c>
      <c r="L411" s="30">
        <v>17</v>
      </c>
      <c r="N411" s="4"/>
    </row>
    <row r="412" spans="1:14">
      <c r="A412" s="1" t="s">
        <v>88</v>
      </c>
      <c r="B412" s="1">
        <v>20190629</v>
      </c>
      <c r="C412" s="1" t="s">
        <v>93</v>
      </c>
      <c r="D412" s="1">
        <v>4</v>
      </c>
      <c r="E412" s="30">
        <v>71.099999999999994</v>
      </c>
      <c r="F412" s="30">
        <v>51.9</v>
      </c>
      <c r="G412" s="30">
        <v>34.1</v>
      </c>
      <c r="H412" s="30">
        <v>17</v>
      </c>
      <c r="I412" s="30">
        <v>19.2</v>
      </c>
      <c r="J412" s="30">
        <v>17.8</v>
      </c>
      <c r="K412" s="30">
        <v>17.100000000000001</v>
      </c>
      <c r="L412" s="30">
        <v>17</v>
      </c>
      <c r="N412" s="4"/>
    </row>
    <row r="413" spans="1:14">
      <c r="A413" s="1" t="s">
        <v>88</v>
      </c>
      <c r="B413" s="1">
        <v>20190504</v>
      </c>
      <c r="C413" s="1" t="s">
        <v>90</v>
      </c>
      <c r="D413" s="1">
        <v>1</v>
      </c>
      <c r="E413" s="30">
        <v>71.3</v>
      </c>
      <c r="F413" s="30">
        <v>52.5</v>
      </c>
      <c r="G413" s="30">
        <v>34.799999999999997</v>
      </c>
      <c r="H413" s="30">
        <v>17.100000000000001</v>
      </c>
      <c r="I413" s="30">
        <v>18.8</v>
      </c>
      <c r="J413" s="30">
        <v>17.7</v>
      </c>
      <c r="K413" s="30">
        <v>17.7</v>
      </c>
      <c r="L413" s="30">
        <v>17.100000000000001</v>
      </c>
      <c r="N413" s="4"/>
    </row>
    <row r="414" spans="1:14">
      <c r="A414" s="1" t="s">
        <v>88</v>
      </c>
      <c r="B414" s="1">
        <v>20190531</v>
      </c>
      <c r="C414" s="1" t="s">
        <v>90</v>
      </c>
      <c r="D414" s="1">
        <v>1</v>
      </c>
      <c r="E414" s="30">
        <v>71.3</v>
      </c>
      <c r="F414" s="30">
        <v>52.6</v>
      </c>
      <c r="G414" s="30">
        <v>34.4</v>
      </c>
      <c r="H414" s="30">
        <v>17.100000000000001</v>
      </c>
      <c r="I414" s="30">
        <v>18.7</v>
      </c>
      <c r="J414" s="30">
        <v>18.2</v>
      </c>
      <c r="K414" s="30">
        <v>17.3</v>
      </c>
      <c r="L414" s="30">
        <v>17.100000000000001</v>
      </c>
      <c r="N414" s="4"/>
    </row>
    <row r="415" spans="1:14">
      <c r="A415" s="1" t="s">
        <v>88</v>
      </c>
      <c r="B415" s="1">
        <v>20190601</v>
      </c>
      <c r="C415" s="1" t="s">
        <v>90</v>
      </c>
      <c r="D415" s="1">
        <v>1</v>
      </c>
      <c r="E415" s="30">
        <v>71.599999999999994</v>
      </c>
      <c r="F415" s="30">
        <v>52.4</v>
      </c>
      <c r="G415" s="30">
        <v>34.5</v>
      </c>
      <c r="H415" s="30">
        <v>17.100000000000001</v>
      </c>
      <c r="I415" s="30">
        <v>19.2</v>
      </c>
      <c r="J415" s="30">
        <v>17.899999999999999</v>
      </c>
      <c r="K415" s="30">
        <v>17.399999999999999</v>
      </c>
      <c r="L415" s="30">
        <v>17.100000000000001</v>
      </c>
      <c r="N415" s="4"/>
    </row>
    <row r="416" spans="1:14">
      <c r="A416" s="1" t="s">
        <v>88</v>
      </c>
      <c r="B416" s="1">
        <v>20190601</v>
      </c>
      <c r="C416" s="1" t="s">
        <v>99</v>
      </c>
      <c r="D416" s="1">
        <v>10</v>
      </c>
      <c r="E416" s="30">
        <v>72.7</v>
      </c>
      <c r="F416" s="30">
        <v>53.6</v>
      </c>
      <c r="G416" s="30">
        <v>35.200000000000003</v>
      </c>
      <c r="H416" s="30">
        <v>17.100000000000001</v>
      </c>
      <c r="I416" s="30">
        <v>19.100000000000001</v>
      </c>
      <c r="J416" s="30">
        <v>18.399999999999999</v>
      </c>
      <c r="K416" s="30">
        <v>18.100000000000001</v>
      </c>
      <c r="L416" s="30">
        <v>17.100000000000001</v>
      </c>
      <c r="N416" s="4"/>
    </row>
    <row r="417" spans="1:14">
      <c r="A417" s="1" t="s">
        <v>88</v>
      </c>
      <c r="B417" s="1">
        <v>20190628</v>
      </c>
      <c r="C417" s="1" t="s">
        <v>90</v>
      </c>
      <c r="D417" s="1">
        <v>1</v>
      </c>
      <c r="E417" s="30">
        <v>68.2</v>
      </c>
      <c r="F417" s="30">
        <v>50.7</v>
      </c>
      <c r="G417" s="30">
        <v>33.700000000000003</v>
      </c>
      <c r="H417" s="30">
        <v>17.100000000000001</v>
      </c>
      <c r="I417" s="30">
        <v>17.5</v>
      </c>
      <c r="J417" s="30">
        <v>17</v>
      </c>
      <c r="K417" s="30">
        <v>16.600000000000001</v>
      </c>
      <c r="L417" s="30">
        <v>17.100000000000001</v>
      </c>
      <c r="N417" s="4"/>
    </row>
    <row r="418" spans="1:14">
      <c r="A418" s="1" t="s">
        <v>88</v>
      </c>
      <c r="B418" s="1">
        <v>20190707</v>
      </c>
      <c r="C418" s="1" t="s">
        <v>99</v>
      </c>
      <c r="D418" s="1">
        <v>10</v>
      </c>
      <c r="E418" s="30">
        <v>68.8</v>
      </c>
      <c r="F418" s="30">
        <v>51</v>
      </c>
      <c r="G418" s="30">
        <v>34.1</v>
      </c>
      <c r="H418" s="30">
        <v>17.100000000000001</v>
      </c>
      <c r="I418" s="30">
        <v>17.8</v>
      </c>
      <c r="J418" s="30">
        <v>16.899999999999999</v>
      </c>
      <c r="K418" s="30">
        <v>17</v>
      </c>
      <c r="L418" s="30">
        <v>17.100000000000001</v>
      </c>
      <c r="N418" s="4"/>
    </row>
    <row r="419" spans="1:14">
      <c r="A419" s="1" t="s">
        <v>88</v>
      </c>
      <c r="B419" s="1">
        <v>20190125</v>
      </c>
      <c r="C419" s="1" t="s">
        <v>99</v>
      </c>
      <c r="D419" s="1">
        <v>10</v>
      </c>
      <c r="E419" s="30">
        <v>68.2</v>
      </c>
      <c r="F419" s="30">
        <v>50.6</v>
      </c>
      <c r="G419" s="30">
        <v>34.1</v>
      </c>
      <c r="H419" s="30">
        <v>17.2</v>
      </c>
      <c r="I419" s="30">
        <v>17.600000000000001</v>
      </c>
      <c r="J419" s="30">
        <v>16.5</v>
      </c>
      <c r="K419" s="30">
        <v>16.899999999999999</v>
      </c>
      <c r="L419" s="30">
        <v>17.2</v>
      </c>
      <c r="N419" s="4"/>
    </row>
    <row r="420" spans="1:14">
      <c r="A420" s="1" t="s">
        <v>88</v>
      </c>
      <c r="B420" s="1">
        <v>20190219</v>
      </c>
      <c r="C420" s="1" t="s">
        <v>96</v>
      </c>
      <c r="D420" s="1">
        <v>7</v>
      </c>
      <c r="E420" s="30">
        <v>74.7</v>
      </c>
      <c r="F420" s="30">
        <v>54.8</v>
      </c>
      <c r="G420" s="30">
        <v>35.5</v>
      </c>
      <c r="H420" s="30">
        <v>17.2</v>
      </c>
      <c r="I420" s="30">
        <v>19.899999999999999</v>
      </c>
      <c r="J420" s="30">
        <v>19.3</v>
      </c>
      <c r="K420" s="30">
        <v>18.3</v>
      </c>
      <c r="L420" s="30">
        <v>17.2</v>
      </c>
      <c r="N420" s="4"/>
    </row>
    <row r="421" spans="1:14">
      <c r="A421" s="1" t="s">
        <v>88</v>
      </c>
      <c r="B421" s="1">
        <v>20190420</v>
      </c>
      <c r="C421" s="1" t="s">
        <v>90</v>
      </c>
      <c r="D421" s="1">
        <v>1</v>
      </c>
      <c r="E421" s="30">
        <v>70.400000000000006</v>
      </c>
      <c r="F421" s="30">
        <v>52.5</v>
      </c>
      <c r="G421" s="30">
        <v>34.200000000000003</v>
      </c>
      <c r="H421" s="30">
        <v>17.2</v>
      </c>
      <c r="I421" s="30">
        <v>17.899999999999999</v>
      </c>
      <c r="J421" s="30">
        <v>18.3</v>
      </c>
      <c r="K421" s="30">
        <v>17</v>
      </c>
      <c r="L421" s="30">
        <v>17.2</v>
      </c>
      <c r="N421" s="4"/>
    </row>
    <row r="422" spans="1:14">
      <c r="A422" s="1" t="s">
        <v>88</v>
      </c>
      <c r="B422" s="1">
        <v>20190426</v>
      </c>
      <c r="C422" s="1" t="s">
        <v>90</v>
      </c>
      <c r="D422" s="1">
        <v>1</v>
      </c>
      <c r="E422" s="30">
        <v>69</v>
      </c>
      <c r="F422" s="30">
        <v>51.4</v>
      </c>
      <c r="G422" s="30">
        <v>33.9</v>
      </c>
      <c r="H422" s="30">
        <v>17.2</v>
      </c>
      <c r="I422" s="30">
        <v>17.600000000000001</v>
      </c>
      <c r="J422" s="30">
        <v>17.5</v>
      </c>
      <c r="K422" s="30">
        <v>16.7</v>
      </c>
      <c r="L422" s="30">
        <v>17.2</v>
      </c>
      <c r="N422" s="4"/>
    </row>
    <row r="423" spans="1:14">
      <c r="A423" s="1" t="s">
        <v>88</v>
      </c>
      <c r="B423" s="1">
        <v>20190611</v>
      </c>
      <c r="C423" s="1" t="s">
        <v>98</v>
      </c>
      <c r="D423" s="1">
        <v>9</v>
      </c>
      <c r="E423" s="30">
        <v>66.599999999999994</v>
      </c>
      <c r="F423" s="30">
        <v>48.9</v>
      </c>
      <c r="G423" s="30">
        <v>32.9</v>
      </c>
      <c r="H423" s="30">
        <v>17.2</v>
      </c>
      <c r="I423" s="30">
        <v>17.7</v>
      </c>
      <c r="J423" s="30">
        <v>16</v>
      </c>
      <c r="K423" s="30">
        <v>15.7</v>
      </c>
      <c r="L423" s="30">
        <v>17.2</v>
      </c>
      <c r="N423" s="4"/>
    </row>
    <row r="424" spans="1:14">
      <c r="A424" s="1" t="s">
        <v>88</v>
      </c>
      <c r="B424" s="1">
        <v>20190622</v>
      </c>
      <c r="C424" s="1" t="s">
        <v>93</v>
      </c>
      <c r="D424" s="1">
        <v>4</v>
      </c>
      <c r="E424" s="30">
        <v>70.3</v>
      </c>
      <c r="F424" s="30">
        <v>52.4</v>
      </c>
      <c r="G424" s="30">
        <v>34.700000000000003</v>
      </c>
      <c r="H424" s="30">
        <v>17.2</v>
      </c>
      <c r="I424" s="30">
        <v>17.899999999999999</v>
      </c>
      <c r="J424" s="30">
        <v>17.7</v>
      </c>
      <c r="K424" s="30">
        <v>17.5</v>
      </c>
      <c r="L424" s="30">
        <v>17.2</v>
      </c>
      <c r="N424" s="4"/>
    </row>
    <row r="425" spans="1:14">
      <c r="A425" s="1" t="s">
        <v>88</v>
      </c>
      <c r="B425" s="1">
        <v>20190627</v>
      </c>
      <c r="C425" s="1" t="s">
        <v>99</v>
      </c>
      <c r="D425" s="1">
        <v>10</v>
      </c>
      <c r="E425" s="30">
        <v>70.400000000000006</v>
      </c>
      <c r="F425" s="30">
        <v>52.4</v>
      </c>
      <c r="G425" s="30">
        <v>34.9</v>
      </c>
      <c r="H425" s="30">
        <v>17.2</v>
      </c>
      <c r="I425" s="30">
        <v>18</v>
      </c>
      <c r="J425" s="30">
        <v>17.5</v>
      </c>
      <c r="K425" s="30">
        <v>17.7</v>
      </c>
      <c r="L425" s="30">
        <v>17.2</v>
      </c>
      <c r="N425" s="4"/>
    </row>
    <row r="426" spans="1:14">
      <c r="A426" s="1" t="s">
        <v>88</v>
      </c>
      <c r="B426" s="1">
        <v>20190429</v>
      </c>
      <c r="C426" s="1" t="s">
        <v>90</v>
      </c>
      <c r="D426" s="1">
        <v>1</v>
      </c>
      <c r="E426" s="30">
        <v>69.599999999999994</v>
      </c>
      <c r="F426" s="30">
        <v>51.6</v>
      </c>
      <c r="G426" s="30">
        <v>34.1</v>
      </c>
      <c r="H426" s="30">
        <v>17.3</v>
      </c>
      <c r="I426" s="30">
        <v>18</v>
      </c>
      <c r="J426" s="30">
        <v>17.5</v>
      </c>
      <c r="K426" s="30">
        <v>16.8</v>
      </c>
      <c r="L426" s="30">
        <v>17.3</v>
      </c>
      <c r="N426" s="4"/>
    </row>
    <row r="427" spans="1:14">
      <c r="A427" s="1" t="s">
        <v>88</v>
      </c>
      <c r="B427" s="1">
        <v>20190429</v>
      </c>
      <c r="C427" s="1" t="s">
        <v>90</v>
      </c>
      <c r="D427" s="1">
        <v>1</v>
      </c>
      <c r="E427" s="30">
        <v>69.599999999999994</v>
      </c>
      <c r="F427" s="30">
        <v>51.6</v>
      </c>
      <c r="G427" s="30">
        <v>34.1</v>
      </c>
      <c r="H427" s="30">
        <v>17.3</v>
      </c>
      <c r="I427" s="30">
        <v>18</v>
      </c>
      <c r="J427" s="30">
        <v>17.5</v>
      </c>
      <c r="K427" s="30">
        <v>16.8</v>
      </c>
      <c r="L427" s="30">
        <v>17.3</v>
      </c>
      <c r="N427" s="4"/>
    </row>
    <row r="428" spans="1:14">
      <c r="A428" s="1" t="s">
        <v>88</v>
      </c>
      <c r="B428" s="1">
        <v>20190507</v>
      </c>
      <c r="C428" s="1" t="s">
        <v>97</v>
      </c>
      <c r="D428" s="1">
        <v>8</v>
      </c>
      <c r="E428" s="30">
        <v>77.099999999999994</v>
      </c>
      <c r="F428" s="30">
        <v>55.9</v>
      </c>
      <c r="G428" s="30">
        <v>36.200000000000003</v>
      </c>
      <c r="H428" s="30">
        <v>17.3</v>
      </c>
      <c r="I428" s="30">
        <v>21.2</v>
      </c>
      <c r="J428" s="30">
        <v>19.7</v>
      </c>
      <c r="K428" s="30">
        <v>18.899999999999999</v>
      </c>
      <c r="L428" s="30">
        <v>17.3</v>
      </c>
      <c r="N428" s="4"/>
    </row>
    <row r="429" spans="1:14">
      <c r="A429" s="1" t="s">
        <v>88</v>
      </c>
      <c r="B429" s="1">
        <v>20190521</v>
      </c>
      <c r="C429" s="1" t="s">
        <v>90</v>
      </c>
      <c r="D429" s="1">
        <v>1</v>
      </c>
      <c r="E429" s="30">
        <v>71.3</v>
      </c>
      <c r="F429" s="30">
        <v>52.8</v>
      </c>
      <c r="G429" s="30">
        <v>34.9</v>
      </c>
      <c r="H429" s="30">
        <v>17.3</v>
      </c>
      <c r="I429" s="30">
        <v>18.5</v>
      </c>
      <c r="J429" s="30">
        <v>17.899999999999999</v>
      </c>
      <c r="K429" s="30">
        <v>17.600000000000001</v>
      </c>
      <c r="L429" s="30">
        <v>17.3</v>
      </c>
      <c r="N429" s="4"/>
    </row>
    <row r="430" spans="1:14">
      <c r="A430" s="1" t="s">
        <v>88</v>
      </c>
      <c r="B430" s="1">
        <v>20190706</v>
      </c>
      <c r="C430" s="1" t="s">
        <v>90</v>
      </c>
      <c r="D430" s="1">
        <v>1</v>
      </c>
      <c r="E430" s="30">
        <v>70.5</v>
      </c>
      <c r="F430" s="30">
        <v>52</v>
      </c>
      <c r="G430" s="30">
        <v>34.4</v>
      </c>
      <c r="H430" s="30">
        <v>17.3</v>
      </c>
      <c r="I430" s="30">
        <v>18.5</v>
      </c>
      <c r="J430" s="30">
        <v>17.600000000000001</v>
      </c>
      <c r="K430" s="30">
        <v>17.100000000000001</v>
      </c>
      <c r="L430" s="30">
        <v>17.3</v>
      </c>
      <c r="N430" s="4"/>
    </row>
    <row r="431" spans="1:14">
      <c r="A431" s="1" t="s">
        <v>88</v>
      </c>
      <c r="B431" s="1">
        <v>20190331</v>
      </c>
      <c r="C431" s="1" t="s">
        <v>97</v>
      </c>
      <c r="D431" s="1">
        <v>8</v>
      </c>
      <c r="E431" s="30">
        <v>75.099999999999994</v>
      </c>
      <c r="F431" s="30">
        <v>54.5</v>
      </c>
      <c r="G431" s="30">
        <v>35.5</v>
      </c>
      <c r="H431" s="30">
        <v>17.399999999999999</v>
      </c>
      <c r="I431" s="30">
        <v>20.6</v>
      </c>
      <c r="J431" s="30">
        <v>19</v>
      </c>
      <c r="K431" s="30">
        <v>18.100000000000001</v>
      </c>
      <c r="L431" s="30">
        <v>17.399999999999999</v>
      </c>
      <c r="N431" s="4"/>
    </row>
    <row r="432" spans="1:14">
      <c r="A432" s="1" t="s">
        <v>88</v>
      </c>
      <c r="B432" s="1">
        <v>20190614</v>
      </c>
      <c r="C432" s="1" t="s">
        <v>90</v>
      </c>
      <c r="D432" s="1">
        <v>1</v>
      </c>
      <c r="E432" s="30">
        <v>69</v>
      </c>
      <c r="F432" s="30">
        <v>51.9</v>
      </c>
      <c r="G432" s="30">
        <v>34.6</v>
      </c>
      <c r="H432" s="30">
        <v>17.399999999999999</v>
      </c>
      <c r="I432" s="30">
        <v>17.100000000000001</v>
      </c>
      <c r="J432" s="30">
        <v>17.3</v>
      </c>
      <c r="K432" s="30">
        <v>17.2</v>
      </c>
      <c r="L432" s="30">
        <v>17.399999999999999</v>
      </c>
      <c r="N432" s="4"/>
    </row>
    <row r="433" spans="1:14">
      <c r="A433" s="1" t="s">
        <v>88</v>
      </c>
      <c r="B433" s="1">
        <v>20190615</v>
      </c>
      <c r="C433" s="1" t="s">
        <v>90</v>
      </c>
      <c r="D433" s="1">
        <v>1</v>
      </c>
      <c r="E433" s="30">
        <v>69.400000000000006</v>
      </c>
      <c r="F433" s="30">
        <v>51.3</v>
      </c>
      <c r="G433" s="30">
        <v>33.9</v>
      </c>
      <c r="H433" s="30">
        <v>17.399999999999999</v>
      </c>
      <c r="I433" s="30">
        <v>18.100000000000001</v>
      </c>
      <c r="J433" s="30">
        <v>17.399999999999999</v>
      </c>
      <c r="K433" s="30">
        <v>16.5</v>
      </c>
      <c r="L433" s="30">
        <v>17.399999999999999</v>
      </c>
      <c r="N433" s="4"/>
    </row>
    <row r="434" spans="1:14">
      <c r="A434" s="1" t="s">
        <v>88</v>
      </c>
      <c r="B434" s="1">
        <v>20190616</v>
      </c>
      <c r="C434" s="1" t="s">
        <v>90</v>
      </c>
      <c r="D434" s="1">
        <v>1</v>
      </c>
      <c r="E434" s="30">
        <v>71.099999999999994</v>
      </c>
      <c r="F434" s="30">
        <v>53.8</v>
      </c>
      <c r="G434" s="30">
        <v>35.4</v>
      </c>
      <c r="H434" s="30">
        <v>17.399999999999999</v>
      </c>
      <c r="I434" s="30">
        <v>17.3</v>
      </c>
      <c r="J434" s="30">
        <v>18.399999999999999</v>
      </c>
      <c r="K434" s="30">
        <v>18</v>
      </c>
      <c r="L434" s="30">
        <v>17.399999999999999</v>
      </c>
      <c r="N434" s="4"/>
    </row>
    <row r="435" spans="1:14">
      <c r="A435" s="1" t="s">
        <v>88</v>
      </c>
      <c r="B435" s="1">
        <v>20190630</v>
      </c>
      <c r="C435" s="1" t="s">
        <v>95</v>
      </c>
      <c r="D435" s="1">
        <v>6</v>
      </c>
      <c r="E435" s="30">
        <v>72.5</v>
      </c>
      <c r="F435" s="30">
        <v>52.7</v>
      </c>
      <c r="G435" s="30">
        <v>34.9</v>
      </c>
      <c r="H435" s="30">
        <v>17.399999999999999</v>
      </c>
      <c r="I435" s="30">
        <v>19.8</v>
      </c>
      <c r="J435" s="30">
        <v>17.8</v>
      </c>
      <c r="K435" s="30">
        <v>17.5</v>
      </c>
      <c r="L435" s="30">
        <v>17.399999999999999</v>
      </c>
      <c r="N435" s="4"/>
    </row>
    <row r="436" spans="1:14">
      <c r="A436" s="1" t="s">
        <v>88</v>
      </c>
      <c r="B436" s="1">
        <v>20190122</v>
      </c>
      <c r="C436" s="1" t="s">
        <v>99</v>
      </c>
      <c r="D436" s="1">
        <v>10</v>
      </c>
      <c r="E436" s="30">
        <v>70.900000000000006</v>
      </c>
      <c r="F436" s="30">
        <v>53</v>
      </c>
      <c r="G436" s="30">
        <v>35.1</v>
      </c>
      <c r="H436" s="30">
        <v>17.600000000000001</v>
      </c>
      <c r="I436" s="30">
        <v>17.899999999999999</v>
      </c>
      <c r="J436" s="30">
        <v>17.899999999999999</v>
      </c>
      <c r="K436" s="30">
        <v>17.5</v>
      </c>
      <c r="L436" s="30">
        <v>17.600000000000001</v>
      </c>
      <c r="N436" s="4"/>
    </row>
    <row r="437" spans="1:14">
      <c r="A437" s="1" t="s">
        <v>88</v>
      </c>
      <c r="B437" s="1">
        <v>20190131</v>
      </c>
      <c r="C437" s="1" t="s">
        <v>96</v>
      </c>
      <c r="D437" s="1">
        <v>7</v>
      </c>
      <c r="E437" s="30">
        <v>77.599999999999994</v>
      </c>
      <c r="F437" s="30">
        <v>56.7</v>
      </c>
      <c r="G437" s="30">
        <v>36</v>
      </c>
      <c r="H437" s="30">
        <v>17.600000000000001</v>
      </c>
      <c r="I437" s="30">
        <v>20.9</v>
      </c>
      <c r="J437" s="30">
        <v>20.7</v>
      </c>
      <c r="K437" s="30">
        <v>18.399999999999999</v>
      </c>
      <c r="L437" s="30">
        <v>17.600000000000001</v>
      </c>
      <c r="N437" s="4"/>
    </row>
    <row r="438" spans="1:14">
      <c r="A438" s="1" t="s">
        <v>88</v>
      </c>
      <c r="B438" s="1">
        <v>20190510</v>
      </c>
      <c r="C438" s="1" t="s">
        <v>90</v>
      </c>
      <c r="D438" s="1">
        <v>1</v>
      </c>
      <c r="E438" s="30">
        <v>68.5</v>
      </c>
      <c r="F438" s="30">
        <v>51.7</v>
      </c>
      <c r="G438" s="30">
        <v>35</v>
      </c>
      <c r="H438" s="30">
        <v>17.600000000000001</v>
      </c>
      <c r="I438" s="30">
        <v>16.8</v>
      </c>
      <c r="J438" s="30">
        <v>16.7</v>
      </c>
      <c r="K438" s="30">
        <v>17.399999999999999</v>
      </c>
      <c r="L438" s="30">
        <v>17.600000000000001</v>
      </c>
      <c r="N438" s="4"/>
    </row>
    <row r="439" spans="1:14">
      <c r="A439" s="1" t="s">
        <v>88</v>
      </c>
      <c r="B439" s="1">
        <v>20190517</v>
      </c>
      <c r="C439" s="1" t="s">
        <v>90</v>
      </c>
      <c r="D439" s="1">
        <v>1</v>
      </c>
      <c r="E439" s="30">
        <v>71.8</v>
      </c>
      <c r="F439" s="30">
        <v>53.6</v>
      </c>
      <c r="G439" s="30">
        <v>35.299999999999997</v>
      </c>
      <c r="H439" s="30">
        <v>17.600000000000001</v>
      </c>
      <c r="I439" s="30">
        <v>18.2</v>
      </c>
      <c r="J439" s="30">
        <v>18.3</v>
      </c>
      <c r="K439" s="30">
        <v>17.7</v>
      </c>
      <c r="L439" s="30">
        <v>17.600000000000001</v>
      </c>
      <c r="N439" s="4"/>
    </row>
    <row r="440" spans="1:14">
      <c r="A440" s="1" t="s">
        <v>88</v>
      </c>
      <c r="B440" s="1">
        <v>20190622</v>
      </c>
      <c r="C440" s="1" t="s">
        <v>90</v>
      </c>
      <c r="D440" s="1">
        <v>1</v>
      </c>
      <c r="E440" s="30">
        <v>70.8</v>
      </c>
      <c r="F440" s="30">
        <v>53.5</v>
      </c>
      <c r="G440" s="30">
        <v>35.200000000000003</v>
      </c>
      <c r="H440" s="30">
        <v>17.600000000000001</v>
      </c>
      <c r="I440" s="30">
        <v>17.3</v>
      </c>
      <c r="J440" s="30">
        <v>18.3</v>
      </c>
      <c r="K440" s="30">
        <v>17.600000000000001</v>
      </c>
      <c r="L440" s="30">
        <v>17.600000000000001</v>
      </c>
      <c r="N440" s="4"/>
    </row>
    <row r="441" spans="1:14">
      <c r="A441" s="1" t="s">
        <v>88</v>
      </c>
      <c r="B441" s="1">
        <v>20190307</v>
      </c>
      <c r="C441" s="1" t="s">
        <v>96</v>
      </c>
      <c r="D441" s="1">
        <v>7</v>
      </c>
      <c r="E441" s="30">
        <v>78.3</v>
      </c>
      <c r="F441" s="30">
        <v>56.3</v>
      </c>
      <c r="G441" s="30">
        <v>36.1</v>
      </c>
      <c r="H441" s="30">
        <v>17.899999999999999</v>
      </c>
      <c r="I441" s="30">
        <v>22</v>
      </c>
      <c r="J441" s="30">
        <v>20.2</v>
      </c>
      <c r="K441" s="30">
        <v>18.2</v>
      </c>
      <c r="L441" s="30">
        <v>17.899999999999999</v>
      </c>
      <c r="N441" s="4"/>
    </row>
    <row r="442" spans="1:14">
      <c r="A442" s="1" t="s">
        <v>88</v>
      </c>
      <c r="B442" s="1">
        <v>20190518</v>
      </c>
      <c r="C442" s="1" t="s">
        <v>90</v>
      </c>
      <c r="D442" s="1">
        <v>1</v>
      </c>
      <c r="E442" s="30">
        <v>75.400000000000006</v>
      </c>
      <c r="F442" s="30">
        <v>55.3</v>
      </c>
      <c r="G442" s="30">
        <v>36.200000000000003</v>
      </c>
      <c r="H442" s="30">
        <v>17.899999999999999</v>
      </c>
      <c r="I442" s="30">
        <v>20.100000000000001</v>
      </c>
      <c r="J442" s="30">
        <v>19.100000000000001</v>
      </c>
      <c r="K442" s="30">
        <v>18.3</v>
      </c>
      <c r="L442" s="30">
        <v>17.899999999999999</v>
      </c>
      <c r="N442" s="4"/>
    </row>
    <row r="443" spans="1:14">
      <c r="A443" s="1" t="s">
        <v>88</v>
      </c>
      <c r="B443" s="1">
        <v>20190704</v>
      </c>
      <c r="C443" s="1" t="s">
        <v>90</v>
      </c>
      <c r="D443" s="1">
        <v>1</v>
      </c>
      <c r="E443" s="30">
        <v>71</v>
      </c>
      <c r="F443" s="30">
        <v>53.3</v>
      </c>
      <c r="G443" s="30">
        <v>36.4</v>
      </c>
      <c r="H443" s="30">
        <v>18.2</v>
      </c>
      <c r="I443" s="30">
        <v>17.7</v>
      </c>
      <c r="J443" s="30">
        <v>16.899999999999999</v>
      </c>
      <c r="K443" s="30">
        <v>18.2</v>
      </c>
      <c r="L443" s="30">
        <v>18.2</v>
      </c>
      <c r="N443" s="4"/>
    </row>
    <row r="444" spans="1:14">
      <c r="A444" s="1" t="s">
        <v>88</v>
      </c>
      <c r="B444" s="1">
        <v>20190713</v>
      </c>
      <c r="C444" s="1" t="s">
        <v>99</v>
      </c>
      <c r="D444" s="1">
        <v>10</v>
      </c>
      <c r="E444" s="30">
        <v>72</v>
      </c>
      <c r="F444" s="30">
        <v>54.1</v>
      </c>
      <c r="G444" s="30">
        <v>36.4</v>
      </c>
      <c r="H444" s="30">
        <v>18.2</v>
      </c>
      <c r="I444" s="30">
        <v>17.899999999999999</v>
      </c>
      <c r="J444" s="30">
        <v>17.7</v>
      </c>
      <c r="K444" s="30">
        <v>18.2</v>
      </c>
      <c r="L444" s="30">
        <v>18.2</v>
      </c>
      <c r="N444" s="4"/>
    </row>
    <row r="445" spans="1:14">
      <c r="A445" s="1" t="s">
        <v>88</v>
      </c>
      <c r="B445" s="1">
        <v>20190421</v>
      </c>
      <c r="C445" s="1" t="s">
        <v>97</v>
      </c>
      <c r="D445" s="1">
        <v>8</v>
      </c>
      <c r="E445" s="30">
        <v>84.6</v>
      </c>
      <c r="F445" s="30">
        <v>59.9</v>
      </c>
      <c r="G445" s="30">
        <v>38.1</v>
      </c>
      <c r="H445" s="30">
        <v>18.3</v>
      </c>
      <c r="I445" s="30">
        <v>24.7</v>
      </c>
      <c r="J445" s="30">
        <v>21.8</v>
      </c>
      <c r="K445" s="30">
        <v>19.8</v>
      </c>
      <c r="L445" s="30">
        <v>18.3</v>
      </c>
      <c r="N445" s="4"/>
    </row>
    <row r="446" spans="1:14">
      <c r="A446" s="1" t="s">
        <v>88</v>
      </c>
      <c r="B446" s="1">
        <v>20190214</v>
      </c>
      <c r="C446" s="1" t="s">
        <v>96</v>
      </c>
      <c r="D446" s="1">
        <v>7</v>
      </c>
      <c r="E446" s="30">
        <v>77.599999999999994</v>
      </c>
      <c r="F446" s="30">
        <v>57</v>
      </c>
      <c r="G446" s="30">
        <v>37.299999999999997</v>
      </c>
      <c r="H446" s="30">
        <v>18.600000000000001</v>
      </c>
      <c r="I446" s="30">
        <v>20.6</v>
      </c>
      <c r="J446" s="30">
        <v>19.7</v>
      </c>
      <c r="K446" s="30">
        <v>18.7</v>
      </c>
      <c r="L446" s="30">
        <v>18.600000000000001</v>
      </c>
      <c r="N446" s="4"/>
    </row>
    <row r="447" spans="1:14">
      <c r="A447" s="1" t="s">
        <v>88</v>
      </c>
      <c r="B447" s="1">
        <v>20190531</v>
      </c>
      <c r="C447" s="1" t="s">
        <v>99</v>
      </c>
      <c r="D447" s="1">
        <v>10</v>
      </c>
      <c r="E447" s="30">
        <v>75.8</v>
      </c>
      <c r="F447" s="30">
        <v>57.4</v>
      </c>
      <c r="G447" s="30">
        <v>38.4</v>
      </c>
      <c r="H447" s="30">
        <v>18.7</v>
      </c>
      <c r="I447" s="30">
        <v>18.399999999999999</v>
      </c>
      <c r="J447" s="30">
        <v>19</v>
      </c>
      <c r="K447" s="30">
        <v>19.7</v>
      </c>
      <c r="L447" s="30">
        <v>18.7</v>
      </c>
      <c r="N447" s="4"/>
    </row>
    <row r="448" spans="1:14">
      <c r="A448" s="1" t="s">
        <v>88</v>
      </c>
      <c r="B448" s="1">
        <v>20190516</v>
      </c>
      <c r="C448" s="1" t="s">
        <v>90</v>
      </c>
      <c r="D448" s="1">
        <v>1</v>
      </c>
      <c r="E448" s="30">
        <v>74</v>
      </c>
      <c r="F448" s="30">
        <v>55</v>
      </c>
      <c r="G448" s="30">
        <v>36.5</v>
      </c>
      <c r="H448" s="30">
        <v>18.8</v>
      </c>
      <c r="I448" s="30">
        <v>19</v>
      </c>
      <c r="J448" s="30">
        <v>18.5</v>
      </c>
      <c r="K448" s="30">
        <v>17.7</v>
      </c>
      <c r="L448" s="30">
        <v>18.8</v>
      </c>
      <c r="N448" s="4"/>
    </row>
    <row r="449" spans="1:14">
      <c r="A449" s="1" t="s">
        <v>88</v>
      </c>
      <c r="B449" s="1">
        <v>20190201</v>
      </c>
      <c r="C449" s="1" t="s">
        <v>96</v>
      </c>
      <c r="D449" s="1">
        <v>7</v>
      </c>
      <c r="E449" s="30">
        <v>82</v>
      </c>
      <c r="F449" s="30">
        <v>59.8</v>
      </c>
      <c r="G449" s="30">
        <v>39.1</v>
      </c>
      <c r="H449" s="30">
        <v>18.899999999999999</v>
      </c>
      <c r="I449" s="30">
        <v>22.2</v>
      </c>
      <c r="J449" s="30">
        <v>20.7</v>
      </c>
      <c r="K449" s="30">
        <v>20.2</v>
      </c>
      <c r="L449" s="30">
        <v>18.899999999999999</v>
      </c>
      <c r="N449" s="4"/>
    </row>
    <row r="450" spans="1:14">
      <c r="A450" s="1" t="s">
        <v>88</v>
      </c>
      <c r="B450" s="1">
        <v>20190310</v>
      </c>
      <c r="C450" s="1" t="s">
        <v>96</v>
      </c>
      <c r="D450" s="1">
        <v>7</v>
      </c>
      <c r="E450" s="30">
        <v>80.5</v>
      </c>
      <c r="F450" s="30">
        <v>58.1</v>
      </c>
      <c r="G450" s="30">
        <v>38.299999999999997</v>
      </c>
      <c r="H450" s="30">
        <v>19</v>
      </c>
      <c r="I450" s="30">
        <v>22.4</v>
      </c>
      <c r="J450" s="30">
        <v>19.8</v>
      </c>
      <c r="K450" s="30">
        <v>19.3</v>
      </c>
      <c r="L450" s="30">
        <v>19</v>
      </c>
      <c r="N450" s="4"/>
    </row>
    <row r="451" spans="1:14">
      <c r="A451" s="1" t="s">
        <v>88</v>
      </c>
      <c r="B451" s="1">
        <v>20190202</v>
      </c>
      <c r="C451" s="1" t="s">
        <v>96</v>
      </c>
      <c r="D451" s="1">
        <v>7</v>
      </c>
      <c r="E451" s="30">
        <v>78.900000000000006</v>
      </c>
      <c r="F451" s="30">
        <v>57.2</v>
      </c>
      <c r="G451" s="30">
        <v>37.799999999999997</v>
      </c>
      <c r="H451" s="30">
        <v>19.100000000000001</v>
      </c>
      <c r="I451" s="30">
        <v>21.7</v>
      </c>
      <c r="J451" s="30">
        <v>19.399999999999999</v>
      </c>
      <c r="K451" s="30">
        <v>18.7</v>
      </c>
      <c r="L451" s="30">
        <v>19.100000000000001</v>
      </c>
      <c r="N451" s="4"/>
    </row>
    <row r="452" spans="1:14">
      <c r="A452" s="1" t="s">
        <v>88</v>
      </c>
      <c r="B452" s="1">
        <v>20190203</v>
      </c>
      <c r="C452" s="1" t="s">
        <v>96</v>
      </c>
      <c r="D452" s="1">
        <v>7</v>
      </c>
      <c r="E452" s="30">
        <v>85.9</v>
      </c>
      <c r="F452" s="30">
        <v>62</v>
      </c>
      <c r="G452" s="30">
        <v>39.700000000000003</v>
      </c>
      <c r="H452" s="30">
        <v>19.7</v>
      </c>
      <c r="I452" s="30">
        <v>23.9</v>
      </c>
      <c r="J452" s="30">
        <v>22.3</v>
      </c>
      <c r="K452" s="30">
        <v>20</v>
      </c>
      <c r="L452" s="30">
        <v>19.7</v>
      </c>
      <c r="N452" s="4"/>
    </row>
    <row r="453" spans="1:14">
      <c r="A453" s="1" t="s">
        <v>88</v>
      </c>
      <c r="B453" s="1">
        <v>20190612</v>
      </c>
      <c r="C453" s="1" t="s">
        <v>99</v>
      </c>
      <c r="D453" s="1">
        <v>10</v>
      </c>
      <c r="E453" s="30">
        <v>80.5</v>
      </c>
      <c r="F453" s="30">
        <v>59.3</v>
      </c>
      <c r="G453" s="30">
        <v>39.5</v>
      </c>
      <c r="H453" s="30">
        <v>19.7</v>
      </c>
      <c r="I453" s="30">
        <v>21.2</v>
      </c>
      <c r="J453" s="30">
        <v>19.8</v>
      </c>
      <c r="K453" s="30">
        <v>19.8</v>
      </c>
      <c r="L453" s="30">
        <v>19.7</v>
      </c>
      <c r="N453" s="4"/>
    </row>
    <row r="454" spans="1:14">
      <c r="A454" s="1" t="s">
        <v>88</v>
      </c>
      <c r="B454" s="1">
        <v>20190504</v>
      </c>
      <c r="C454" s="1" t="s">
        <v>97</v>
      </c>
      <c r="D454" s="1">
        <v>8</v>
      </c>
      <c r="E454" s="30">
        <v>87.7</v>
      </c>
      <c r="F454" s="30">
        <v>64.3</v>
      </c>
      <c r="G454" s="30">
        <v>43</v>
      </c>
      <c r="H454" s="30">
        <v>21</v>
      </c>
      <c r="I454" s="30">
        <v>23.4</v>
      </c>
      <c r="J454" s="30">
        <v>21.3</v>
      </c>
      <c r="K454" s="30">
        <v>22</v>
      </c>
      <c r="L454" s="30">
        <v>21</v>
      </c>
      <c r="N454" s="4"/>
    </row>
    <row r="455" spans="1:14">
      <c r="N455" s="4"/>
    </row>
    <row r="456" spans="1:14">
      <c r="N456" s="4"/>
    </row>
    <row r="457" spans="1:14">
      <c r="N457" s="4"/>
    </row>
    <row r="458" spans="1:14">
      <c r="N458" s="4"/>
    </row>
    <row r="459" spans="1:14">
      <c r="N459" s="4"/>
    </row>
    <row r="460" spans="1:14">
      <c r="N460" s="4"/>
    </row>
    <row r="461" spans="1:14">
      <c r="N461" s="4"/>
    </row>
    <row r="462" spans="1:14">
      <c r="N462" s="4"/>
    </row>
    <row r="463" spans="1:14">
      <c r="N463" s="4"/>
    </row>
    <row r="464" spans="1:14">
      <c r="N464" s="4"/>
    </row>
    <row r="465" spans="14:14">
      <c r="N465" s="4"/>
    </row>
    <row r="466" spans="14:14">
      <c r="N466" s="4"/>
    </row>
    <row r="467" spans="14:14">
      <c r="N467" s="4"/>
    </row>
    <row r="468" spans="14:14">
      <c r="N468" s="4"/>
    </row>
    <row r="469" spans="14:14">
      <c r="N469" s="4"/>
    </row>
    <row r="470" spans="14:14">
      <c r="N470" s="4"/>
    </row>
    <row r="471" spans="14:14">
      <c r="N471" s="4"/>
    </row>
    <row r="472" spans="14:14">
      <c r="N472" s="4"/>
    </row>
    <row r="473" spans="14:14">
      <c r="N473" s="4"/>
    </row>
    <row r="474" spans="14:14">
      <c r="N474" s="4"/>
    </row>
    <row r="475" spans="14:14">
      <c r="N475" s="4"/>
    </row>
    <row r="476" spans="14:14">
      <c r="N476" s="4"/>
    </row>
    <row r="477" spans="14:14">
      <c r="N477" s="4"/>
    </row>
    <row r="478" spans="14:14">
      <c r="N478" s="4"/>
    </row>
    <row r="479" spans="14:14">
      <c r="N479" s="4"/>
    </row>
    <row r="480" spans="14:14">
      <c r="N480" s="4"/>
    </row>
    <row r="481" spans="14:14">
      <c r="N481" s="4"/>
    </row>
    <row r="482" spans="14:14">
      <c r="N482" s="4"/>
    </row>
    <row r="483" spans="14:14">
      <c r="N483" s="4"/>
    </row>
    <row r="484" spans="14:14">
      <c r="N484" s="4"/>
    </row>
    <row r="485" spans="14:14">
      <c r="N485" s="4"/>
    </row>
    <row r="486" spans="14:14">
      <c r="N486" s="4"/>
    </row>
    <row r="487" spans="14:14">
      <c r="N487" s="4"/>
    </row>
    <row r="488" spans="14:14">
      <c r="N488" s="4"/>
    </row>
    <row r="489" spans="14:14">
      <c r="N489" s="4"/>
    </row>
    <row r="490" spans="14:14">
      <c r="N490" s="4"/>
    </row>
    <row r="491" spans="14:14">
      <c r="N491" s="4"/>
    </row>
    <row r="492" spans="14:14">
      <c r="N492" s="4"/>
    </row>
    <row r="493" spans="14:14">
      <c r="N493" s="4"/>
    </row>
    <row r="494" spans="14:14">
      <c r="N494" s="4"/>
    </row>
    <row r="495" spans="14:14">
      <c r="N495" s="4"/>
    </row>
    <row r="496" spans="14:14">
      <c r="N496" s="4"/>
    </row>
    <row r="497" spans="14:14">
      <c r="N497" s="4"/>
    </row>
    <row r="498" spans="14:14">
      <c r="N498" s="4"/>
    </row>
    <row r="499" spans="14:14">
      <c r="N499" s="4"/>
    </row>
    <row r="500" spans="14:14">
      <c r="N500" s="4"/>
    </row>
    <row r="501" spans="14:14">
      <c r="N501" s="4"/>
    </row>
    <row r="502" spans="14:14">
      <c r="N502" s="4"/>
    </row>
    <row r="503" spans="14:14">
      <c r="N503" s="4"/>
    </row>
    <row r="504" spans="14:14">
      <c r="N504" s="4"/>
    </row>
    <row r="505" spans="14:14">
      <c r="N505" s="4"/>
    </row>
    <row r="506" spans="14:14">
      <c r="N506" s="4"/>
    </row>
    <row r="507" spans="14:14">
      <c r="N507" s="4"/>
    </row>
    <row r="508" spans="14:14">
      <c r="N508" s="4"/>
    </row>
    <row r="509" spans="14:14">
      <c r="N509" s="4"/>
    </row>
    <row r="510" spans="14:14">
      <c r="N510" s="4"/>
    </row>
    <row r="511" spans="14:14">
      <c r="N511" s="4"/>
    </row>
    <row r="512" spans="14:14">
      <c r="N512" s="4"/>
    </row>
    <row r="513" spans="14:14">
      <c r="N513" s="4"/>
    </row>
    <row r="514" spans="14:14">
      <c r="N514" s="4"/>
    </row>
    <row r="515" spans="14:14">
      <c r="N515" s="4"/>
    </row>
    <row r="516" spans="14:14">
      <c r="N516" s="4"/>
    </row>
    <row r="517" spans="14:14">
      <c r="N517" s="4"/>
    </row>
    <row r="518" spans="14:14">
      <c r="N518" s="4"/>
    </row>
    <row r="519" spans="14:14">
      <c r="N519" s="4"/>
    </row>
    <row r="520" spans="14:14">
      <c r="N520" s="4"/>
    </row>
    <row r="521" spans="14:14">
      <c r="N521" s="4"/>
    </row>
    <row r="522" spans="14:14">
      <c r="N522" s="4"/>
    </row>
    <row r="523" spans="14:14">
      <c r="N523" s="4"/>
    </row>
    <row r="524" spans="14:14">
      <c r="N524" s="4"/>
    </row>
    <row r="525" spans="14:14">
      <c r="N525" s="4"/>
    </row>
    <row r="526" spans="14:14">
      <c r="N526" s="4"/>
    </row>
    <row r="527" spans="14:14">
      <c r="N527" s="4"/>
    </row>
    <row r="528" spans="14:14">
      <c r="N528" s="4"/>
    </row>
    <row r="529" spans="14:14">
      <c r="N529" s="4"/>
    </row>
    <row r="530" spans="14:14">
      <c r="N530" s="4"/>
    </row>
    <row r="531" spans="14:14">
      <c r="N531" s="4"/>
    </row>
    <row r="532" spans="14:14">
      <c r="N532" s="4"/>
    </row>
    <row r="533" spans="14:14">
      <c r="N533" s="4"/>
    </row>
    <row r="534" spans="14:14">
      <c r="N534" s="4"/>
    </row>
    <row r="535" spans="14:14">
      <c r="N535" s="4"/>
    </row>
    <row r="536" spans="14:14">
      <c r="N536" s="4"/>
    </row>
    <row r="537" spans="14:14">
      <c r="N537" s="4"/>
    </row>
    <row r="538" spans="14:14">
      <c r="N538" s="4"/>
    </row>
    <row r="539" spans="14:14">
      <c r="N539" s="4"/>
    </row>
    <row r="540" spans="14:14">
      <c r="N540" s="4"/>
    </row>
    <row r="541" spans="14:14">
      <c r="N541" s="4"/>
    </row>
    <row r="542" spans="14:14">
      <c r="N542" s="4"/>
    </row>
    <row r="543" spans="14:14">
      <c r="N543" s="4"/>
    </row>
    <row r="544" spans="14:14">
      <c r="N544" s="4"/>
    </row>
    <row r="545" spans="14:14">
      <c r="N545" s="4"/>
    </row>
    <row r="546" spans="14:14">
      <c r="N546" s="4"/>
    </row>
    <row r="547" spans="14:14">
      <c r="N547" s="4"/>
    </row>
    <row r="548" spans="14:14">
      <c r="N548" s="4"/>
    </row>
    <row r="549" spans="14:14">
      <c r="N549" s="4"/>
    </row>
    <row r="550" spans="14:14">
      <c r="N550" s="4"/>
    </row>
    <row r="551" spans="14:14">
      <c r="N551" s="4"/>
    </row>
    <row r="552" spans="14:14">
      <c r="N552" s="4"/>
    </row>
    <row r="553" spans="14:14">
      <c r="N553" s="4"/>
    </row>
    <row r="554" spans="14:14">
      <c r="N554" s="4"/>
    </row>
    <row r="555" spans="14:14">
      <c r="N555" s="4"/>
    </row>
    <row r="556" spans="14:14">
      <c r="N556" s="4"/>
    </row>
    <row r="557" spans="14:14">
      <c r="N557" s="4"/>
    </row>
    <row r="558" spans="14:14">
      <c r="N558" s="4"/>
    </row>
    <row r="559" spans="14:14">
      <c r="N559" s="4"/>
    </row>
    <row r="560" spans="14:14">
      <c r="N560" s="4"/>
    </row>
    <row r="561" spans="14:14">
      <c r="N561" s="4"/>
    </row>
    <row r="562" spans="14:14">
      <c r="N562" s="4"/>
    </row>
    <row r="563" spans="14:14">
      <c r="N563" s="4"/>
    </row>
    <row r="564" spans="14:14">
      <c r="N564" s="4"/>
    </row>
    <row r="565" spans="14:14">
      <c r="N565" s="4"/>
    </row>
    <row r="566" spans="14:14">
      <c r="N566" s="4"/>
    </row>
    <row r="567" spans="14:14">
      <c r="N567" s="4"/>
    </row>
    <row r="568" spans="14:14">
      <c r="N568" s="4"/>
    </row>
    <row r="569" spans="14:14">
      <c r="N569" s="4"/>
    </row>
    <row r="570" spans="14:14">
      <c r="N570" s="4"/>
    </row>
    <row r="571" spans="14:14">
      <c r="N571" s="4"/>
    </row>
    <row r="572" spans="14:14">
      <c r="N572" s="4"/>
    </row>
    <row r="573" spans="14:14">
      <c r="N573" s="4"/>
    </row>
    <row r="574" spans="14:14">
      <c r="N574" s="4"/>
    </row>
    <row r="575" spans="14:14">
      <c r="N575" s="4"/>
    </row>
    <row r="576" spans="14:14">
      <c r="N576" s="4"/>
    </row>
    <row r="577" spans="14:14">
      <c r="N577" s="4"/>
    </row>
    <row r="578" spans="14:14">
      <c r="N578" s="4"/>
    </row>
    <row r="579" spans="14:14">
      <c r="N579" s="4"/>
    </row>
    <row r="580" spans="14:14">
      <c r="N580" s="4"/>
    </row>
    <row r="581" spans="14:14">
      <c r="N581" s="4"/>
    </row>
    <row r="582" spans="14:14">
      <c r="N582" s="4"/>
    </row>
    <row r="583" spans="14:14">
      <c r="N583" s="4"/>
    </row>
    <row r="584" spans="14:14">
      <c r="N584" s="4"/>
    </row>
    <row r="585" spans="14:14">
      <c r="N585" s="4"/>
    </row>
    <row r="586" spans="14:14">
      <c r="N586" s="4"/>
    </row>
    <row r="587" spans="14:14">
      <c r="N587" s="4"/>
    </row>
    <row r="588" spans="14:14">
      <c r="N588" s="4"/>
    </row>
    <row r="589" spans="14:14">
      <c r="N589" s="4"/>
    </row>
    <row r="590" spans="14:14">
      <c r="N590" s="4"/>
    </row>
    <row r="591" spans="14:14">
      <c r="N591" s="4"/>
    </row>
    <row r="592" spans="14:14">
      <c r="N592" s="4"/>
    </row>
    <row r="593" spans="14:14">
      <c r="N593" s="4"/>
    </row>
    <row r="594" spans="14:14">
      <c r="N594" s="4"/>
    </row>
    <row r="595" spans="14:14">
      <c r="N595" s="4"/>
    </row>
    <row r="596" spans="14:14">
      <c r="N596" s="4"/>
    </row>
    <row r="597" spans="14:14">
      <c r="N597" s="4"/>
    </row>
    <row r="598" spans="14:14">
      <c r="N598" s="4"/>
    </row>
    <row r="599" spans="14:14">
      <c r="N599" s="4"/>
    </row>
    <row r="600" spans="14:14">
      <c r="N600" s="4"/>
    </row>
    <row r="601" spans="14:14">
      <c r="N601" s="4"/>
    </row>
    <row r="602" spans="14:14">
      <c r="N602" s="4"/>
    </row>
    <row r="603" spans="14:14">
      <c r="N603" s="4"/>
    </row>
    <row r="604" spans="14:14">
      <c r="N604" s="4"/>
    </row>
    <row r="605" spans="14:14">
      <c r="N605" s="4"/>
    </row>
    <row r="606" spans="14:14">
      <c r="N606" s="4"/>
    </row>
    <row r="607" spans="14:14">
      <c r="N607" s="4"/>
    </row>
    <row r="608" spans="14:14">
      <c r="N608" s="4"/>
    </row>
    <row r="609" spans="14:14">
      <c r="N609" s="4"/>
    </row>
    <row r="610" spans="14:14">
      <c r="N610" s="4"/>
    </row>
    <row r="611" spans="14:14">
      <c r="N611" s="4"/>
    </row>
    <row r="612" spans="14:14">
      <c r="N612" s="4"/>
    </row>
    <row r="613" spans="14:14">
      <c r="N613" s="4"/>
    </row>
    <row r="614" spans="14:14">
      <c r="N614" s="4"/>
    </row>
    <row r="615" spans="14:14">
      <c r="N615" s="4"/>
    </row>
    <row r="616" spans="14:14">
      <c r="N616" s="4"/>
    </row>
    <row r="617" spans="14:14">
      <c r="N617" s="4"/>
    </row>
    <row r="618" spans="14:14">
      <c r="N618" s="4"/>
    </row>
    <row r="619" spans="14:14">
      <c r="N619" s="4"/>
    </row>
    <row r="620" spans="14:14">
      <c r="N620" s="4"/>
    </row>
    <row r="621" spans="14:14">
      <c r="N621" s="4"/>
    </row>
    <row r="622" spans="14:14">
      <c r="N622" s="4"/>
    </row>
    <row r="623" spans="14:14">
      <c r="N623" s="4"/>
    </row>
    <row r="624" spans="14:14">
      <c r="N624" s="4"/>
    </row>
    <row r="625" spans="14:14">
      <c r="N625" s="4"/>
    </row>
    <row r="626" spans="14:14">
      <c r="N626" s="4"/>
    </row>
    <row r="627" spans="14:14">
      <c r="N627" s="4"/>
    </row>
    <row r="628" spans="14:14">
      <c r="N628" s="4"/>
    </row>
    <row r="629" spans="14:14">
      <c r="N629" s="4"/>
    </row>
    <row r="630" spans="14:14">
      <c r="N630" s="4"/>
    </row>
    <row r="631" spans="14:14">
      <c r="N631" s="4"/>
    </row>
    <row r="632" spans="14:14">
      <c r="N632" s="4"/>
    </row>
    <row r="633" spans="14:14">
      <c r="N633" s="4"/>
    </row>
    <row r="634" spans="14:14">
      <c r="N634" s="4"/>
    </row>
    <row r="635" spans="14:14">
      <c r="N635" s="4"/>
    </row>
    <row r="636" spans="14:14">
      <c r="N636" s="4"/>
    </row>
    <row r="637" spans="14:14">
      <c r="N637" s="4"/>
    </row>
    <row r="638" spans="14:14">
      <c r="N638" s="4"/>
    </row>
    <row r="639" spans="14:14">
      <c r="N639" s="4"/>
    </row>
    <row r="640" spans="14:14">
      <c r="N640" s="4"/>
    </row>
    <row r="641" spans="14:14">
      <c r="N641" s="4"/>
    </row>
    <row r="642" spans="14:14">
      <c r="N642" s="4"/>
    </row>
    <row r="643" spans="14:14">
      <c r="N643" s="4"/>
    </row>
    <row r="644" spans="14:14">
      <c r="N644" s="4"/>
    </row>
    <row r="645" spans="14:14">
      <c r="N645" s="4"/>
    </row>
    <row r="646" spans="14:14">
      <c r="N646" s="4"/>
    </row>
    <row r="647" spans="14:14">
      <c r="N647" s="4"/>
    </row>
    <row r="648" spans="14:14">
      <c r="N648" s="4"/>
    </row>
    <row r="649" spans="14:14">
      <c r="N649" s="4"/>
    </row>
    <row r="650" spans="14:14">
      <c r="N650" s="4"/>
    </row>
    <row r="651" spans="14:14">
      <c r="N651" s="4"/>
    </row>
    <row r="652" spans="14:14">
      <c r="N652" s="4"/>
    </row>
    <row r="653" spans="14:14">
      <c r="N653" s="4"/>
    </row>
    <row r="654" spans="14:14">
      <c r="N654" s="4"/>
    </row>
    <row r="655" spans="14:14">
      <c r="N655" s="4"/>
    </row>
    <row r="656" spans="14:14">
      <c r="N656" s="4"/>
    </row>
    <row r="657" spans="14:14">
      <c r="N657" s="4"/>
    </row>
    <row r="658" spans="14:14">
      <c r="N658" s="4"/>
    </row>
    <row r="659" spans="14:14">
      <c r="N659" s="4"/>
    </row>
    <row r="660" spans="14:14">
      <c r="N660" s="4"/>
    </row>
    <row r="661" spans="14:14">
      <c r="N661" s="4"/>
    </row>
    <row r="662" spans="14:14">
      <c r="N662" s="4"/>
    </row>
    <row r="663" spans="14:14">
      <c r="N663" s="4"/>
    </row>
    <row r="664" spans="14:14">
      <c r="N664" s="4"/>
    </row>
    <row r="665" spans="14:14">
      <c r="N665" s="4"/>
    </row>
    <row r="666" spans="14:14">
      <c r="N666" s="4"/>
    </row>
    <row r="667" spans="14:14">
      <c r="N667" s="4"/>
    </row>
    <row r="668" spans="14:14">
      <c r="N668" s="4"/>
    </row>
    <row r="669" spans="14:14">
      <c r="N669" s="4"/>
    </row>
    <row r="670" spans="14:14">
      <c r="N670" s="4"/>
    </row>
    <row r="671" spans="14:14">
      <c r="N671" s="4"/>
    </row>
    <row r="672" spans="14:14">
      <c r="N672" s="4"/>
    </row>
    <row r="673" spans="14:14">
      <c r="N673" s="4"/>
    </row>
    <row r="674" spans="14:14">
      <c r="N674" s="4"/>
    </row>
    <row r="675" spans="14:14">
      <c r="N675" s="4"/>
    </row>
    <row r="676" spans="14:14">
      <c r="N676" s="4"/>
    </row>
    <row r="677" spans="14:14">
      <c r="N677" s="4"/>
    </row>
    <row r="678" spans="14:14">
      <c r="N678" s="4"/>
    </row>
    <row r="679" spans="14:14">
      <c r="N679" s="4"/>
    </row>
    <row r="680" spans="14:14">
      <c r="N680" s="4"/>
    </row>
    <row r="681" spans="14:14">
      <c r="N681" s="4"/>
    </row>
    <row r="682" spans="14:14">
      <c r="N682" s="4"/>
    </row>
    <row r="683" spans="14:14">
      <c r="N683" s="4"/>
    </row>
    <row r="684" spans="14:14">
      <c r="N684" s="4"/>
    </row>
    <row r="685" spans="14:14">
      <c r="N685" s="4"/>
    </row>
    <row r="686" spans="14:14">
      <c r="N686" s="4"/>
    </row>
    <row r="687" spans="14:14">
      <c r="N687" s="4"/>
    </row>
    <row r="688" spans="14:14">
      <c r="N688" s="4"/>
    </row>
    <row r="689" spans="14:14">
      <c r="N689" s="4"/>
    </row>
    <row r="690" spans="14:14">
      <c r="N690" s="4"/>
    </row>
    <row r="691" spans="14:14">
      <c r="N691" s="4"/>
    </row>
    <row r="692" spans="14:14">
      <c r="N692" s="4"/>
    </row>
    <row r="693" spans="14:14">
      <c r="N693" s="4"/>
    </row>
    <row r="694" spans="14:14">
      <c r="N694" s="4"/>
    </row>
    <row r="695" spans="14:14">
      <c r="N695" s="4"/>
    </row>
    <row r="696" spans="14:14">
      <c r="N696" s="4"/>
    </row>
    <row r="697" spans="14:14">
      <c r="N697" s="4"/>
    </row>
    <row r="698" spans="14:14">
      <c r="N698" s="4"/>
    </row>
    <row r="699" spans="14:14">
      <c r="N699" s="4"/>
    </row>
    <row r="700" spans="14:14">
      <c r="N700" s="4"/>
    </row>
    <row r="701" spans="14:14">
      <c r="N701" s="4"/>
    </row>
    <row r="702" spans="14:14">
      <c r="N702" s="4"/>
    </row>
    <row r="703" spans="14:14">
      <c r="N703" s="4"/>
    </row>
    <row r="704" spans="14:14">
      <c r="N704" s="4"/>
    </row>
    <row r="705" spans="14:14">
      <c r="N705" s="4"/>
    </row>
    <row r="706" spans="14:14">
      <c r="N706" s="4"/>
    </row>
    <row r="707" spans="14:14">
      <c r="N707" s="4"/>
    </row>
    <row r="708" spans="14:14">
      <c r="N708" s="4"/>
    </row>
    <row r="709" spans="14:14">
      <c r="N709" s="4"/>
    </row>
    <row r="710" spans="14:14">
      <c r="N710" s="4"/>
    </row>
    <row r="711" spans="14:14">
      <c r="N711" s="4"/>
    </row>
    <row r="712" spans="14:14">
      <c r="N712" s="4"/>
    </row>
    <row r="713" spans="14:14">
      <c r="N713" s="4"/>
    </row>
    <row r="714" spans="14:14">
      <c r="N714" s="4"/>
    </row>
    <row r="715" spans="14:14">
      <c r="N715" s="4"/>
    </row>
    <row r="716" spans="14:14">
      <c r="N716" s="4"/>
    </row>
    <row r="717" spans="14:14">
      <c r="N717" s="4"/>
    </row>
    <row r="718" spans="14:14">
      <c r="N718" s="4"/>
    </row>
    <row r="719" spans="14:14">
      <c r="N719" s="4"/>
    </row>
    <row r="720" spans="14:14">
      <c r="N720" s="4"/>
    </row>
    <row r="721" spans="14:14">
      <c r="N721" s="4"/>
    </row>
    <row r="722" spans="14:14">
      <c r="N722" s="4"/>
    </row>
    <row r="723" spans="14:14">
      <c r="N723" s="4"/>
    </row>
    <row r="724" spans="14:14">
      <c r="N724" s="4"/>
    </row>
    <row r="725" spans="14:14">
      <c r="N725" s="4"/>
    </row>
    <row r="726" spans="14:14">
      <c r="N726" s="4"/>
    </row>
    <row r="727" spans="14:14">
      <c r="N727" s="4"/>
    </row>
    <row r="728" spans="14:14">
      <c r="N728" s="4"/>
    </row>
    <row r="729" spans="14:14">
      <c r="N729" s="4"/>
    </row>
    <row r="730" spans="14:14">
      <c r="N730" s="4"/>
    </row>
    <row r="731" spans="14:14">
      <c r="N731" s="4"/>
    </row>
    <row r="732" spans="14:14">
      <c r="N732" s="4"/>
    </row>
    <row r="733" spans="14:14">
      <c r="N733" s="4"/>
    </row>
    <row r="734" spans="14:14">
      <c r="N734" s="4"/>
    </row>
    <row r="735" spans="14:14">
      <c r="N735" s="4"/>
    </row>
    <row r="736" spans="14:14">
      <c r="N736" s="4"/>
    </row>
    <row r="737" spans="14:14">
      <c r="N737" s="4"/>
    </row>
    <row r="738" spans="14:14">
      <c r="N738" s="4"/>
    </row>
    <row r="739" spans="14:14">
      <c r="N739" s="4"/>
    </row>
    <row r="740" spans="14:14">
      <c r="N740" s="4"/>
    </row>
    <row r="741" spans="14:14">
      <c r="N741" s="4"/>
    </row>
    <row r="742" spans="14:14">
      <c r="N742" s="4"/>
    </row>
    <row r="743" spans="14:14">
      <c r="N743" s="4"/>
    </row>
    <row r="744" spans="14:14">
      <c r="N744" s="4"/>
    </row>
    <row r="745" spans="14:14">
      <c r="N745" s="4"/>
    </row>
    <row r="746" spans="14:14">
      <c r="N746" s="4"/>
    </row>
    <row r="747" spans="14:14">
      <c r="N747" s="4"/>
    </row>
    <row r="748" spans="14:14">
      <c r="N748" s="4"/>
    </row>
    <row r="749" spans="14:14">
      <c r="N749" s="4"/>
    </row>
    <row r="750" spans="14:14">
      <c r="N750" s="4"/>
    </row>
    <row r="751" spans="14:14">
      <c r="N751" s="4"/>
    </row>
    <row r="752" spans="14:14">
      <c r="N752" s="4"/>
    </row>
    <row r="753" spans="14:14">
      <c r="N753" s="4"/>
    </row>
    <row r="754" spans="14:14">
      <c r="N754" s="4"/>
    </row>
    <row r="755" spans="14:14">
      <c r="N755" s="4"/>
    </row>
    <row r="756" spans="14:14">
      <c r="N756" s="4"/>
    </row>
    <row r="757" spans="14:14">
      <c r="N757" s="4"/>
    </row>
    <row r="758" spans="14:14">
      <c r="N758" s="4"/>
    </row>
    <row r="759" spans="14:14">
      <c r="N759" s="4"/>
    </row>
    <row r="760" spans="14:14">
      <c r="N760" s="4"/>
    </row>
    <row r="761" spans="14:14">
      <c r="N761" s="4"/>
    </row>
    <row r="762" spans="14:14">
      <c r="N762" s="4"/>
    </row>
    <row r="763" spans="14:14">
      <c r="N763" s="4"/>
    </row>
    <row r="764" spans="14:14">
      <c r="N764" s="4"/>
    </row>
    <row r="765" spans="14:14">
      <c r="N765" s="4"/>
    </row>
    <row r="766" spans="14:14">
      <c r="N766" s="4"/>
    </row>
    <row r="767" spans="14:14">
      <c r="N767" s="4"/>
    </row>
    <row r="768" spans="14:14">
      <c r="N768" s="4"/>
    </row>
    <row r="769" spans="14:14">
      <c r="N769" s="4"/>
    </row>
    <row r="770" spans="14:14">
      <c r="N770" s="4"/>
    </row>
    <row r="771" spans="14:14">
      <c r="N771" s="4"/>
    </row>
    <row r="772" spans="14:14">
      <c r="N772" s="4"/>
    </row>
    <row r="773" spans="14:14">
      <c r="N773" s="4"/>
    </row>
    <row r="774" spans="14:14">
      <c r="N774" s="4"/>
    </row>
    <row r="775" spans="14:14">
      <c r="N775" s="4"/>
    </row>
    <row r="776" spans="14:14">
      <c r="N776" s="4"/>
    </row>
    <row r="777" spans="14:14">
      <c r="N777" s="4"/>
    </row>
    <row r="778" spans="14:14">
      <c r="N778" s="4"/>
    </row>
    <row r="779" spans="14:14">
      <c r="N779" s="4"/>
    </row>
    <row r="780" spans="14:14">
      <c r="N780" s="4"/>
    </row>
    <row r="781" spans="14:14">
      <c r="N781" s="4"/>
    </row>
    <row r="782" spans="14:14">
      <c r="N782" s="4"/>
    </row>
    <row r="783" spans="14:14">
      <c r="N783" s="4"/>
    </row>
    <row r="784" spans="14:14">
      <c r="N784" s="4"/>
    </row>
    <row r="785" spans="14:14">
      <c r="N785" s="4"/>
    </row>
    <row r="786" spans="14:14">
      <c r="N786" s="4"/>
    </row>
    <row r="787" spans="14:14">
      <c r="N787" s="4"/>
    </row>
    <row r="788" spans="14:14">
      <c r="N788" s="4"/>
    </row>
    <row r="789" spans="14:14">
      <c r="N789" s="4"/>
    </row>
    <row r="790" spans="14:14">
      <c r="N790" s="4"/>
    </row>
    <row r="791" spans="14:14">
      <c r="N791" s="4"/>
    </row>
    <row r="792" spans="14:14">
      <c r="N792" s="4"/>
    </row>
    <row r="793" spans="14:14">
      <c r="N793" s="4"/>
    </row>
    <row r="794" spans="14:14">
      <c r="N794" s="4"/>
    </row>
    <row r="795" spans="14:14">
      <c r="N795" s="4"/>
    </row>
    <row r="796" spans="14:14">
      <c r="N796" s="4"/>
    </row>
    <row r="797" spans="14:14">
      <c r="N797" s="4"/>
    </row>
    <row r="798" spans="14:14">
      <c r="N798" s="4"/>
    </row>
    <row r="799" spans="14:14">
      <c r="N799" s="4"/>
    </row>
    <row r="800" spans="14:14">
      <c r="N800" s="4"/>
    </row>
  </sheetData>
  <sortState ref="A3:L454">
    <sortCondition ref="L3"/>
  </sortState>
  <dataConsolidate link="1"/>
  <phoneticPr fontId="1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468" workbookViewId="0">
      <selection activeCell="A468" sqref="A468"/>
    </sheetView>
  </sheetViews>
  <sheetFormatPr defaultRowHeight="18.75"/>
  <cols>
    <col min="1" max="1" width="9.5" bestFit="1" customWidth="1"/>
  </cols>
  <sheetData/>
  <sortState ref="A1:D654">
    <sortCondition ref="A1"/>
  </sortState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6"/>
  <sheetViews>
    <sheetView workbookViewId="0"/>
  </sheetViews>
  <sheetFormatPr defaultRowHeight="15.75"/>
  <cols>
    <col min="1" max="1" width="10.75" style="1" bestFit="1" customWidth="1"/>
    <col min="2" max="2" width="9" style="1"/>
    <col min="3" max="4" width="9.125" style="1" bestFit="1" customWidth="1"/>
    <col min="5" max="5" width="30" style="1" bestFit="1" customWidth="1"/>
    <col min="6" max="6" width="13.25" style="1" bestFit="1" customWidth="1"/>
    <col min="7" max="16384" width="9" style="1"/>
  </cols>
  <sheetData>
    <row r="1" spans="1:6">
      <c r="A1" s="1">
        <v>20201206</v>
      </c>
      <c r="B1" s="1" t="s">
        <v>135</v>
      </c>
      <c r="C1" s="1">
        <v>1</v>
      </c>
      <c r="D1" s="1">
        <v>1</v>
      </c>
      <c r="E1" s="1" t="s">
        <v>137</v>
      </c>
      <c r="F1" s="1">
        <v>2018104409</v>
      </c>
    </row>
    <row r="2" spans="1:6">
      <c r="A2" s="1">
        <v>20201206</v>
      </c>
      <c r="B2" s="1" t="s">
        <v>128</v>
      </c>
      <c r="C2" s="1">
        <v>1</v>
      </c>
      <c r="D2" s="1">
        <v>2</v>
      </c>
      <c r="E2" s="1" t="s">
        <v>138</v>
      </c>
      <c r="F2" s="1">
        <v>2018103870</v>
      </c>
    </row>
    <row r="3" spans="1:6">
      <c r="A3" s="1">
        <v>20201206</v>
      </c>
      <c r="B3" s="1" t="s">
        <v>128</v>
      </c>
      <c r="C3" s="1">
        <v>1</v>
      </c>
      <c r="D3" s="1">
        <v>3</v>
      </c>
      <c r="E3" s="1" t="s">
        <v>139</v>
      </c>
      <c r="F3" s="1">
        <v>2018104035</v>
      </c>
    </row>
    <row r="4" spans="1:6">
      <c r="A4" s="1">
        <v>20201206</v>
      </c>
      <c r="B4" s="1" t="s">
        <v>128</v>
      </c>
      <c r="C4" s="1">
        <v>1</v>
      </c>
      <c r="D4" s="1">
        <v>4</v>
      </c>
      <c r="E4" s="1" t="s">
        <v>140</v>
      </c>
      <c r="F4" s="1">
        <v>2018100018</v>
      </c>
    </row>
    <row r="5" spans="1:6">
      <c r="A5" s="1">
        <v>20201206</v>
      </c>
      <c r="B5" s="1" t="s">
        <v>128</v>
      </c>
      <c r="C5" s="1">
        <v>1</v>
      </c>
      <c r="D5" s="1">
        <v>5</v>
      </c>
      <c r="E5" s="1" t="s">
        <v>141</v>
      </c>
      <c r="F5" s="1">
        <v>2018102851</v>
      </c>
    </row>
    <row r="6" spans="1:6">
      <c r="A6" s="1">
        <v>20201206</v>
      </c>
      <c r="B6" s="1" t="s">
        <v>128</v>
      </c>
      <c r="C6" s="1">
        <v>1</v>
      </c>
      <c r="D6" s="1">
        <v>6</v>
      </c>
      <c r="E6" s="1" t="s">
        <v>142</v>
      </c>
      <c r="F6" s="1">
        <v>2018103171</v>
      </c>
    </row>
    <row r="7" spans="1:6">
      <c r="A7" s="1">
        <v>20201206</v>
      </c>
      <c r="B7" s="1" t="s">
        <v>128</v>
      </c>
      <c r="C7" s="1">
        <v>1</v>
      </c>
      <c r="D7" s="1">
        <v>7</v>
      </c>
      <c r="E7" s="1" t="s">
        <v>143</v>
      </c>
      <c r="F7" s="1">
        <v>2018105742</v>
      </c>
    </row>
    <row r="8" spans="1:6">
      <c r="A8" s="1">
        <v>20201206</v>
      </c>
      <c r="B8" s="1" t="s">
        <v>128</v>
      </c>
      <c r="C8" s="1">
        <v>1</v>
      </c>
      <c r="D8" s="1">
        <v>8</v>
      </c>
      <c r="E8" s="1" t="s">
        <v>144</v>
      </c>
      <c r="F8" s="1">
        <v>2018101878</v>
      </c>
    </row>
    <row r="9" spans="1:6">
      <c r="A9" s="1">
        <v>20201206</v>
      </c>
      <c r="B9" s="1" t="s">
        <v>128</v>
      </c>
      <c r="C9" s="1">
        <v>1</v>
      </c>
      <c r="D9" s="1">
        <v>9</v>
      </c>
      <c r="E9" s="1" t="s">
        <v>145</v>
      </c>
      <c r="F9" s="1">
        <v>2018101860</v>
      </c>
    </row>
    <row r="10" spans="1:6">
      <c r="A10" s="1">
        <v>20201206</v>
      </c>
      <c r="B10" s="1" t="s">
        <v>128</v>
      </c>
      <c r="C10" s="1">
        <v>1</v>
      </c>
      <c r="D10" s="1">
        <v>10</v>
      </c>
      <c r="E10" s="1" t="s">
        <v>146</v>
      </c>
      <c r="F10" s="1">
        <v>2018102388</v>
      </c>
    </row>
    <row r="11" spans="1:6">
      <c r="A11" s="1">
        <v>20201206</v>
      </c>
      <c r="B11" s="1" t="s">
        <v>128</v>
      </c>
      <c r="C11" s="1">
        <v>1</v>
      </c>
      <c r="D11" s="1">
        <v>11</v>
      </c>
      <c r="E11" s="1" t="s">
        <v>147</v>
      </c>
      <c r="F11" s="1">
        <v>2018100717</v>
      </c>
    </row>
    <row r="12" spans="1:6">
      <c r="A12" s="1">
        <v>20201206</v>
      </c>
      <c r="B12" s="1" t="s">
        <v>128</v>
      </c>
      <c r="C12" s="1">
        <v>1</v>
      </c>
      <c r="D12" s="1">
        <v>12</v>
      </c>
      <c r="E12" s="1" t="s">
        <v>148</v>
      </c>
      <c r="F12" s="1">
        <v>2018105704</v>
      </c>
    </row>
    <row r="13" spans="1:6">
      <c r="A13" s="1">
        <v>20201206</v>
      </c>
      <c r="B13" s="1" t="s">
        <v>128</v>
      </c>
      <c r="C13" s="1">
        <v>1</v>
      </c>
      <c r="D13" s="1">
        <v>13</v>
      </c>
      <c r="E13" s="1" t="s">
        <v>149</v>
      </c>
      <c r="F13" s="1">
        <v>2018105230</v>
      </c>
    </row>
    <row r="14" spans="1:6">
      <c r="A14" s="1">
        <v>20201206</v>
      </c>
      <c r="B14" s="1" t="s">
        <v>128</v>
      </c>
      <c r="C14" s="1">
        <v>1</v>
      </c>
      <c r="D14" s="1">
        <v>14</v>
      </c>
      <c r="E14" s="1" t="s">
        <v>150</v>
      </c>
      <c r="F14" s="1">
        <v>2018103904</v>
      </c>
    </row>
    <row r="15" spans="1:6">
      <c r="A15" s="1">
        <v>20201206</v>
      </c>
      <c r="B15" s="1" t="s">
        <v>128</v>
      </c>
      <c r="C15" s="1">
        <v>1</v>
      </c>
      <c r="D15" s="1">
        <v>15</v>
      </c>
      <c r="E15" s="1" t="s">
        <v>151</v>
      </c>
      <c r="F15" s="1">
        <v>2018105481</v>
      </c>
    </row>
    <row r="16" spans="1:6">
      <c r="A16" s="1">
        <v>20201206</v>
      </c>
      <c r="B16" s="1" t="s">
        <v>128</v>
      </c>
      <c r="C16" s="1">
        <v>1</v>
      </c>
      <c r="D16" s="1">
        <v>16</v>
      </c>
      <c r="E16" s="1" t="s">
        <v>152</v>
      </c>
      <c r="F16" s="1">
        <v>2018102236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TOP</vt:lpstr>
      <vt:lpstr>Sheet1</vt:lpstr>
      <vt:lpstr>Output</vt:lpstr>
      <vt:lpstr>結果</vt:lpstr>
      <vt:lpstr>開催日</vt:lpstr>
      <vt:lpstr>レース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中川拓哉</cp:lastModifiedBy>
  <dcterms:created xsi:type="dcterms:W3CDTF">2018-04-14T05:05:39Z</dcterms:created>
  <dcterms:modified xsi:type="dcterms:W3CDTF">2020-12-06T07:51:34Z</dcterms:modified>
</cp:coreProperties>
</file>